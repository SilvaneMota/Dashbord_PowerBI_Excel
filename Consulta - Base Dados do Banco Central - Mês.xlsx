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efd56883a79cce/Silvane Mota/BI - ABAC/"/>
    </mc:Choice>
  </mc:AlternateContent>
  <xr:revisionPtr revIDLastSave="24" documentId="8_{1736F316-0D5D-46EB-B302-A1BE68A74823}" xr6:coauthVersionLast="46" xr6:coauthVersionMax="46" xr10:uidLastSave="{00139883-9797-487B-9F14-CF09641521A5}"/>
  <bookViews>
    <workbookView xWindow="-120" yWindow="-120" windowWidth="20730" windowHeight="11160" xr2:uid="{CB6598D3-FA73-42A9-8725-A64BE94FB586}"/>
  </bookViews>
  <sheets>
    <sheet name="Base" sheetId="2" r:id="rId1"/>
    <sheet name="Cód_Seg." sheetId="1" r:id="rId2"/>
  </sheets>
  <definedNames>
    <definedName name="DadosExternos_1" localSheetId="0" hidden="1">Base!$A$1:$X$733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B12" i="1" l="1"/>
  <c r="B11" i="1"/>
  <c r="B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7F31D7-5440-4282-BE54-776F6FB89217}" keepAlive="1" name="Consulta - Planilha1" description="Conexão com a consulta 'Planilha1' na pasta de trabalho." type="5" refreshedVersion="7" background="1" saveData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<sst xmlns="http://schemas.openxmlformats.org/spreadsheetml/2006/main" count="769" uniqueCount="155">
  <si>
    <t>#Nome_da_Administradora</t>
  </si>
  <si>
    <t>Data_base</t>
  </si>
  <si>
    <t>Código_do_segmento</t>
  </si>
  <si>
    <t>Taxa_de_administração</t>
  </si>
  <si>
    <t>Quantidade_de_grupos_ativos</t>
  </si>
  <si>
    <t>Quantidade_de_grupos_constituídos_no_mês</t>
  </si>
  <si>
    <t>Quantidade_de_grupos_encerrados_no_mês</t>
  </si>
  <si>
    <t>Quantidade_de_cotas_comercializadas_no_mês</t>
  </si>
  <si>
    <t>Quantidade_de_cotas_excluídas_a_comercializar</t>
  </si>
  <si>
    <t>Quantidade_acumulada_de_cotas_ativas_contempladas</t>
  </si>
  <si>
    <t>Quantidade_de_cotas_ativas_não_contempladas</t>
  </si>
  <si>
    <t>Quantidade_de_cotas_ativas_contempladas_no_mês</t>
  </si>
  <si>
    <t>Quantidade_de_cotas_ativas_em_dia</t>
  </si>
  <si>
    <t>Quantidade_de_cotas_ativas_contempladas_inadimplentes</t>
  </si>
  <si>
    <t>Quantidade_de_cotas_ativas_não_contempladas_inadimplentes</t>
  </si>
  <si>
    <t>Quantidade_de_cotas_excluídas</t>
  </si>
  <si>
    <t>Quantidade_de_cotas_ativas_quitadas</t>
  </si>
  <si>
    <t>Quantidade_de_cotas_ativas_com_crédito_pendente_de_utilização</t>
  </si>
  <si>
    <t>Ativos</t>
  </si>
  <si>
    <t>Excluídos</t>
  </si>
  <si>
    <t>Comercializados</t>
  </si>
  <si>
    <t>% Excluídas</t>
  </si>
  <si>
    <t>% Ativas</t>
  </si>
  <si>
    <t>ASSOC BAHIANA DE MEDICINA ABM</t>
  </si>
  <si>
    <t>ASSOC DOS JUIZES DO RS</t>
  </si>
  <si>
    <t>BANCORBRÁS</t>
  </si>
  <si>
    <t>BB CONSÓRCIOS</t>
  </si>
  <si>
    <t>CLUBE NAVAL</t>
  </si>
  <si>
    <t>FIEL CONSÓRCIOS</t>
  </si>
  <si>
    <t>FINAMA ADM CONS LTDA</t>
  </si>
  <si>
    <t>FIPAL</t>
  </si>
  <si>
    <t>FUNDACAO HAB. DO EXERCITO-FHE</t>
  </si>
  <si>
    <t>H. CONSÓRCIO</t>
  </si>
  <si>
    <t>INSTITUTO DE ENGENHARIA PARANA</t>
  </si>
  <si>
    <t>MERCABENCO</t>
  </si>
  <si>
    <t>UNI.NAC.AUD.FISCAIS.REC.FED.MG</t>
  </si>
  <si>
    <t>Cod.</t>
  </si>
  <si>
    <t>Imóveis</t>
  </si>
  <si>
    <t>Veículos Pesados</t>
  </si>
  <si>
    <t>Veículos Leves</t>
  </si>
  <si>
    <t>Motocicletas</t>
  </si>
  <si>
    <t>Outros bens</t>
  </si>
  <si>
    <t>Serviços</t>
  </si>
  <si>
    <t>Segmentação</t>
  </si>
  <si>
    <t>Situação</t>
  </si>
  <si>
    <t>Valor</t>
  </si>
  <si>
    <t>ADEMILAR ADM CONS S.A.</t>
  </si>
  <si>
    <t>ADM CONS BECKER LTDA</t>
  </si>
  <si>
    <t>ADM CONS RCI BRASIL LTDA</t>
  </si>
  <si>
    <t>ADM CONS SICREDI LTDA</t>
  </si>
  <si>
    <t>ADM CONS SPENGLER LTDA</t>
  </si>
  <si>
    <t>ADM CONS UNICOOB LTDA</t>
  </si>
  <si>
    <t>AGIBANK CONSÓRCIOS</t>
  </si>
  <si>
    <t>ALPHA ADM CONS LTDA</t>
  </si>
  <si>
    <t>APEC ADM CONSORCIO S/A</t>
  </si>
  <si>
    <t>ATUAL ADM CONS LTDA</t>
  </si>
  <si>
    <t>BAMAQ ADM CONS LTDA</t>
  </si>
  <si>
    <t>BANRISUL S.A. ADM CONSÓRCIOS</t>
  </si>
  <si>
    <t>BR CONSÓRCIOS ADM. CONS. LTDA.</t>
  </si>
  <si>
    <t>BRADESCO CONS. LTDA.</t>
  </si>
  <si>
    <t>BREITKOPF ADM CONS LTDA</t>
  </si>
  <si>
    <t>BRQUALY ADM CONS LTDA.</t>
  </si>
  <si>
    <t>CAIXA CONSÓRCIOS</t>
  </si>
  <si>
    <t>CAMVEL ADM. CONS. LTDA.</t>
  </si>
  <si>
    <t>CANOPUS ADM CONSÓRCIOS</t>
  </si>
  <si>
    <t>CARLESSI ADM CONS LTDA</t>
  </si>
  <si>
    <t>CICAL ADM DE CONS LTDA</t>
  </si>
  <si>
    <t>CNF CONS NAC LTDA</t>
  </si>
  <si>
    <t>COIMEX ADM CONS S.A.</t>
  </si>
  <si>
    <t>COMAUTO ADM CONS LTDA.</t>
  </si>
  <si>
    <t>CONBR ADM CONS LTDA.</t>
  </si>
  <si>
    <t>CONBRAV ADM CONS LTDA</t>
  </si>
  <si>
    <t>CONS. NACIONAL VOLKSWAGEN LTDA.</t>
  </si>
  <si>
    <t>CONSORCIO GAZIN</t>
  </si>
  <si>
    <t>CONSORCIO NACIONAL NANUQUE</t>
  </si>
  <si>
    <t>CONSORCIO VOLVO</t>
  </si>
  <si>
    <t>CONSÓRCIO JORLAN</t>
  </si>
  <si>
    <t>CONSÓRCIO NACIONAL LÍDER</t>
  </si>
  <si>
    <t>CONSÓRCIO TRIÂNGULO</t>
  </si>
  <si>
    <t>CONVEF ADM CONS LTDA.</t>
  </si>
  <si>
    <t>COOP JOCKEY CLUB SP PROIBIDA</t>
  </si>
  <si>
    <t>ELDORADO ADM CONSORCIO</t>
  </si>
  <si>
    <t>EMBRACON ADM CONS LTDA</t>
  </si>
  <si>
    <t>FANCAR ADM CONS LTDA.</t>
  </si>
  <si>
    <t>FARROUPILHA ADM CONS LTDA</t>
  </si>
  <si>
    <t>FERRAZ ADM E CONS LTDA</t>
  </si>
  <si>
    <t>FRANCAUTO ADM CONS LTDA.</t>
  </si>
  <si>
    <t>FUGANTI ADM CONS LTDA</t>
  </si>
  <si>
    <t>GAMBATTO ADM CONS LTDA</t>
  </si>
  <si>
    <t>GAPLAN ADM CONS LTDA</t>
  </si>
  <si>
    <t>GLOBEX ADM DE CONSÓRCIOS LTDA.</t>
  </si>
  <si>
    <t>GLOBO ADM. CONS. LTDA.</t>
  </si>
  <si>
    <t>GMAC ADM CONS  LTDA</t>
  </si>
  <si>
    <t>GOVESA ADMINISTRADORA</t>
  </si>
  <si>
    <t>GROSCON ADM. CONS. LTDA.</t>
  </si>
  <si>
    <t>GUARAPIRANGA ADM. CONSÓRCIOS</t>
  </si>
  <si>
    <t>HS ADM CONS LTDA</t>
  </si>
  <si>
    <t>IRMÃOS DE MARCO ADM CONS LTDA</t>
  </si>
  <si>
    <t>ITAÚ ADM DE CONSÓRCIOS LTDA</t>
  </si>
  <si>
    <t>ITAÚ UNIBANCO VEÍCULOS ADM CONS LTDA.</t>
  </si>
  <si>
    <t>ITAÚNA CONSÓRCIO</t>
  </si>
  <si>
    <t>JUGASA ADM CONS S/A</t>
  </si>
  <si>
    <t>LUIZA ADM. CONS. LTDA</t>
  </si>
  <si>
    <t>MAGGI ADM CONS LTDA</t>
  </si>
  <si>
    <t>MASSEY FERGUSON ADM DE CONS LTDA</t>
  </si>
  <si>
    <t>MENEGALLI ADM CONS LTDA</t>
  </si>
  <si>
    <t>MINAUTO ADM. CONSORCIO</t>
  </si>
  <si>
    <t>MOTOASA ADM. CONS. LTDA</t>
  </si>
  <si>
    <t>NOVOTEMPO ADM CONS</t>
  </si>
  <si>
    <t>OPÇÃO ADM. CONSÓRCIO</t>
  </si>
  <si>
    <t>PAN ADM CONS LTDA</t>
  </si>
  <si>
    <t>PONTA ADM CONS</t>
  </si>
  <si>
    <t>PORTOBENS ADM CONS LTDA</t>
  </si>
  <si>
    <t>QUALINVEST ADM CONS LTDA.</t>
  </si>
  <si>
    <t>RANDON ADM CONSÓRCIOS LTDA.</t>
  </si>
  <si>
    <t>RECON ADM. DE CONSORCIOS LTDA</t>
  </si>
  <si>
    <t>REDE OESTE ADM DE CONS LTDA</t>
  </si>
  <si>
    <t>REDENÇÃO ADM DE CONSÓRCIO</t>
  </si>
  <si>
    <t>RIVEL ADM.CONSORCIOS</t>
  </si>
  <si>
    <t>RODOBENS ADM CONSORCIOS LTDA</t>
  </si>
  <si>
    <t>SANMELL ADM. CONS. LTDA.</t>
  </si>
  <si>
    <t>SANTA FÉ ADM CONS LTDA</t>
  </si>
  <si>
    <t>SANTANDER BRASIL ADM CONS LTDA</t>
  </si>
  <si>
    <t>SCANIA ADM CONS LTDA.</t>
  </si>
  <si>
    <t>SERRANA ADM CONSÓRCIOS LTDA.</t>
  </si>
  <si>
    <t>SERVOPA ADM CONSÓRCIOS</t>
  </si>
  <si>
    <t>SOCIEDADE ADM CONS LTDA.</t>
  </si>
  <si>
    <t>SOLUÇÃO ADM. DE CONSÓRCIOS LTD</t>
  </si>
  <si>
    <t>SPERTA ADM CONSORCIO NAC LTDA</t>
  </si>
  <si>
    <t>SPONCHIADO ADM CONSÓRCIOS LTDA.</t>
  </si>
  <si>
    <t>SUZUKI MOTOS ADM. CONS. LTDA</t>
  </si>
  <si>
    <t>TARRAF ADM CONS LTDA</t>
  </si>
  <si>
    <t>TRADIÇÃO ADM CONS. LTDA.</t>
  </si>
  <si>
    <t>UNAFISCO-ASS NAC AUD FISC RFB</t>
  </si>
  <si>
    <t>UNIFISA ADM NAC CONS LTDA</t>
  </si>
  <si>
    <t>UNIÃO CATARINENSE ADM CONS LTD</t>
  </si>
  <si>
    <t>VALTRA ADM CONS LTDA</t>
  </si>
  <si>
    <t>VEMAR ADM DE CONSÓRCIO LTDA</t>
  </si>
  <si>
    <t>VKN ADM CONS LTDA</t>
  </si>
  <si>
    <t>YAMAHA ADM CONS LTDA</t>
  </si>
  <si>
    <t>ÁPICE ADM DE CONSORCIO LTDA</t>
  </si>
  <si>
    <t>ÂNCORA ADM CONS S.A.</t>
  </si>
  <si>
    <t>BBC ADM CONS LTDA</t>
  </si>
  <si>
    <t>CNK ADM CONS LTDA.</t>
  </si>
  <si>
    <t>DISAL  ADM CONS LTDA</t>
  </si>
  <si>
    <t>EUTBEM ADM CONS S.A.</t>
  </si>
  <si>
    <t>MULTIMARCAS ADM.CONS.LTDA.</t>
  </si>
  <si>
    <t>REMAZA ADM CONS LTDA</t>
  </si>
  <si>
    <t>SIMPALA ADM CONSÓRCIOS LTDA.</t>
  </si>
  <si>
    <t>UNECONSORCIO</t>
  </si>
  <si>
    <t>VIVIANI ADM CONS NACIONAL LTDA.</t>
  </si>
  <si>
    <t>ZEMA ADM. CONSÓRCIO  LTDA</t>
  </si>
  <si>
    <t>CONESUL ADM CONS LTDA</t>
  </si>
  <si>
    <t>DISBRAVE ADM CONS LTDA.</t>
  </si>
  <si>
    <t>PROMOVE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</si>
</sst>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0" fontId="0" fillId="0" borderId="0" xfId="1" applyNumberFormat="1" applyFont="1"/>
    <xf numFmtId="44" fontId="0" fillId="0" borderId="0" xfId="2" applyFont="1" applyAlignment="1">
      <alignment horizontal="left"/>
    </xf>
  </cellXfs>
  <cellStyles count="3">
    <cellStyle name="Moeda" xfId="2" builtinId="4"/>
    <cellStyle name="Normal" xfId="0" builtinId="0"/>
    <cellStyle name="Porcentagem" xfId="1" builtinId="5"/>
  </cellStyles>
  <dxfs count="11">
    <dxf>
      <numFmt numFmtId="14" formatCode="0.00%"/>
    </dxf>
    <dxf>
      <numFmt numFmtId="14" formatCode="0.00%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E84009B-FCC3-4912-8808-94BE5027D03D}" autoFormatId="16" applyNumberFormats="0" applyBorderFormats="0" applyFontFormats="0" applyPatternFormats="0" applyAlignmentFormats="0" applyWidthHeightFormats="0">
  <queryTableRefresh nextId="26">
    <queryTableFields count="24">
      <queryTableField id="1" name="#Nome_da_Administradora" tableColumnId="1"/>
      <queryTableField id="3" name="Data_base" tableColumnId="3"/>
      <queryTableField id="4" name="Código_do_segmento" tableColumnId="4"/>
      <queryTableField id="25" dataBound="0" tableColumnId="25"/>
      <queryTableField id="5" name="Taxa_de_administração" tableColumnId="5"/>
      <queryTableField id="6" name="Quantidade_de_grupos_ativos" tableColumnId="6"/>
      <queryTableField id="7" name="Quantidade_de_grupos_constituídos_no_mês" tableColumnId="7"/>
      <queryTableField id="8" name="Quantidade_de_grupos_encerrados_no_mês" tableColumnId="8"/>
      <queryTableField id="9" name="Quantidade_de_cotas_comercializadas_no_mês" tableColumnId="9"/>
      <queryTableField id="10" name="Quantidade_de_cotas_excluídas_a_comercializar" tableColumnId="10"/>
      <queryTableField id="11" name="Quantidade_acumulada_de_cotas_ativas_contempladas" tableColumnId="11"/>
      <queryTableField id="12" name="Quantidade_de_cotas_ativas_não_contempladas" tableColumnId="12"/>
      <queryTableField id="13" name="Quantidade_de_cotas_ativas_contempladas_no_mês" tableColumnId="13"/>
      <queryTableField id="14" name="Quantidade_de_cotas_ativas_em_dia" tableColumnId="14"/>
      <queryTableField id="15" name="Quantidade_de_cotas_ativas_contempladas_inadimplentes" tableColumnId="15"/>
      <queryTableField id="16" name="Quantidade_de_cotas_ativas_não_contempladas_inadimplentes" tableColumnId="16"/>
      <queryTableField id="17" name="Quantidade_de_cotas_excluídas" tableColumnId="17"/>
      <queryTableField id="18" name="Quantidade_de_cotas_ativas_quitadas" tableColumnId="18"/>
      <queryTableField id="19" name="Quantidade_de_cotas_ativas_com_crédito_pendente_de_utilização" tableColumnId="19"/>
      <queryTableField id="20" name="Ativos" tableColumnId="20"/>
      <queryTableField id="21" name="Excluídos" tableColumnId="21"/>
      <queryTableField id="22" name="Comercializados" tableColumnId="22"/>
      <queryTableField id="23" name="% Excluídas" tableColumnId="23"/>
      <queryTableField id="24" name="% Ativa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C7D97-44FC-4F70-91F0-483BE652586F}" name="Base" displayName="Base" ref="A1:X733" tableType="queryTable" totalsRowShown="0">
  <autoFilter ref="A1:X733" xr:uid="{E17F653B-A229-4F83-B76B-BAE7E84EF42F}"/>
  <tableColumns count="24">
    <tableColumn id="1" xr3:uid="{91C4D364-30D8-4A71-8F6D-B29329094C8F}" uniqueName="1" name="#Nome_da_Administradora" queryTableFieldId="1" dataDxfId="5"/>
    <tableColumn id="3" xr3:uid="{5F147D5C-D2D8-48A9-B18A-3453B4B950A1}" uniqueName="3" name="Data_base" queryTableFieldId="3" dataDxfId="4"/>
    <tableColumn id="4" xr3:uid="{7E7BF4C3-B4EE-44AD-BA9D-2BDCAF3BBC59}" uniqueName="4" name="Código_do_segmento" queryTableFieldId="4" dataDxfId="3"/>
    <tableColumn id="25" xr3:uid="{DC3DCE32-CDFC-48C7-AB87-A14C7162F9CD}" uniqueName="25" name="Segmentação" queryTableFieldId="25" dataDxfId="2">
      <calculatedColumnFormula>INDEX(Codigos_Bens[Segmentação],MATCH(Base[[#This Row],[Código_do_segmento]],Codigos_Bens[Cod.],0))</calculatedColumnFormula>
    </tableColumn>
    <tableColumn id="5" xr3:uid="{23B1316C-5A50-4DD5-90BB-6633428FAC46}" uniqueName="5" name="Taxa_de_administração" queryTableFieldId="5"/>
    <tableColumn id="6" xr3:uid="{8F25C67C-6ED0-4AFA-BC4B-4B7E74DF2303}" uniqueName="6" name="Quantidade_de_grupos_ativos" queryTableFieldId="6"/>
    <tableColumn id="7" xr3:uid="{6C248725-65E6-45E4-B3F9-8F7FC27A3941}" uniqueName="7" name="Quantidade_de_grupos_constituídos_no_mês" queryTableFieldId="7"/>
    <tableColumn id="8" xr3:uid="{A2415F90-745A-4D1A-99FD-02D3EDF13D3C}" uniqueName="8" name="Quantidade_de_grupos_encerrados_no_mês" queryTableFieldId="8"/>
    <tableColumn id="9" xr3:uid="{01E0C868-8A1E-48B8-8A19-B026048CCE70}" uniqueName="9" name="Quantidade_de_cotas_comercializadas_no_mês" queryTableFieldId="9"/>
    <tableColumn id="10" xr3:uid="{69F6A0BB-2326-4751-B5E3-D57ED290999C}" uniqueName="10" name="Quantidade_de_cotas_excluídas_a_comercializar" queryTableFieldId="10"/>
    <tableColumn id="11" xr3:uid="{3C1FC7AD-219D-4D8F-909F-0A2B923A2A75}" uniqueName="11" name="Quantidade_acumulada_de_cotas_ativas_contempladas" queryTableFieldId="11"/>
    <tableColumn id="12" xr3:uid="{C22B9A95-3C21-4269-976B-11F2719261B3}" uniqueName="12" name="Quantidade_de_cotas_ativas_não_contempladas" queryTableFieldId="12"/>
    <tableColumn id="13" xr3:uid="{95D4B663-5AB9-41BD-95E7-7DF16BFBCAA4}" uniqueName="13" name="Quantidade_de_cotas_ativas_contempladas_no_mês" queryTableFieldId="13"/>
    <tableColumn id="14" xr3:uid="{3775D931-D214-4C90-B252-67511627279B}" uniqueName="14" name="Quantidade_de_cotas_ativas_em_dia" queryTableFieldId="14"/>
    <tableColumn id="15" xr3:uid="{DFCF223A-D162-4561-BDE4-1D90FDB9F804}" uniqueName="15" name="Quantidade_de_cotas_ativas_contempladas_inadimplentes" queryTableFieldId="15"/>
    <tableColumn id="16" xr3:uid="{09207AE0-D1F9-445C-A6FF-9C87A7675890}" uniqueName="16" name="Quantidade_de_cotas_ativas_não_contempladas_inadimplentes" queryTableFieldId="16"/>
    <tableColumn id="17" xr3:uid="{D8B5FC62-C2E7-47C5-A621-D359A44F6F40}" uniqueName="17" name="Quantidade_de_cotas_excluídas" queryTableFieldId="17"/>
    <tableColumn id="18" xr3:uid="{C9B3AEDD-695E-4F5F-A6CF-7161B464A848}" uniqueName="18" name="Quantidade_de_cotas_ativas_quitadas" queryTableFieldId="18"/>
    <tableColumn id="19" xr3:uid="{15468F9C-DE9D-4CDF-A550-77A515E41174}" uniqueName="19" name="Quantidade_de_cotas_ativas_com_crédito_pendente_de_utilização" queryTableFieldId="19"/>
    <tableColumn id="20" xr3:uid="{207DD622-3E26-40AB-8679-41172D792094}" uniqueName="20" name="Ativos" queryTableFieldId="20"/>
    <tableColumn id="21" xr3:uid="{7AC91437-5654-46C5-B6FF-36E6769A6C13}" uniqueName="21" name="Excluídos" queryTableFieldId="21"/>
    <tableColumn id="22" xr3:uid="{0476E536-6B45-484F-9A6A-A38FB9BC5DCF}" uniqueName="22" name="Comercializados" queryTableFieldId="22"/>
    <tableColumn id="23" xr3:uid="{5040CB51-8BCA-42AB-B541-7C28B4717A01}" uniqueName="23" name="% Excluídas" queryTableFieldId="23" dataDxfId="1" dataCellStyle="Porcentagem"/>
    <tableColumn id="24" xr3:uid="{1E225321-1FF8-4638-AE08-20A50C39E2F3}" uniqueName="24" name="% Ativas" queryTableFieldId="24" dataDxfId="0" dataCellStyle="Porcentage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66D7C9-D44C-4948-8E33-0131F86C0966}" name="Codigos_Bens" displayName="Codigos_Bens" ref="A1:B7" totalsRowShown="0" headerRowDxfId="10" dataDxfId="9">
  <autoFilter ref="A1:B7" xr:uid="{8EFCF310-3D23-45E3-B91C-24C1451906D0}"/>
  <tableColumns count="2">
    <tableColumn id="1" xr3:uid="{D064112D-75F3-45BC-A905-4486F2267B69}" name="Cod." dataDxfId="8"/>
    <tableColumn id="2" xr3:uid="{F816E754-DE8E-450E-855A-2B420B689D9F}" name="Segmentação" dataDxf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896DEB-7E56-46CE-A85C-B3115EC3E3AB}" name="Totais_Cotas" displayName="Totais_Cotas" ref="A9:B12" totalsRowShown="0">
  <autoFilter ref="A9:B12" xr:uid="{9960FE82-92AC-4149-B858-D3ECCCB7941A}"/>
  <tableColumns count="2">
    <tableColumn id="1" xr3:uid="{690B702E-9E4B-4568-B3B2-7AED7F0F0B4A}" name="Situação"/>
    <tableColumn id="2" xr3:uid="{1E019683-85B3-4055-9506-67164A2788B5}" name="Valor" dataDxfId="6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B828-2CB0-4024-9211-44F840DAB564}">
  <dimension ref="A1:X733"/>
  <sheetViews>
    <sheetView tabSelected="1" workbookViewId="0">
      <selection activeCell="A2" sqref="A2"/>
    </sheetView>
  </sheetViews>
  <sheetFormatPr defaultRowHeight="15" x14ac:dyDescent="0.25"/>
  <cols>
    <col min="1" max="1" width="40.85546875" bestFit="1" customWidth="1"/>
    <col min="2" max="2" width="12.42578125" bestFit="1" customWidth="1"/>
    <col min="3" max="3" width="25.140625" style="2" bestFit="1" customWidth="1"/>
    <col min="4" max="4" width="16.28515625" bestFit="1" customWidth="1"/>
    <col min="5" max="5" width="24.42578125" bestFit="1" customWidth="1"/>
    <col min="6" max="6" width="30.85546875" bestFit="1" customWidth="1"/>
    <col min="7" max="7" width="45" bestFit="1" customWidth="1"/>
    <col min="8" max="8" width="43.85546875" bestFit="1" customWidth="1"/>
    <col min="9" max="9" width="46.7109375" bestFit="1" customWidth="1"/>
    <col min="10" max="10" width="47.7109375" bestFit="1" customWidth="1"/>
    <col min="11" max="11" width="54.140625" bestFit="1" customWidth="1"/>
    <col min="12" max="12" width="47.5703125" bestFit="1" customWidth="1"/>
    <col min="13" max="13" width="51.42578125" bestFit="1" customWidth="1"/>
    <col min="14" max="14" width="37.140625" bestFit="1" customWidth="1"/>
    <col min="15" max="15" width="57.5703125" bestFit="1" customWidth="1"/>
    <col min="16" max="16" width="62" bestFit="1" customWidth="1"/>
    <col min="17" max="17" width="32.5703125" bestFit="1" customWidth="1"/>
    <col min="18" max="18" width="38.140625" bestFit="1" customWidth="1"/>
    <col min="19" max="19" width="64.85546875" bestFit="1" customWidth="1"/>
    <col min="20" max="20" width="8.85546875" bestFit="1" customWidth="1"/>
    <col min="21" max="21" width="11.5703125" bestFit="1" customWidth="1"/>
    <col min="22" max="22" width="17.85546875" bestFit="1" customWidth="1"/>
    <col min="23" max="23" width="13.42578125" style="4" bestFit="1" customWidth="1"/>
    <col min="24" max="24" width="10.7109375" style="4" bestFit="1" customWidth="1"/>
    <col min="25" max="25" width="12" bestFit="1" customWidth="1"/>
  </cols>
  <sheetData>
    <row r="1" spans="1:24" x14ac:dyDescent="0.25">
      <c r="A1" t="s">
        <v>0</v>
      </c>
      <c r="B1" s="1" t="s">
        <v>1</v>
      </c>
      <c r="C1" s="2" t="s">
        <v>2</v>
      </c>
      <c r="D1" t="s">
        <v>43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4" t="s">
        <v>21</v>
      </c>
      <c r="X1" s="4" t="s">
        <v>22</v>
      </c>
    </row>
    <row r="2" spans="1:24" x14ac:dyDescent="0.25">
      <c r="A2" s="1" t="s">
        <v>46</v>
      </c>
      <c r="B2" s="1">
        <v>202103</v>
      </c>
      <c r="C2" s="2">
        <v>1</v>
      </c>
      <c r="D2" s="1" t="str">
        <f>INDEX(Codigos_Bens[Segmentação],MATCH(Base[[#This Row],[Código_do_segmento]],Codigos_Bens[Cod.],0))</f>
        <v>Imóveis</v>
      </c>
      <c r="E2">
        <v>22.810009999999998</v>
      </c>
      <c r="F2">
        <v>38</v>
      </c>
      <c r="G2">
        <v>1</v>
      </c>
      <c r="H2">
        <v>0</v>
      </c>
      <c r="I2">
        <v>2738</v>
      </c>
      <c r="J2">
        <v>3144</v>
      </c>
      <c r="K2">
        <v>11428</v>
      </c>
      <c r="L2">
        <v>44249</v>
      </c>
      <c r="M2">
        <v>228</v>
      </c>
      <c r="N2">
        <v>49711</v>
      </c>
      <c r="O2">
        <v>1263</v>
      </c>
      <c r="P2">
        <v>4703</v>
      </c>
      <c r="Q2">
        <v>49986</v>
      </c>
      <c r="R2">
        <v>2511</v>
      </c>
      <c r="S2">
        <v>2335</v>
      </c>
      <c r="T2">
        <v>55677</v>
      </c>
      <c r="U2">
        <v>49986</v>
      </c>
      <c r="V2">
        <v>105663</v>
      </c>
      <c r="W2" s="4">
        <v>0.4730700434399932</v>
      </c>
      <c r="X2" s="4">
        <v>0.52692995656000685</v>
      </c>
    </row>
    <row r="3" spans="1:24" x14ac:dyDescent="0.25">
      <c r="A3" s="1" t="s">
        <v>46</v>
      </c>
      <c r="B3" s="1">
        <v>202103</v>
      </c>
      <c r="C3" s="2">
        <v>2</v>
      </c>
      <c r="D3" s="1" t="str">
        <f>INDEX(Codigos_Bens[Segmentação],MATCH(Base[[#This Row],[Código_do_segmento]],Codigos_Bens[Cod.],0))</f>
        <v>Veículos Pesados</v>
      </c>
      <c r="E3">
        <v>13.67459</v>
      </c>
      <c r="F3">
        <v>57</v>
      </c>
      <c r="G3">
        <v>2</v>
      </c>
      <c r="H3">
        <v>0</v>
      </c>
      <c r="I3">
        <v>891</v>
      </c>
      <c r="J3">
        <v>2178</v>
      </c>
      <c r="K3">
        <v>17434</v>
      </c>
      <c r="L3">
        <v>18185</v>
      </c>
      <c r="M3">
        <v>316</v>
      </c>
      <c r="N3">
        <v>32447</v>
      </c>
      <c r="O3">
        <v>1306</v>
      </c>
      <c r="P3">
        <v>1866</v>
      </c>
      <c r="Q3">
        <v>17445</v>
      </c>
      <c r="R3">
        <v>8141</v>
      </c>
      <c r="S3">
        <v>1457</v>
      </c>
      <c r="T3">
        <v>35619</v>
      </c>
      <c r="U3">
        <v>17445</v>
      </c>
      <c r="V3">
        <v>53064</v>
      </c>
      <c r="W3" s="4">
        <v>0.32875395748530079</v>
      </c>
      <c r="X3" s="4">
        <v>0.67124604251469921</v>
      </c>
    </row>
    <row r="4" spans="1:24" x14ac:dyDescent="0.25">
      <c r="A4" s="1" t="s">
        <v>46</v>
      </c>
      <c r="B4" s="1">
        <v>202103</v>
      </c>
      <c r="C4" s="2">
        <v>3</v>
      </c>
      <c r="D4" s="1" t="str">
        <f>INDEX(Codigos_Bens[Segmentação],MATCH(Base[[#This Row],[Código_do_segmento]],Codigos_Bens[Cod.],0))</f>
        <v>Veículos Leves</v>
      </c>
      <c r="E4">
        <v>14.14143</v>
      </c>
      <c r="F4">
        <v>15</v>
      </c>
      <c r="G4">
        <v>1</v>
      </c>
      <c r="H4">
        <v>0</v>
      </c>
      <c r="I4">
        <v>918</v>
      </c>
      <c r="J4">
        <v>447</v>
      </c>
      <c r="K4">
        <v>1537</v>
      </c>
      <c r="L4">
        <v>7426</v>
      </c>
      <c r="M4">
        <v>94</v>
      </c>
      <c r="N4">
        <v>7672</v>
      </c>
      <c r="O4">
        <v>123</v>
      </c>
      <c r="P4">
        <v>1168</v>
      </c>
      <c r="Q4">
        <v>1828</v>
      </c>
      <c r="R4">
        <v>382</v>
      </c>
      <c r="S4">
        <v>307</v>
      </c>
      <c r="T4">
        <v>8963</v>
      </c>
      <c r="U4">
        <v>1828</v>
      </c>
      <c r="V4">
        <v>10791</v>
      </c>
      <c r="W4" s="4">
        <v>0.16940042628116023</v>
      </c>
      <c r="X4" s="4">
        <v>0.83059957371883975</v>
      </c>
    </row>
    <row r="5" spans="1:24" x14ac:dyDescent="0.25">
      <c r="A5" s="1" t="s">
        <v>46</v>
      </c>
      <c r="B5" s="1">
        <v>202103</v>
      </c>
      <c r="C5" s="2">
        <v>4</v>
      </c>
      <c r="D5" s="1" t="str">
        <f>INDEX(Codigos_Bens[Segmentação],MATCH(Base[[#This Row],[Código_do_segmento]],Codigos_Bens[Cod.],0))</f>
        <v>Motocicletas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4">
        <v>0</v>
      </c>
      <c r="X5" s="4">
        <v>0</v>
      </c>
    </row>
    <row r="6" spans="1:24" x14ac:dyDescent="0.25">
      <c r="A6" s="1" t="s">
        <v>46</v>
      </c>
      <c r="B6" s="1">
        <v>202103</v>
      </c>
      <c r="C6" s="2">
        <v>5</v>
      </c>
      <c r="D6" s="1" t="str">
        <f>INDEX(Codigos_Bens[Segmentação],MATCH(Base[[#This Row],[Código_do_segmento]],Codigos_Bens[Cod.],0))</f>
        <v>Outros bens</v>
      </c>
      <c r="E6">
        <v>18.159079999999999</v>
      </c>
      <c r="F6">
        <v>1</v>
      </c>
      <c r="G6">
        <v>0</v>
      </c>
      <c r="H6">
        <v>0</v>
      </c>
      <c r="I6">
        <v>1</v>
      </c>
      <c r="J6">
        <v>35</v>
      </c>
      <c r="K6">
        <v>93</v>
      </c>
      <c r="L6">
        <v>81</v>
      </c>
      <c r="M6">
        <v>4</v>
      </c>
      <c r="N6">
        <v>141</v>
      </c>
      <c r="O6">
        <v>8</v>
      </c>
      <c r="P6">
        <v>25</v>
      </c>
      <c r="Q6">
        <v>39</v>
      </c>
      <c r="R6">
        <v>6</v>
      </c>
      <c r="S6">
        <v>37</v>
      </c>
      <c r="T6">
        <v>174</v>
      </c>
      <c r="U6">
        <v>39</v>
      </c>
      <c r="V6">
        <v>213</v>
      </c>
      <c r="W6" s="4">
        <v>0.18309859154929578</v>
      </c>
      <c r="X6" s="4">
        <v>0.81690140845070425</v>
      </c>
    </row>
    <row r="7" spans="1:24" x14ac:dyDescent="0.25">
      <c r="A7" s="1" t="s">
        <v>46</v>
      </c>
      <c r="B7" s="1">
        <v>202103</v>
      </c>
      <c r="C7" s="2">
        <v>6</v>
      </c>
      <c r="D7" s="1" t="str">
        <f>INDEX(Codigos_Bens[Segmentação],MATCH(Base[[#This Row],[Código_do_segmento]],Codigos_Bens[Cod.],0))</f>
        <v>Serviços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4">
        <v>0</v>
      </c>
      <c r="X7" s="4">
        <v>0</v>
      </c>
    </row>
    <row r="8" spans="1:24" x14ac:dyDescent="0.25">
      <c r="A8" s="1" t="s">
        <v>47</v>
      </c>
      <c r="B8" s="1">
        <v>202103</v>
      </c>
      <c r="C8" s="2">
        <v>1</v>
      </c>
      <c r="D8" s="1" t="str">
        <f>INDEX(Codigos_Bens[Segmentação],MATCH(Base[[#This Row],[Código_do_segmento]],Codigos_Bens[Cod.],0))</f>
        <v>Imóveis</v>
      </c>
      <c r="E8">
        <v>21.64292</v>
      </c>
      <c r="F8">
        <v>5</v>
      </c>
      <c r="G8">
        <v>0</v>
      </c>
      <c r="H8">
        <v>0</v>
      </c>
      <c r="I8">
        <v>37</v>
      </c>
      <c r="J8">
        <v>943</v>
      </c>
      <c r="K8">
        <v>466</v>
      </c>
      <c r="L8">
        <v>891</v>
      </c>
      <c r="M8">
        <v>4</v>
      </c>
      <c r="N8">
        <v>1221</v>
      </c>
      <c r="O8">
        <v>78</v>
      </c>
      <c r="P8">
        <v>58</v>
      </c>
      <c r="Q8">
        <v>1698</v>
      </c>
      <c r="R8">
        <v>82</v>
      </c>
      <c r="S8">
        <v>87</v>
      </c>
      <c r="T8">
        <v>1357</v>
      </c>
      <c r="U8">
        <v>1698</v>
      </c>
      <c r="V8">
        <v>3055</v>
      </c>
      <c r="W8" s="4">
        <v>0.55581014729950895</v>
      </c>
      <c r="X8" s="4">
        <v>0.44418985270049099</v>
      </c>
    </row>
    <row r="9" spans="1:24" x14ac:dyDescent="0.25">
      <c r="A9" s="1" t="s">
        <v>47</v>
      </c>
      <c r="B9" s="1">
        <v>202103</v>
      </c>
      <c r="C9" s="2">
        <v>2</v>
      </c>
      <c r="D9" s="1" t="str">
        <f>INDEX(Codigos_Bens[Segmentação],MATCH(Base[[#This Row],[Código_do_segmento]],Codigos_Bens[Cod.],0))</f>
        <v>Veículos Pesados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4">
        <v>0</v>
      </c>
      <c r="X9" s="4">
        <v>0</v>
      </c>
    </row>
    <row r="10" spans="1:24" x14ac:dyDescent="0.25">
      <c r="A10" s="1" t="s">
        <v>47</v>
      </c>
      <c r="B10" s="1">
        <v>202103</v>
      </c>
      <c r="C10" s="2">
        <v>3</v>
      </c>
      <c r="D10" s="1" t="str">
        <f>INDEX(Codigos_Bens[Segmentação],MATCH(Base[[#This Row],[Código_do_segmento]],Codigos_Bens[Cod.],0))</f>
        <v>Veículos Leves</v>
      </c>
      <c r="E10">
        <v>17.421199999999999</v>
      </c>
      <c r="F10">
        <v>4</v>
      </c>
      <c r="G10">
        <v>0</v>
      </c>
      <c r="H10">
        <v>0</v>
      </c>
      <c r="I10">
        <v>13</v>
      </c>
      <c r="J10">
        <v>344</v>
      </c>
      <c r="K10">
        <v>473</v>
      </c>
      <c r="L10">
        <v>362</v>
      </c>
      <c r="M10">
        <v>10</v>
      </c>
      <c r="N10">
        <v>750</v>
      </c>
      <c r="O10">
        <v>43</v>
      </c>
      <c r="P10">
        <v>42</v>
      </c>
      <c r="Q10">
        <v>968</v>
      </c>
      <c r="R10">
        <v>179</v>
      </c>
      <c r="S10">
        <v>44</v>
      </c>
      <c r="T10">
        <v>835</v>
      </c>
      <c r="U10">
        <v>968</v>
      </c>
      <c r="V10">
        <v>1803</v>
      </c>
      <c r="W10" s="4">
        <v>0.53688297282307262</v>
      </c>
      <c r="X10" s="4">
        <v>0.46311702717692732</v>
      </c>
    </row>
    <row r="11" spans="1:24" x14ac:dyDescent="0.25">
      <c r="A11" s="1" t="s">
        <v>47</v>
      </c>
      <c r="B11" s="1">
        <v>202103</v>
      </c>
      <c r="C11" s="2">
        <v>4</v>
      </c>
      <c r="D11" s="1" t="str">
        <f>INDEX(Codigos_Bens[Segmentação],MATCH(Base[[#This Row],[Código_do_segmento]],Codigos_Bens[Cod.],0))</f>
        <v>Motocicletas</v>
      </c>
      <c r="E11">
        <v>16.680869999999999</v>
      </c>
      <c r="F11">
        <v>14</v>
      </c>
      <c r="G11">
        <v>0</v>
      </c>
      <c r="H11">
        <v>0</v>
      </c>
      <c r="I11">
        <v>72</v>
      </c>
      <c r="J11">
        <v>492</v>
      </c>
      <c r="K11">
        <v>2097</v>
      </c>
      <c r="L11">
        <v>1628</v>
      </c>
      <c r="M11">
        <v>41</v>
      </c>
      <c r="N11">
        <v>3342</v>
      </c>
      <c r="O11">
        <v>225</v>
      </c>
      <c r="P11">
        <v>158</v>
      </c>
      <c r="Q11">
        <v>2247</v>
      </c>
      <c r="R11">
        <v>642</v>
      </c>
      <c r="S11">
        <v>267</v>
      </c>
      <c r="T11">
        <v>3725</v>
      </c>
      <c r="U11">
        <v>2247</v>
      </c>
      <c r="V11">
        <v>5972</v>
      </c>
      <c r="W11" s="4">
        <v>0.37625586068318823</v>
      </c>
      <c r="X11" s="4">
        <v>0.62374413931681183</v>
      </c>
    </row>
    <row r="12" spans="1:24" x14ac:dyDescent="0.25">
      <c r="A12" s="1" t="s">
        <v>47</v>
      </c>
      <c r="B12" s="1">
        <v>202103</v>
      </c>
      <c r="C12" s="2">
        <v>5</v>
      </c>
      <c r="D12" s="1" t="str">
        <f>INDEX(Codigos_Bens[Segmentação],MATCH(Base[[#This Row],[Código_do_segmento]],Codigos_Bens[Cod.],0))</f>
        <v>Outros bens</v>
      </c>
      <c r="E12">
        <v>18.84808</v>
      </c>
      <c r="F12">
        <v>14</v>
      </c>
      <c r="G12">
        <v>0</v>
      </c>
      <c r="H12">
        <v>0</v>
      </c>
      <c r="I12">
        <v>62</v>
      </c>
      <c r="J12">
        <v>523</v>
      </c>
      <c r="K12">
        <v>1236</v>
      </c>
      <c r="L12">
        <v>1362</v>
      </c>
      <c r="M12">
        <v>47</v>
      </c>
      <c r="N12">
        <v>2326</v>
      </c>
      <c r="O12">
        <v>135</v>
      </c>
      <c r="P12">
        <v>137</v>
      </c>
      <c r="Q12">
        <v>998</v>
      </c>
      <c r="R12">
        <v>229</v>
      </c>
      <c r="S12">
        <v>273</v>
      </c>
      <c r="T12">
        <v>2598</v>
      </c>
      <c r="U12">
        <v>998</v>
      </c>
      <c r="V12">
        <v>3596</v>
      </c>
      <c r="W12" s="4">
        <v>0.27753058954393772</v>
      </c>
      <c r="X12" s="4">
        <v>0.72246941045606228</v>
      </c>
    </row>
    <row r="13" spans="1:24" x14ac:dyDescent="0.25">
      <c r="A13" s="1" t="s">
        <v>47</v>
      </c>
      <c r="B13" s="1">
        <v>202103</v>
      </c>
      <c r="C13" s="2">
        <v>6</v>
      </c>
      <c r="D13" s="1" t="str">
        <f>INDEX(Codigos_Bens[Segmentação],MATCH(Base[[#This Row],[Código_do_segmento]],Codigos_Bens[Cod.],0))</f>
        <v>Serviços</v>
      </c>
      <c r="E13">
        <v>17.976700000000001</v>
      </c>
      <c r="F13">
        <v>5</v>
      </c>
      <c r="G13">
        <v>0</v>
      </c>
      <c r="H13">
        <v>0</v>
      </c>
      <c r="I13">
        <v>14</v>
      </c>
      <c r="J13">
        <v>90</v>
      </c>
      <c r="K13">
        <v>275</v>
      </c>
      <c r="L13">
        <v>311</v>
      </c>
      <c r="M13">
        <v>9</v>
      </c>
      <c r="N13">
        <v>507</v>
      </c>
      <c r="O13">
        <v>32</v>
      </c>
      <c r="P13">
        <v>47</v>
      </c>
      <c r="Q13">
        <v>268</v>
      </c>
      <c r="R13">
        <v>70</v>
      </c>
      <c r="S13">
        <v>44</v>
      </c>
      <c r="T13">
        <v>586</v>
      </c>
      <c r="U13">
        <v>268</v>
      </c>
      <c r="V13">
        <v>854</v>
      </c>
      <c r="W13" s="4">
        <v>0.31381733021077285</v>
      </c>
      <c r="X13" s="4">
        <v>0.68618266978922715</v>
      </c>
    </row>
    <row r="14" spans="1:24" x14ac:dyDescent="0.25">
      <c r="A14" s="1" t="s">
        <v>48</v>
      </c>
      <c r="B14" s="1">
        <v>202103</v>
      </c>
      <c r="C14" s="2">
        <v>1</v>
      </c>
      <c r="D14" s="1" t="str">
        <f>INDEX(Codigos_Bens[Segmentação],MATCH(Base[[#This Row],[Código_do_segmento]],Codigos_Bens[Cod.],0))</f>
        <v>Imóveis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4">
        <v>0</v>
      </c>
      <c r="X14" s="4">
        <v>0</v>
      </c>
    </row>
    <row r="15" spans="1:24" x14ac:dyDescent="0.25">
      <c r="A15" s="1" t="s">
        <v>48</v>
      </c>
      <c r="B15" s="1">
        <v>202103</v>
      </c>
      <c r="C15" s="2">
        <v>2</v>
      </c>
      <c r="D15" s="1" t="str">
        <f>INDEX(Codigos_Bens[Segmentação],MATCH(Base[[#This Row],[Código_do_segmento]],Codigos_Bens[Cod.],0))</f>
        <v>Veículos Pesados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4">
        <v>0</v>
      </c>
      <c r="X15" s="4">
        <v>0</v>
      </c>
    </row>
    <row r="16" spans="1:24" x14ac:dyDescent="0.25">
      <c r="A16" s="1" t="s">
        <v>48</v>
      </c>
      <c r="B16" s="1">
        <v>202103</v>
      </c>
      <c r="C16" s="2">
        <v>3</v>
      </c>
      <c r="D16" s="1" t="str">
        <f>INDEX(Codigos_Bens[Segmentação],MATCH(Base[[#This Row],[Código_do_segmento]],Codigos_Bens[Cod.],0))</f>
        <v>Veículos Leves</v>
      </c>
      <c r="E16">
        <v>19.242229999999999</v>
      </c>
      <c r="F16">
        <v>33</v>
      </c>
      <c r="G16">
        <v>0</v>
      </c>
      <c r="H16">
        <v>0</v>
      </c>
      <c r="I16">
        <v>703</v>
      </c>
      <c r="J16">
        <v>10118</v>
      </c>
      <c r="K16">
        <v>5479</v>
      </c>
      <c r="L16">
        <v>10703</v>
      </c>
      <c r="M16">
        <v>193</v>
      </c>
      <c r="N16">
        <v>13934</v>
      </c>
      <c r="O16">
        <v>552</v>
      </c>
      <c r="P16">
        <v>1696</v>
      </c>
      <c r="Q16">
        <v>37259</v>
      </c>
      <c r="R16">
        <v>1231</v>
      </c>
      <c r="S16">
        <v>1052</v>
      </c>
      <c r="T16">
        <v>16182</v>
      </c>
      <c r="U16">
        <v>37259</v>
      </c>
      <c r="V16">
        <v>53441</v>
      </c>
      <c r="W16" s="4">
        <v>0.69719877996294977</v>
      </c>
      <c r="X16" s="4">
        <v>0.30280122003705018</v>
      </c>
    </row>
    <row r="17" spans="1:24" x14ac:dyDescent="0.25">
      <c r="A17" s="1" t="s">
        <v>48</v>
      </c>
      <c r="B17" s="1">
        <v>202103</v>
      </c>
      <c r="C17" s="2">
        <v>4</v>
      </c>
      <c r="D17" s="1" t="str">
        <f>INDEX(Codigos_Bens[Segmentação],MATCH(Base[[#This Row],[Código_do_segmento]],Codigos_Bens[Cod.],0))</f>
        <v>Motocicletas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4">
        <v>0</v>
      </c>
      <c r="X17" s="4">
        <v>0</v>
      </c>
    </row>
    <row r="18" spans="1:24" x14ac:dyDescent="0.25">
      <c r="A18" s="1" t="s">
        <v>48</v>
      </c>
      <c r="B18" s="1">
        <v>202103</v>
      </c>
      <c r="C18" s="2">
        <v>5</v>
      </c>
      <c r="D18" s="1" t="str">
        <f>INDEX(Codigos_Bens[Segmentação],MATCH(Base[[#This Row],[Código_do_segmento]],Codigos_Bens[Cod.],0))</f>
        <v>Outros bens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4">
        <v>0</v>
      </c>
      <c r="X18" s="4">
        <v>0</v>
      </c>
    </row>
    <row r="19" spans="1:24" x14ac:dyDescent="0.25">
      <c r="A19" s="1" t="s">
        <v>48</v>
      </c>
      <c r="B19" s="1">
        <v>202103</v>
      </c>
      <c r="C19" s="2">
        <v>6</v>
      </c>
      <c r="D19" s="1" t="str">
        <f>INDEX(Codigos_Bens[Segmentação],MATCH(Base[[#This Row],[Código_do_segmento]],Codigos_Bens[Cod.],0))</f>
        <v>Serviços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4">
        <v>0</v>
      </c>
      <c r="X19" s="4">
        <v>0</v>
      </c>
    </row>
    <row r="20" spans="1:24" x14ac:dyDescent="0.25">
      <c r="A20" s="1" t="s">
        <v>49</v>
      </c>
      <c r="B20" s="1">
        <v>202103</v>
      </c>
      <c r="C20" s="2">
        <v>1</v>
      </c>
      <c r="D20" s="1" t="str">
        <f>INDEX(Codigos_Bens[Segmentação],MATCH(Base[[#This Row],[Código_do_segmento]],Codigos_Bens[Cod.],0))</f>
        <v>Imóveis</v>
      </c>
      <c r="E20">
        <v>13.743880000000001</v>
      </c>
      <c r="F20">
        <v>57</v>
      </c>
      <c r="G20">
        <v>1</v>
      </c>
      <c r="H20">
        <v>0</v>
      </c>
      <c r="I20">
        <v>760</v>
      </c>
      <c r="J20">
        <v>316</v>
      </c>
      <c r="K20">
        <v>13840</v>
      </c>
      <c r="L20">
        <v>20765</v>
      </c>
      <c r="M20">
        <v>239</v>
      </c>
      <c r="N20">
        <v>32041</v>
      </c>
      <c r="O20">
        <v>600</v>
      </c>
      <c r="P20">
        <v>1964</v>
      </c>
      <c r="Q20">
        <v>14253</v>
      </c>
      <c r="R20">
        <v>4082</v>
      </c>
      <c r="S20">
        <v>4411</v>
      </c>
      <c r="T20">
        <v>34605</v>
      </c>
      <c r="U20">
        <v>14253</v>
      </c>
      <c r="V20">
        <v>48858</v>
      </c>
      <c r="W20" s="4">
        <v>0.29172295222890826</v>
      </c>
      <c r="X20" s="4">
        <v>0.70827704777109168</v>
      </c>
    </row>
    <row r="21" spans="1:24" x14ac:dyDescent="0.25">
      <c r="A21" s="1" t="s">
        <v>49</v>
      </c>
      <c r="B21" s="1">
        <v>202103</v>
      </c>
      <c r="C21" s="2">
        <v>2</v>
      </c>
      <c r="D21" s="1" t="str">
        <f>INDEX(Codigos_Bens[Segmentação],MATCH(Base[[#This Row],[Código_do_segmento]],Codigos_Bens[Cod.],0))</f>
        <v>Veículos Pesados</v>
      </c>
      <c r="E21">
        <v>8.6960599999999992</v>
      </c>
      <c r="F21">
        <v>77</v>
      </c>
      <c r="G21">
        <v>1</v>
      </c>
      <c r="H21">
        <v>1</v>
      </c>
      <c r="I21">
        <v>600</v>
      </c>
      <c r="J21">
        <v>14</v>
      </c>
      <c r="K21">
        <v>14524</v>
      </c>
      <c r="L21">
        <v>11165</v>
      </c>
      <c r="M21">
        <v>256</v>
      </c>
      <c r="N21">
        <v>24568</v>
      </c>
      <c r="O21">
        <v>636</v>
      </c>
      <c r="P21">
        <v>485</v>
      </c>
      <c r="Q21">
        <v>4995</v>
      </c>
      <c r="R21">
        <v>4787</v>
      </c>
      <c r="S21">
        <v>2302</v>
      </c>
      <c r="T21">
        <v>25689</v>
      </c>
      <c r="U21">
        <v>4995</v>
      </c>
      <c r="V21">
        <v>30684</v>
      </c>
      <c r="W21" s="4">
        <v>0.16278842393429802</v>
      </c>
      <c r="X21" s="4">
        <v>0.83721157606570196</v>
      </c>
    </row>
    <row r="22" spans="1:24" x14ac:dyDescent="0.25">
      <c r="A22" s="1" t="s">
        <v>49</v>
      </c>
      <c r="B22" s="1">
        <v>202103</v>
      </c>
      <c r="C22" s="2">
        <v>3</v>
      </c>
      <c r="D22" s="1" t="str">
        <f>INDEX(Codigos_Bens[Segmentação],MATCH(Base[[#This Row],[Código_do_segmento]],Codigos_Bens[Cod.],0))</f>
        <v>Veículos Leves</v>
      </c>
      <c r="E22">
        <v>10.52159</v>
      </c>
      <c r="F22">
        <v>246</v>
      </c>
      <c r="G22">
        <v>3</v>
      </c>
      <c r="H22">
        <v>2</v>
      </c>
      <c r="I22">
        <v>2249</v>
      </c>
      <c r="J22">
        <v>195</v>
      </c>
      <c r="K22">
        <v>43224</v>
      </c>
      <c r="L22">
        <v>38703</v>
      </c>
      <c r="M22">
        <v>1038</v>
      </c>
      <c r="N22">
        <v>77325</v>
      </c>
      <c r="O22">
        <v>1823</v>
      </c>
      <c r="P22">
        <v>2779</v>
      </c>
      <c r="Q22">
        <v>15487</v>
      </c>
      <c r="R22">
        <v>14134</v>
      </c>
      <c r="S22">
        <v>6841</v>
      </c>
      <c r="T22">
        <v>81927</v>
      </c>
      <c r="U22">
        <v>15487</v>
      </c>
      <c r="V22">
        <v>97414</v>
      </c>
      <c r="W22" s="4">
        <v>0.15898125526105078</v>
      </c>
      <c r="X22" s="4">
        <v>0.84101874473894922</v>
      </c>
    </row>
    <row r="23" spans="1:24" x14ac:dyDescent="0.25">
      <c r="A23" s="1" t="s">
        <v>49</v>
      </c>
      <c r="B23" s="1">
        <v>202103</v>
      </c>
      <c r="C23" s="2">
        <v>4</v>
      </c>
      <c r="D23" s="1" t="str">
        <f>INDEX(Codigos_Bens[Segmentação],MATCH(Base[[#This Row],[Código_do_segmento]],Codigos_Bens[Cod.],0))</f>
        <v>Motocicletas</v>
      </c>
      <c r="E23">
        <v>13.04607</v>
      </c>
      <c r="F23">
        <v>113</v>
      </c>
      <c r="G23">
        <v>2</v>
      </c>
      <c r="H23">
        <v>1</v>
      </c>
      <c r="I23">
        <v>1111</v>
      </c>
      <c r="J23">
        <v>239</v>
      </c>
      <c r="K23">
        <v>33769</v>
      </c>
      <c r="L23">
        <v>20218</v>
      </c>
      <c r="M23">
        <v>701</v>
      </c>
      <c r="N23">
        <v>50086</v>
      </c>
      <c r="O23">
        <v>2118</v>
      </c>
      <c r="P23">
        <v>1783</v>
      </c>
      <c r="Q23">
        <v>11547</v>
      </c>
      <c r="R23">
        <v>13025</v>
      </c>
      <c r="S23">
        <v>6265</v>
      </c>
      <c r="T23">
        <v>53987</v>
      </c>
      <c r="U23">
        <v>11547</v>
      </c>
      <c r="V23">
        <v>65534</v>
      </c>
      <c r="W23" s="4">
        <v>0.17619861445966978</v>
      </c>
      <c r="X23" s="4">
        <v>0.82380138554033022</v>
      </c>
    </row>
    <row r="24" spans="1:24" x14ac:dyDescent="0.25">
      <c r="A24" s="1" t="s">
        <v>49</v>
      </c>
      <c r="B24" s="1">
        <v>202103</v>
      </c>
      <c r="C24" s="2">
        <v>5</v>
      </c>
      <c r="D24" s="1" t="str">
        <f>INDEX(Codigos_Bens[Segmentação],MATCH(Base[[#This Row],[Código_do_segmento]],Codigos_Bens[Cod.],0))</f>
        <v>Outros bens</v>
      </c>
      <c r="E24">
        <v>15.648540000000001</v>
      </c>
      <c r="F24">
        <v>4</v>
      </c>
      <c r="G24">
        <v>0</v>
      </c>
      <c r="H24">
        <v>0</v>
      </c>
      <c r="I24">
        <v>22</v>
      </c>
      <c r="J24">
        <v>14</v>
      </c>
      <c r="K24">
        <v>354</v>
      </c>
      <c r="L24">
        <v>400</v>
      </c>
      <c r="M24">
        <v>17</v>
      </c>
      <c r="N24">
        <v>712</v>
      </c>
      <c r="O24">
        <v>15</v>
      </c>
      <c r="P24">
        <v>27</v>
      </c>
      <c r="Q24">
        <v>135</v>
      </c>
      <c r="R24">
        <v>34</v>
      </c>
      <c r="S24">
        <v>90</v>
      </c>
      <c r="T24">
        <v>754</v>
      </c>
      <c r="U24">
        <v>135</v>
      </c>
      <c r="V24">
        <v>889</v>
      </c>
      <c r="W24" s="4">
        <v>0.15185601799775028</v>
      </c>
      <c r="X24" s="4">
        <v>0.84814398200224972</v>
      </c>
    </row>
    <row r="25" spans="1:24" x14ac:dyDescent="0.25">
      <c r="A25" s="1" t="s">
        <v>49</v>
      </c>
      <c r="B25" s="1">
        <v>202103</v>
      </c>
      <c r="C25" s="2">
        <v>6</v>
      </c>
      <c r="D25" s="1" t="str">
        <f>INDEX(Codigos_Bens[Segmentação],MATCH(Base[[#This Row],[Código_do_segmento]],Codigos_Bens[Cod.],0))</f>
        <v>Serviços</v>
      </c>
      <c r="E25">
        <v>15.55592</v>
      </c>
      <c r="F25">
        <v>122</v>
      </c>
      <c r="G25">
        <v>3</v>
      </c>
      <c r="H25">
        <v>1</v>
      </c>
      <c r="I25">
        <v>1412</v>
      </c>
      <c r="J25">
        <v>173</v>
      </c>
      <c r="K25">
        <v>20638</v>
      </c>
      <c r="L25">
        <v>14322</v>
      </c>
      <c r="M25">
        <v>829</v>
      </c>
      <c r="N25">
        <v>31934</v>
      </c>
      <c r="O25">
        <v>1704</v>
      </c>
      <c r="P25">
        <v>1322</v>
      </c>
      <c r="Q25">
        <v>5096</v>
      </c>
      <c r="R25">
        <v>5819</v>
      </c>
      <c r="S25">
        <v>2521</v>
      </c>
      <c r="T25">
        <v>34960</v>
      </c>
      <c r="U25">
        <v>5096</v>
      </c>
      <c r="V25">
        <v>40056</v>
      </c>
      <c r="W25" s="4">
        <v>0.12722188935490314</v>
      </c>
      <c r="X25" s="4">
        <v>0.87277811064509692</v>
      </c>
    </row>
    <row r="26" spans="1:24" x14ac:dyDescent="0.25">
      <c r="A26" s="1" t="s">
        <v>50</v>
      </c>
      <c r="B26" s="1">
        <v>202103</v>
      </c>
      <c r="C26" s="2">
        <v>1</v>
      </c>
      <c r="D26" s="1" t="str">
        <f>INDEX(Codigos_Bens[Segmentação],MATCH(Base[[#This Row],[Código_do_segmento]],Codigos_Bens[Cod.],0))</f>
        <v>Imóveis</v>
      </c>
      <c r="E26">
        <v>22.119450000000001</v>
      </c>
      <c r="F26">
        <v>2</v>
      </c>
      <c r="G26">
        <v>0</v>
      </c>
      <c r="H26">
        <v>0</v>
      </c>
      <c r="I26">
        <v>0</v>
      </c>
      <c r="J26">
        <v>298</v>
      </c>
      <c r="K26">
        <v>293</v>
      </c>
      <c r="L26">
        <v>0</v>
      </c>
      <c r="M26">
        <v>0</v>
      </c>
      <c r="N26">
        <v>280</v>
      </c>
      <c r="O26">
        <v>13</v>
      </c>
      <c r="P26">
        <v>0</v>
      </c>
      <c r="Q26">
        <v>1221</v>
      </c>
      <c r="R26">
        <v>271</v>
      </c>
      <c r="S26">
        <v>8</v>
      </c>
      <c r="T26">
        <v>293</v>
      </c>
      <c r="U26">
        <v>1221</v>
      </c>
      <c r="V26">
        <v>1514</v>
      </c>
      <c r="W26" s="4">
        <v>0.80647291941875821</v>
      </c>
      <c r="X26" s="4">
        <v>0.19352708058124174</v>
      </c>
    </row>
    <row r="27" spans="1:24" x14ac:dyDescent="0.25">
      <c r="A27" s="1" t="s">
        <v>50</v>
      </c>
      <c r="B27" s="1">
        <v>202103</v>
      </c>
      <c r="C27" s="2">
        <v>2</v>
      </c>
      <c r="D27" s="1" t="str">
        <f>INDEX(Codigos_Bens[Segmentação],MATCH(Base[[#This Row],[Código_do_segmento]],Codigos_Bens[Cod.],0))</f>
        <v>Veículos Pesados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4">
        <v>0</v>
      </c>
      <c r="X27" s="4">
        <v>0</v>
      </c>
    </row>
    <row r="28" spans="1:24" x14ac:dyDescent="0.25">
      <c r="A28" s="1" t="s">
        <v>50</v>
      </c>
      <c r="B28" s="1">
        <v>202103</v>
      </c>
      <c r="C28" s="2">
        <v>3</v>
      </c>
      <c r="D28" s="1" t="str">
        <f>INDEX(Codigos_Bens[Segmentação],MATCH(Base[[#This Row],[Código_do_segmento]],Codigos_Bens[Cod.],0))</f>
        <v>Veículos Leves</v>
      </c>
      <c r="E28">
        <v>14.64695</v>
      </c>
      <c r="F28">
        <v>39</v>
      </c>
      <c r="G28">
        <v>0</v>
      </c>
      <c r="H28">
        <v>0</v>
      </c>
      <c r="I28">
        <v>63</v>
      </c>
      <c r="J28">
        <v>1219</v>
      </c>
      <c r="K28">
        <v>2277</v>
      </c>
      <c r="L28">
        <v>1932</v>
      </c>
      <c r="M28">
        <v>47</v>
      </c>
      <c r="N28">
        <v>3426</v>
      </c>
      <c r="O28">
        <v>309</v>
      </c>
      <c r="P28">
        <v>474</v>
      </c>
      <c r="Q28">
        <v>3063</v>
      </c>
      <c r="R28">
        <v>1121</v>
      </c>
      <c r="S28">
        <v>361</v>
      </c>
      <c r="T28">
        <v>4209</v>
      </c>
      <c r="U28">
        <v>3063</v>
      </c>
      <c r="V28">
        <v>7272</v>
      </c>
      <c r="W28" s="4">
        <v>0.42120462046204621</v>
      </c>
      <c r="X28" s="4">
        <v>0.57879537953795379</v>
      </c>
    </row>
    <row r="29" spans="1:24" x14ac:dyDescent="0.25">
      <c r="A29" s="1" t="s">
        <v>50</v>
      </c>
      <c r="B29" s="1">
        <v>202103</v>
      </c>
      <c r="C29" s="2">
        <v>4</v>
      </c>
      <c r="D29" s="1" t="str">
        <f>INDEX(Codigos_Bens[Segmentação],MATCH(Base[[#This Row],[Código_do_segmento]],Codigos_Bens[Cod.],0))</f>
        <v>Motocicletas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4">
        <v>0</v>
      </c>
      <c r="X29" s="4">
        <v>0</v>
      </c>
    </row>
    <row r="30" spans="1:24" x14ac:dyDescent="0.25">
      <c r="A30" s="1" t="s">
        <v>50</v>
      </c>
      <c r="B30" s="1">
        <v>202103</v>
      </c>
      <c r="C30" s="2">
        <v>5</v>
      </c>
      <c r="D30" s="1" t="str">
        <f>INDEX(Codigos_Bens[Segmentação],MATCH(Base[[#This Row],[Código_do_segmento]],Codigos_Bens[Cod.],0))</f>
        <v>Outros bens</v>
      </c>
      <c r="E30">
        <v>20.547619999999998</v>
      </c>
      <c r="F30">
        <v>17</v>
      </c>
      <c r="G30">
        <v>0</v>
      </c>
      <c r="H30">
        <v>0</v>
      </c>
      <c r="I30">
        <v>0</v>
      </c>
      <c r="J30">
        <v>665</v>
      </c>
      <c r="K30">
        <v>554</v>
      </c>
      <c r="L30">
        <v>622</v>
      </c>
      <c r="M30">
        <v>28</v>
      </c>
      <c r="N30">
        <v>895</v>
      </c>
      <c r="O30">
        <v>90</v>
      </c>
      <c r="P30">
        <v>191</v>
      </c>
      <c r="Q30">
        <v>810</v>
      </c>
      <c r="R30">
        <v>51</v>
      </c>
      <c r="S30">
        <v>227</v>
      </c>
      <c r="T30">
        <v>1176</v>
      </c>
      <c r="U30">
        <v>810</v>
      </c>
      <c r="V30">
        <v>1986</v>
      </c>
      <c r="W30" s="4">
        <v>0.40785498489425981</v>
      </c>
      <c r="X30" s="4">
        <v>0.59214501510574014</v>
      </c>
    </row>
    <row r="31" spans="1:24" x14ac:dyDescent="0.25">
      <c r="A31" s="1" t="s">
        <v>50</v>
      </c>
      <c r="B31" s="1">
        <v>202103</v>
      </c>
      <c r="C31" s="2">
        <v>6</v>
      </c>
      <c r="D31" s="1" t="str">
        <f>INDEX(Codigos_Bens[Segmentação],MATCH(Base[[#This Row],[Código_do_segmento]],Codigos_Bens[Cod.],0))</f>
        <v>Serviços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4">
        <v>0</v>
      </c>
      <c r="X31" s="4">
        <v>0</v>
      </c>
    </row>
    <row r="32" spans="1:24" x14ac:dyDescent="0.25">
      <c r="A32" s="1" t="s">
        <v>51</v>
      </c>
      <c r="B32" s="1">
        <v>202103</v>
      </c>
      <c r="C32" s="2">
        <v>1</v>
      </c>
      <c r="D32" s="1" t="str">
        <f>INDEX(Codigos_Bens[Segmentação],MATCH(Base[[#This Row],[Código_do_segmento]],Codigos_Bens[Cod.],0))</f>
        <v>Imóveis</v>
      </c>
      <c r="E32">
        <v>11.11833</v>
      </c>
      <c r="F32">
        <v>8</v>
      </c>
      <c r="G32">
        <v>0</v>
      </c>
      <c r="H32">
        <v>0</v>
      </c>
      <c r="I32">
        <v>305</v>
      </c>
      <c r="J32">
        <v>379</v>
      </c>
      <c r="K32">
        <v>1582</v>
      </c>
      <c r="L32">
        <v>4198</v>
      </c>
      <c r="M32">
        <v>59</v>
      </c>
      <c r="N32">
        <v>5080</v>
      </c>
      <c r="O32">
        <v>95</v>
      </c>
      <c r="P32">
        <v>605</v>
      </c>
      <c r="Q32">
        <v>2687</v>
      </c>
      <c r="R32">
        <v>189</v>
      </c>
      <c r="S32">
        <v>637</v>
      </c>
      <c r="T32">
        <v>5780</v>
      </c>
      <c r="U32">
        <v>2687</v>
      </c>
      <c r="V32">
        <v>8467</v>
      </c>
      <c r="W32" s="4">
        <v>0.31734971064131334</v>
      </c>
      <c r="X32" s="4">
        <v>0.68265028935868666</v>
      </c>
    </row>
    <row r="33" spans="1:24" x14ac:dyDescent="0.25">
      <c r="A33" s="1" t="s">
        <v>51</v>
      </c>
      <c r="B33" s="1">
        <v>202103</v>
      </c>
      <c r="C33" s="2">
        <v>2</v>
      </c>
      <c r="D33" s="1" t="str">
        <f>INDEX(Codigos_Bens[Segmentação],MATCH(Base[[#This Row],[Código_do_segmento]],Codigos_Bens[Cod.],0))</f>
        <v>Veículos Pesados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4">
        <v>0</v>
      </c>
      <c r="X33" s="4">
        <v>0</v>
      </c>
    </row>
    <row r="34" spans="1:24" x14ac:dyDescent="0.25">
      <c r="A34" s="1" t="s">
        <v>51</v>
      </c>
      <c r="B34" s="1">
        <v>202103</v>
      </c>
      <c r="C34" s="2">
        <v>3</v>
      </c>
      <c r="D34" s="1" t="str">
        <f>INDEX(Codigos_Bens[Segmentação],MATCH(Base[[#This Row],[Código_do_segmento]],Codigos_Bens[Cod.],0))</f>
        <v>Veículos Leves</v>
      </c>
      <c r="E34">
        <v>10.13428</v>
      </c>
      <c r="F34">
        <v>46</v>
      </c>
      <c r="G34">
        <v>1</v>
      </c>
      <c r="H34">
        <v>0</v>
      </c>
      <c r="I34">
        <v>813</v>
      </c>
      <c r="J34">
        <v>673</v>
      </c>
      <c r="K34">
        <v>8412</v>
      </c>
      <c r="L34">
        <v>8690</v>
      </c>
      <c r="M34">
        <v>244</v>
      </c>
      <c r="N34">
        <v>15487</v>
      </c>
      <c r="O34">
        <v>596</v>
      </c>
      <c r="P34">
        <v>1019</v>
      </c>
      <c r="Q34">
        <v>4607</v>
      </c>
      <c r="R34">
        <v>3132</v>
      </c>
      <c r="S34">
        <v>1323</v>
      </c>
      <c r="T34">
        <v>17102</v>
      </c>
      <c r="U34">
        <v>4607</v>
      </c>
      <c r="V34">
        <v>21709</v>
      </c>
      <c r="W34" s="4">
        <v>0.21221613155833985</v>
      </c>
      <c r="X34" s="4">
        <v>0.78778386844166015</v>
      </c>
    </row>
    <row r="35" spans="1:24" x14ac:dyDescent="0.25">
      <c r="A35" s="1" t="s">
        <v>51</v>
      </c>
      <c r="B35" s="1">
        <v>202103</v>
      </c>
      <c r="C35" s="2">
        <v>4</v>
      </c>
      <c r="D35" s="1" t="str">
        <f>INDEX(Codigos_Bens[Segmentação],MATCH(Base[[#This Row],[Código_do_segmento]],Codigos_Bens[Cod.],0))</f>
        <v>Motocicletas</v>
      </c>
      <c r="E35">
        <v>12.97606</v>
      </c>
      <c r="F35">
        <v>12</v>
      </c>
      <c r="G35">
        <v>0</v>
      </c>
      <c r="H35">
        <v>0</v>
      </c>
      <c r="I35">
        <v>53</v>
      </c>
      <c r="J35">
        <v>251</v>
      </c>
      <c r="K35">
        <v>2709</v>
      </c>
      <c r="L35">
        <v>737</v>
      </c>
      <c r="M35">
        <v>44</v>
      </c>
      <c r="N35">
        <v>3149</v>
      </c>
      <c r="O35">
        <v>151</v>
      </c>
      <c r="P35">
        <v>146</v>
      </c>
      <c r="Q35">
        <v>1692</v>
      </c>
      <c r="R35">
        <v>1818</v>
      </c>
      <c r="S35">
        <v>451</v>
      </c>
      <c r="T35">
        <v>3446</v>
      </c>
      <c r="U35">
        <v>1692</v>
      </c>
      <c r="V35">
        <v>5138</v>
      </c>
      <c r="W35" s="4">
        <v>0.32931101595951734</v>
      </c>
      <c r="X35" s="4">
        <v>0.67068898404048272</v>
      </c>
    </row>
    <row r="36" spans="1:24" x14ac:dyDescent="0.25">
      <c r="A36" s="1" t="s">
        <v>51</v>
      </c>
      <c r="B36" s="1">
        <v>202103</v>
      </c>
      <c r="C36" s="2">
        <v>5</v>
      </c>
      <c r="D36" s="1" t="str">
        <f>INDEX(Codigos_Bens[Segmentação],MATCH(Base[[#This Row],[Código_do_segmento]],Codigos_Bens[Cod.],0))</f>
        <v>Outros bens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4">
        <v>0</v>
      </c>
      <c r="X36" s="4">
        <v>0</v>
      </c>
    </row>
    <row r="37" spans="1:24" x14ac:dyDescent="0.25">
      <c r="A37" s="1" t="s">
        <v>51</v>
      </c>
      <c r="B37" s="1">
        <v>202103</v>
      </c>
      <c r="C37" s="2">
        <v>6</v>
      </c>
      <c r="D37" s="1" t="str">
        <f>INDEX(Codigos_Bens[Segmentação],MATCH(Base[[#This Row],[Código_do_segmento]],Codigos_Bens[Cod.],0))</f>
        <v>Serviços</v>
      </c>
      <c r="E37">
        <v>13.207839999999999</v>
      </c>
      <c r="F37">
        <v>8</v>
      </c>
      <c r="G37">
        <v>0</v>
      </c>
      <c r="H37">
        <v>0</v>
      </c>
      <c r="I37">
        <v>299</v>
      </c>
      <c r="J37">
        <v>180</v>
      </c>
      <c r="K37">
        <v>1644</v>
      </c>
      <c r="L37">
        <v>2388</v>
      </c>
      <c r="M37">
        <v>86</v>
      </c>
      <c r="N37">
        <v>3518</v>
      </c>
      <c r="O37">
        <v>194</v>
      </c>
      <c r="P37">
        <v>320</v>
      </c>
      <c r="Q37">
        <v>840</v>
      </c>
      <c r="R37">
        <v>613</v>
      </c>
      <c r="S37">
        <v>286</v>
      </c>
      <c r="T37">
        <v>4032</v>
      </c>
      <c r="U37">
        <v>840</v>
      </c>
      <c r="V37">
        <v>4872</v>
      </c>
      <c r="W37" s="4">
        <v>0.17241379310344829</v>
      </c>
      <c r="X37" s="4">
        <v>0.82758620689655171</v>
      </c>
    </row>
    <row r="38" spans="1:24" x14ac:dyDescent="0.25">
      <c r="A38" s="1" t="s">
        <v>52</v>
      </c>
      <c r="B38" s="1">
        <v>202103</v>
      </c>
      <c r="C38" s="2">
        <v>1</v>
      </c>
      <c r="D38" s="1" t="str">
        <f>INDEX(Codigos_Bens[Segmentação],MATCH(Base[[#This Row],[Código_do_segmento]],Codigos_Bens[Cod.],0))</f>
        <v>Imóveis</v>
      </c>
      <c r="E38">
        <v>22.307120000000001</v>
      </c>
      <c r="F38">
        <v>4</v>
      </c>
      <c r="G38">
        <v>0</v>
      </c>
      <c r="H38">
        <v>0</v>
      </c>
      <c r="I38">
        <v>5</v>
      </c>
      <c r="J38">
        <v>1080</v>
      </c>
      <c r="K38">
        <v>537</v>
      </c>
      <c r="L38">
        <v>474</v>
      </c>
      <c r="M38">
        <v>4</v>
      </c>
      <c r="N38">
        <v>904</v>
      </c>
      <c r="O38">
        <v>57</v>
      </c>
      <c r="P38">
        <v>50</v>
      </c>
      <c r="Q38">
        <v>4463</v>
      </c>
      <c r="R38">
        <v>266</v>
      </c>
      <c r="S38">
        <v>142</v>
      </c>
      <c r="T38">
        <v>1011</v>
      </c>
      <c r="U38">
        <v>4463</v>
      </c>
      <c r="V38">
        <v>5474</v>
      </c>
      <c r="W38" s="4">
        <v>0.81530873218852762</v>
      </c>
      <c r="X38" s="4">
        <v>0.18469126781147241</v>
      </c>
    </row>
    <row r="39" spans="1:24" x14ac:dyDescent="0.25">
      <c r="A39" s="1" t="s">
        <v>52</v>
      </c>
      <c r="B39" s="1">
        <v>202103</v>
      </c>
      <c r="C39" s="2">
        <v>2</v>
      </c>
      <c r="D39" s="1" t="str">
        <f>INDEX(Codigos_Bens[Segmentação],MATCH(Base[[#This Row],[Código_do_segmento]],Codigos_Bens[Cod.],0))</f>
        <v>Veículos Pesados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s="4">
        <v>0</v>
      </c>
      <c r="X39" s="4">
        <v>0</v>
      </c>
    </row>
    <row r="40" spans="1:24" x14ac:dyDescent="0.25">
      <c r="A40" s="1" t="s">
        <v>52</v>
      </c>
      <c r="B40" s="1">
        <v>202103</v>
      </c>
      <c r="C40" s="2">
        <v>3</v>
      </c>
      <c r="D40" s="1" t="str">
        <f>INDEX(Codigos_Bens[Segmentação],MATCH(Base[[#This Row],[Código_do_segmento]],Codigos_Bens[Cod.],0))</f>
        <v>Veículos Leves</v>
      </c>
      <c r="E40">
        <v>16.126860000000001</v>
      </c>
      <c r="F40">
        <v>4</v>
      </c>
      <c r="G40">
        <v>0</v>
      </c>
      <c r="H40">
        <v>0</v>
      </c>
      <c r="I40">
        <v>0</v>
      </c>
      <c r="J40">
        <v>655</v>
      </c>
      <c r="K40">
        <v>725</v>
      </c>
      <c r="L40">
        <v>284</v>
      </c>
      <c r="M40">
        <v>7</v>
      </c>
      <c r="N40">
        <v>846</v>
      </c>
      <c r="O40">
        <v>104</v>
      </c>
      <c r="P40">
        <v>59</v>
      </c>
      <c r="Q40">
        <v>2191</v>
      </c>
      <c r="R40">
        <v>391</v>
      </c>
      <c r="S40">
        <v>109</v>
      </c>
      <c r="T40">
        <v>1009</v>
      </c>
      <c r="U40">
        <v>2191</v>
      </c>
      <c r="V40">
        <v>3200</v>
      </c>
      <c r="W40" s="4">
        <v>0.6846875</v>
      </c>
      <c r="X40" s="4">
        <v>0.3153125</v>
      </c>
    </row>
    <row r="41" spans="1:24" x14ac:dyDescent="0.25">
      <c r="A41" s="1" t="s">
        <v>52</v>
      </c>
      <c r="B41" s="1">
        <v>202103</v>
      </c>
      <c r="C41" s="2">
        <v>4</v>
      </c>
      <c r="D41" s="1" t="str">
        <f>INDEX(Codigos_Bens[Segmentação],MATCH(Base[[#This Row],[Código_do_segmento]],Codigos_Bens[Cod.],0))</f>
        <v>Motocicletas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4">
        <v>0</v>
      </c>
      <c r="X41" s="4">
        <v>0</v>
      </c>
    </row>
    <row r="42" spans="1:24" x14ac:dyDescent="0.25">
      <c r="A42" s="1" t="s">
        <v>52</v>
      </c>
      <c r="B42" s="1">
        <v>202103</v>
      </c>
      <c r="C42" s="2">
        <v>5</v>
      </c>
      <c r="D42" s="1" t="str">
        <f>INDEX(Codigos_Bens[Segmentação],MATCH(Base[[#This Row],[Código_do_segmento]],Codigos_Bens[Cod.],0))</f>
        <v>Outros bens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4">
        <v>0</v>
      </c>
      <c r="X42" s="4">
        <v>0</v>
      </c>
    </row>
    <row r="43" spans="1:24" x14ac:dyDescent="0.25">
      <c r="A43" s="1" t="s">
        <v>52</v>
      </c>
      <c r="B43" s="1">
        <v>202103</v>
      </c>
      <c r="C43" s="2">
        <v>6</v>
      </c>
      <c r="D43" s="1" t="str">
        <f>INDEX(Codigos_Bens[Segmentação],MATCH(Base[[#This Row],[Código_do_segmento]],Codigos_Bens[Cod.],0))</f>
        <v>Serviços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4">
        <v>0</v>
      </c>
      <c r="X43" s="4">
        <v>0</v>
      </c>
    </row>
    <row r="44" spans="1:24" x14ac:dyDescent="0.25">
      <c r="A44" s="1" t="s">
        <v>53</v>
      </c>
      <c r="B44" s="1">
        <v>202103</v>
      </c>
      <c r="C44" s="2">
        <v>1</v>
      </c>
      <c r="D44" s="1" t="str">
        <f>INDEX(Codigos_Bens[Segmentação],MATCH(Base[[#This Row],[Código_do_segmento]],Codigos_Bens[Cod.],0))</f>
        <v>Imóveis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s="4">
        <v>0</v>
      </c>
      <c r="X44" s="4">
        <v>0</v>
      </c>
    </row>
    <row r="45" spans="1:24" x14ac:dyDescent="0.25">
      <c r="A45" s="1" t="s">
        <v>53</v>
      </c>
      <c r="B45" s="1">
        <v>202103</v>
      </c>
      <c r="C45" s="2">
        <v>2</v>
      </c>
      <c r="D45" s="1" t="str">
        <f>INDEX(Codigos_Bens[Segmentação],MATCH(Base[[#This Row],[Código_do_segmento]],Codigos_Bens[Cod.],0))</f>
        <v>Veículos Pesados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s="4">
        <v>0</v>
      </c>
      <c r="X45" s="4">
        <v>0</v>
      </c>
    </row>
    <row r="46" spans="1:24" x14ac:dyDescent="0.25">
      <c r="A46" s="1" t="s">
        <v>53</v>
      </c>
      <c r="B46" s="1">
        <v>202103</v>
      </c>
      <c r="C46" s="2">
        <v>3</v>
      </c>
      <c r="D46" s="1" t="str">
        <f>INDEX(Codigos_Bens[Segmentação],MATCH(Base[[#This Row],[Código_do_segmento]],Codigos_Bens[Cod.],0))</f>
        <v>Veículos Leves</v>
      </c>
      <c r="E46">
        <v>14.676399999999999</v>
      </c>
      <c r="F46">
        <v>13</v>
      </c>
      <c r="G46">
        <v>0</v>
      </c>
      <c r="H46">
        <v>0</v>
      </c>
      <c r="I46">
        <v>0</v>
      </c>
      <c r="J46">
        <v>35</v>
      </c>
      <c r="K46">
        <v>691</v>
      </c>
      <c r="L46">
        <v>162</v>
      </c>
      <c r="M46">
        <v>12</v>
      </c>
      <c r="N46">
        <v>705</v>
      </c>
      <c r="O46">
        <v>97</v>
      </c>
      <c r="P46">
        <v>51</v>
      </c>
      <c r="Q46">
        <v>35</v>
      </c>
      <c r="R46">
        <v>469</v>
      </c>
      <c r="S46">
        <v>39</v>
      </c>
      <c r="T46">
        <v>853</v>
      </c>
      <c r="U46">
        <v>35</v>
      </c>
      <c r="V46">
        <v>888</v>
      </c>
      <c r="W46" s="4">
        <v>3.9414414414414414E-2</v>
      </c>
      <c r="X46" s="4">
        <v>0.9605855855855856</v>
      </c>
    </row>
    <row r="47" spans="1:24" x14ac:dyDescent="0.25">
      <c r="A47" s="1" t="s">
        <v>53</v>
      </c>
      <c r="B47" s="1">
        <v>202103</v>
      </c>
      <c r="C47" s="2">
        <v>4</v>
      </c>
      <c r="D47" s="1" t="str">
        <f>INDEX(Codigos_Bens[Segmentação],MATCH(Base[[#This Row],[Código_do_segmento]],Codigos_Bens[Cod.],0))</f>
        <v>Motocicletas</v>
      </c>
      <c r="E47">
        <v>15</v>
      </c>
      <c r="F47">
        <v>1</v>
      </c>
      <c r="G47">
        <v>0</v>
      </c>
      <c r="H47">
        <v>0</v>
      </c>
      <c r="I47">
        <v>0</v>
      </c>
      <c r="J47">
        <v>8</v>
      </c>
      <c r="K47">
        <v>26</v>
      </c>
      <c r="L47">
        <v>6</v>
      </c>
      <c r="M47">
        <v>0</v>
      </c>
      <c r="N47">
        <v>24</v>
      </c>
      <c r="O47">
        <v>2</v>
      </c>
      <c r="P47">
        <v>6</v>
      </c>
      <c r="Q47">
        <v>8</v>
      </c>
      <c r="R47">
        <v>24</v>
      </c>
      <c r="S47">
        <v>0</v>
      </c>
      <c r="T47">
        <v>32</v>
      </c>
      <c r="U47">
        <v>8</v>
      </c>
      <c r="V47">
        <v>40</v>
      </c>
      <c r="W47" s="4">
        <v>0.2</v>
      </c>
      <c r="X47" s="4">
        <v>0.8</v>
      </c>
    </row>
    <row r="48" spans="1:24" x14ac:dyDescent="0.25">
      <c r="A48" s="1" t="s">
        <v>53</v>
      </c>
      <c r="B48" s="1">
        <v>202103</v>
      </c>
      <c r="C48" s="2">
        <v>5</v>
      </c>
      <c r="D48" s="1" t="str">
        <f>INDEX(Codigos_Bens[Segmentação],MATCH(Base[[#This Row],[Código_do_segmento]],Codigos_Bens[Cod.],0))</f>
        <v>Outros bens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s="4">
        <v>0</v>
      </c>
      <c r="X48" s="4">
        <v>0</v>
      </c>
    </row>
    <row r="49" spans="1:24" x14ac:dyDescent="0.25">
      <c r="A49" s="1" t="s">
        <v>53</v>
      </c>
      <c r="B49" s="1">
        <v>202103</v>
      </c>
      <c r="C49" s="2">
        <v>6</v>
      </c>
      <c r="D49" s="1" t="str">
        <f>INDEX(Codigos_Bens[Segmentação],MATCH(Base[[#This Row],[Código_do_segmento]],Codigos_Bens[Cod.],0))</f>
        <v>Serviços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s="4">
        <v>0</v>
      </c>
      <c r="X49" s="4">
        <v>0</v>
      </c>
    </row>
    <row r="50" spans="1:24" x14ac:dyDescent="0.25">
      <c r="A50" s="1" t="s">
        <v>54</v>
      </c>
      <c r="B50" s="1">
        <v>202103</v>
      </c>
      <c r="C50" s="2">
        <v>1</v>
      </c>
      <c r="D50" s="1" t="str">
        <f>INDEX(Codigos_Bens[Segmentação],MATCH(Base[[#This Row],[Código_do_segmento]],Codigos_Bens[Cod.],0))</f>
        <v>Imóveis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s="4">
        <v>0</v>
      </c>
      <c r="X50" s="4">
        <v>0</v>
      </c>
    </row>
    <row r="51" spans="1:24" x14ac:dyDescent="0.25">
      <c r="A51" s="1" t="s">
        <v>54</v>
      </c>
      <c r="B51" s="1">
        <v>202103</v>
      </c>
      <c r="C51" s="2">
        <v>2</v>
      </c>
      <c r="D51" s="1" t="str">
        <f>INDEX(Codigos_Bens[Segmentação],MATCH(Base[[#This Row],[Código_do_segmento]],Codigos_Bens[Cod.],0))</f>
        <v>Veículos Pesados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s="4">
        <v>0</v>
      </c>
      <c r="X51" s="4">
        <v>0</v>
      </c>
    </row>
    <row r="52" spans="1:24" x14ac:dyDescent="0.25">
      <c r="A52" s="1" t="s">
        <v>54</v>
      </c>
      <c r="B52" s="1">
        <v>202103</v>
      </c>
      <c r="C52" s="2">
        <v>3</v>
      </c>
      <c r="D52" s="1" t="str">
        <f>INDEX(Codigos_Bens[Segmentação],MATCH(Base[[#This Row],[Código_do_segmento]],Codigos_Bens[Cod.],0))</f>
        <v>Veículos Leves</v>
      </c>
      <c r="E52">
        <v>14.521699999999999</v>
      </c>
      <c r="F52">
        <v>4</v>
      </c>
      <c r="G52">
        <v>0</v>
      </c>
      <c r="H52">
        <v>0</v>
      </c>
      <c r="I52">
        <v>0</v>
      </c>
      <c r="J52">
        <v>15</v>
      </c>
      <c r="K52">
        <v>400</v>
      </c>
      <c r="L52">
        <v>175</v>
      </c>
      <c r="M52">
        <v>3</v>
      </c>
      <c r="N52">
        <v>498</v>
      </c>
      <c r="O52">
        <v>31</v>
      </c>
      <c r="P52">
        <v>46</v>
      </c>
      <c r="Q52">
        <v>192</v>
      </c>
      <c r="R52">
        <v>243</v>
      </c>
      <c r="S52">
        <v>12</v>
      </c>
      <c r="T52">
        <v>575</v>
      </c>
      <c r="U52">
        <v>192</v>
      </c>
      <c r="V52">
        <v>767</v>
      </c>
      <c r="W52" s="4">
        <v>0.2503259452411995</v>
      </c>
      <c r="X52" s="4">
        <v>0.74967405475880056</v>
      </c>
    </row>
    <row r="53" spans="1:24" x14ac:dyDescent="0.25">
      <c r="A53" s="1" t="s">
        <v>54</v>
      </c>
      <c r="B53" s="1">
        <v>202103</v>
      </c>
      <c r="C53" s="2">
        <v>4</v>
      </c>
      <c r="D53" s="1" t="str">
        <f>INDEX(Codigos_Bens[Segmentação],MATCH(Base[[#This Row],[Código_do_segmento]],Codigos_Bens[Cod.],0))</f>
        <v>Motocicletas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s="4">
        <v>0</v>
      </c>
      <c r="X53" s="4">
        <v>0</v>
      </c>
    </row>
    <row r="54" spans="1:24" x14ac:dyDescent="0.25">
      <c r="A54" s="1" t="s">
        <v>54</v>
      </c>
      <c r="B54" s="1">
        <v>202103</v>
      </c>
      <c r="C54" s="2">
        <v>5</v>
      </c>
      <c r="D54" s="1" t="str">
        <f>INDEX(Codigos_Bens[Segmentação],MATCH(Base[[#This Row],[Código_do_segmento]],Codigos_Bens[Cod.],0))</f>
        <v>Outros bens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s="4">
        <v>0</v>
      </c>
      <c r="X54" s="4">
        <v>0</v>
      </c>
    </row>
    <row r="55" spans="1:24" x14ac:dyDescent="0.25">
      <c r="A55" s="1" t="s">
        <v>54</v>
      </c>
      <c r="B55" s="1">
        <v>202103</v>
      </c>
      <c r="C55" s="2">
        <v>6</v>
      </c>
      <c r="D55" s="1" t="str">
        <f>INDEX(Codigos_Bens[Segmentação],MATCH(Base[[#This Row],[Código_do_segmento]],Codigos_Bens[Cod.],0))</f>
        <v>Serviços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s="4">
        <v>0</v>
      </c>
      <c r="X55" s="4">
        <v>0</v>
      </c>
    </row>
    <row r="56" spans="1:24" x14ac:dyDescent="0.25">
      <c r="A56" s="1" t="s">
        <v>23</v>
      </c>
      <c r="B56" s="1">
        <v>202103</v>
      </c>
      <c r="C56" s="2">
        <v>1</v>
      </c>
      <c r="D56" s="1" t="str">
        <f>INDEX(Codigos_Bens[Segmentação],MATCH(Base[[#This Row],[Código_do_segmento]],Codigos_Bens[Cod.],0))</f>
        <v>Imóveis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s="4">
        <v>0</v>
      </c>
      <c r="X56" s="4">
        <v>0</v>
      </c>
    </row>
    <row r="57" spans="1:24" x14ac:dyDescent="0.25">
      <c r="A57" s="1" t="s">
        <v>23</v>
      </c>
      <c r="B57" s="1">
        <v>202103</v>
      </c>
      <c r="C57" s="2">
        <v>2</v>
      </c>
      <c r="D57" s="1" t="str">
        <f>INDEX(Codigos_Bens[Segmentação],MATCH(Base[[#This Row],[Código_do_segmento]],Codigos_Bens[Cod.],0))</f>
        <v>Veículos Pesados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s="4">
        <v>0</v>
      </c>
      <c r="X57" s="4">
        <v>0</v>
      </c>
    </row>
    <row r="58" spans="1:24" x14ac:dyDescent="0.25">
      <c r="A58" s="1" t="s">
        <v>23</v>
      </c>
      <c r="B58" s="1">
        <v>202103</v>
      </c>
      <c r="C58" s="2">
        <v>3</v>
      </c>
      <c r="D58" s="1" t="str">
        <f>INDEX(Codigos_Bens[Segmentação],MATCH(Base[[#This Row],[Código_do_segmento]],Codigos_Bens[Cod.],0))</f>
        <v>Veículos Leves</v>
      </c>
      <c r="E58">
        <v>9.6266700000000007</v>
      </c>
      <c r="F58">
        <v>3</v>
      </c>
      <c r="G58">
        <v>0</v>
      </c>
      <c r="H58">
        <v>0</v>
      </c>
      <c r="I58">
        <v>1</v>
      </c>
      <c r="J58">
        <v>15</v>
      </c>
      <c r="K58">
        <v>296</v>
      </c>
      <c r="L58">
        <v>79</v>
      </c>
      <c r="M58">
        <v>3</v>
      </c>
      <c r="N58">
        <v>350</v>
      </c>
      <c r="O58">
        <v>14</v>
      </c>
      <c r="P58">
        <v>11</v>
      </c>
      <c r="Q58">
        <v>59</v>
      </c>
      <c r="R58">
        <v>213</v>
      </c>
      <c r="S58">
        <v>27</v>
      </c>
      <c r="T58">
        <v>375</v>
      </c>
      <c r="U58">
        <v>59</v>
      </c>
      <c r="V58">
        <v>434</v>
      </c>
      <c r="W58" s="4">
        <v>0.13594470046082949</v>
      </c>
      <c r="X58" s="4">
        <v>0.86405529953917048</v>
      </c>
    </row>
    <row r="59" spans="1:24" x14ac:dyDescent="0.25">
      <c r="A59" s="1" t="s">
        <v>23</v>
      </c>
      <c r="B59" s="1">
        <v>202103</v>
      </c>
      <c r="C59" s="2">
        <v>4</v>
      </c>
      <c r="D59" s="1" t="str">
        <f>INDEX(Codigos_Bens[Segmentação],MATCH(Base[[#This Row],[Código_do_segmento]],Codigos_Bens[Cod.],0))</f>
        <v>Motocicletas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s="4">
        <v>0</v>
      </c>
      <c r="X59" s="4">
        <v>0</v>
      </c>
    </row>
    <row r="60" spans="1:24" x14ac:dyDescent="0.25">
      <c r="A60" s="1" t="s">
        <v>23</v>
      </c>
      <c r="B60" s="1">
        <v>202103</v>
      </c>
      <c r="C60" s="2">
        <v>5</v>
      </c>
      <c r="D60" s="1" t="str">
        <f>INDEX(Codigos_Bens[Segmentação],MATCH(Base[[#This Row],[Código_do_segmento]],Codigos_Bens[Cod.],0))</f>
        <v>Outros bens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s="4">
        <v>0</v>
      </c>
      <c r="X60" s="4">
        <v>0</v>
      </c>
    </row>
    <row r="61" spans="1:24" x14ac:dyDescent="0.25">
      <c r="A61" s="1" t="s">
        <v>23</v>
      </c>
      <c r="B61" s="1">
        <v>202103</v>
      </c>
      <c r="C61" s="2">
        <v>6</v>
      </c>
      <c r="D61" s="1" t="str">
        <f>INDEX(Codigos_Bens[Segmentação],MATCH(Base[[#This Row],[Código_do_segmento]],Codigos_Bens[Cod.],0))</f>
        <v>Serviços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s="4">
        <v>0</v>
      </c>
      <c r="X61" s="4">
        <v>0</v>
      </c>
    </row>
    <row r="62" spans="1:24" x14ac:dyDescent="0.25">
      <c r="A62" s="1" t="s">
        <v>24</v>
      </c>
      <c r="B62" s="1">
        <v>202103</v>
      </c>
      <c r="C62" s="2">
        <v>1</v>
      </c>
      <c r="D62" s="1" t="str">
        <f>INDEX(Codigos_Bens[Segmentação],MATCH(Base[[#This Row],[Código_do_segmento]],Codigos_Bens[Cod.],0))</f>
        <v>Imóveis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s="4">
        <v>0</v>
      </c>
      <c r="X62" s="4">
        <v>0</v>
      </c>
    </row>
    <row r="63" spans="1:24" x14ac:dyDescent="0.25">
      <c r="A63" s="1" t="s">
        <v>24</v>
      </c>
      <c r="B63" s="1">
        <v>202103</v>
      </c>
      <c r="C63" s="2">
        <v>2</v>
      </c>
      <c r="D63" s="1" t="str">
        <f>INDEX(Codigos_Bens[Segmentação],MATCH(Base[[#This Row],[Código_do_segmento]],Codigos_Bens[Cod.],0))</f>
        <v>Veículos Pesados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s="4">
        <v>0</v>
      </c>
      <c r="X63" s="4">
        <v>0</v>
      </c>
    </row>
    <row r="64" spans="1:24" x14ac:dyDescent="0.25">
      <c r="A64" s="1" t="s">
        <v>24</v>
      </c>
      <c r="B64" s="1">
        <v>202103</v>
      </c>
      <c r="C64" s="2">
        <v>3</v>
      </c>
      <c r="D64" s="1" t="str">
        <f>INDEX(Codigos_Bens[Segmentação],MATCH(Base[[#This Row],[Código_do_segmento]],Codigos_Bens[Cod.],0))</f>
        <v>Veículos Leves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137</v>
      </c>
      <c r="L64">
        <v>63</v>
      </c>
      <c r="M64">
        <v>3</v>
      </c>
      <c r="N64">
        <v>200</v>
      </c>
      <c r="O64">
        <v>0</v>
      </c>
      <c r="P64">
        <v>0</v>
      </c>
      <c r="Q64">
        <v>0</v>
      </c>
      <c r="R64">
        <v>48</v>
      </c>
      <c r="S64">
        <v>56</v>
      </c>
      <c r="T64">
        <v>200</v>
      </c>
      <c r="U64">
        <v>0</v>
      </c>
      <c r="V64">
        <v>200</v>
      </c>
      <c r="W64" s="4">
        <v>0</v>
      </c>
      <c r="X64" s="4">
        <v>1</v>
      </c>
    </row>
    <row r="65" spans="1:24" x14ac:dyDescent="0.25">
      <c r="A65" s="1" t="s">
        <v>24</v>
      </c>
      <c r="B65" s="1">
        <v>202103</v>
      </c>
      <c r="C65" s="2">
        <v>4</v>
      </c>
      <c r="D65" s="1" t="str">
        <f>INDEX(Codigos_Bens[Segmentação],MATCH(Base[[#This Row],[Código_do_segmento]],Codigos_Bens[Cod.],0))</f>
        <v>Motocicletas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4">
        <v>0</v>
      </c>
      <c r="X65" s="4">
        <v>0</v>
      </c>
    </row>
    <row r="66" spans="1:24" x14ac:dyDescent="0.25">
      <c r="A66" s="1" t="s">
        <v>24</v>
      </c>
      <c r="B66" s="1">
        <v>202103</v>
      </c>
      <c r="C66" s="2">
        <v>5</v>
      </c>
      <c r="D66" s="1" t="str">
        <f>INDEX(Codigos_Bens[Segmentação],MATCH(Base[[#This Row],[Código_do_segmento]],Codigos_Bens[Cod.],0))</f>
        <v>Outros bens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s="4">
        <v>0</v>
      </c>
      <c r="X66" s="4">
        <v>0</v>
      </c>
    </row>
    <row r="67" spans="1:24" x14ac:dyDescent="0.25">
      <c r="A67" s="1" t="s">
        <v>24</v>
      </c>
      <c r="B67" s="1">
        <v>202103</v>
      </c>
      <c r="C67" s="2">
        <v>6</v>
      </c>
      <c r="D67" s="1" t="str">
        <f>INDEX(Codigos_Bens[Segmentação],MATCH(Base[[#This Row],[Código_do_segmento]],Codigos_Bens[Cod.],0))</f>
        <v>Serviços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s="4">
        <v>0</v>
      </c>
      <c r="X67" s="4">
        <v>0</v>
      </c>
    </row>
    <row r="68" spans="1:24" x14ac:dyDescent="0.25">
      <c r="A68" s="1" t="s">
        <v>55</v>
      </c>
      <c r="B68" s="1">
        <v>202103</v>
      </c>
      <c r="C68" s="2">
        <v>1</v>
      </c>
      <c r="D68" s="1" t="str">
        <f>INDEX(Codigos_Bens[Segmentação],MATCH(Base[[#This Row],[Código_do_segmento]],Codigos_Bens[Cod.],0))</f>
        <v>Imóveis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s="4">
        <v>0</v>
      </c>
      <c r="X68" s="4">
        <v>0</v>
      </c>
    </row>
    <row r="69" spans="1:24" x14ac:dyDescent="0.25">
      <c r="A69" s="1" t="s">
        <v>55</v>
      </c>
      <c r="B69" s="1">
        <v>202103</v>
      </c>
      <c r="C69" s="2">
        <v>2</v>
      </c>
      <c r="D69" s="1" t="str">
        <f>INDEX(Codigos_Bens[Segmentação],MATCH(Base[[#This Row],[Código_do_segmento]],Codigos_Bens[Cod.],0))</f>
        <v>Veículos Pesados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s="4">
        <v>0</v>
      </c>
      <c r="X69" s="4">
        <v>0</v>
      </c>
    </row>
    <row r="70" spans="1:24" x14ac:dyDescent="0.25">
      <c r="A70" s="1" t="s">
        <v>55</v>
      </c>
      <c r="B70" s="1">
        <v>202103</v>
      </c>
      <c r="C70" s="2">
        <v>3</v>
      </c>
      <c r="D70" s="1" t="str">
        <f>INDEX(Codigos_Bens[Segmentação],MATCH(Base[[#This Row],[Código_do_segmento]],Codigos_Bens[Cod.],0))</f>
        <v>Veículos Leves</v>
      </c>
      <c r="E70">
        <v>14.542</v>
      </c>
      <c r="F70">
        <v>1</v>
      </c>
      <c r="G70">
        <v>0</v>
      </c>
      <c r="H70">
        <v>0</v>
      </c>
      <c r="I70">
        <v>0</v>
      </c>
      <c r="J70">
        <v>13</v>
      </c>
      <c r="K70">
        <v>120</v>
      </c>
      <c r="L70">
        <v>11</v>
      </c>
      <c r="M70">
        <v>2</v>
      </c>
      <c r="N70">
        <v>112</v>
      </c>
      <c r="O70">
        <v>19</v>
      </c>
      <c r="P70">
        <v>0</v>
      </c>
      <c r="Q70">
        <v>113</v>
      </c>
      <c r="R70">
        <v>91</v>
      </c>
      <c r="S70">
        <v>0</v>
      </c>
      <c r="T70">
        <v>131</v>
      </c>
      <c r="U70">
        <v>113</v>
      </c>
      <c r="V70">
        <v>244</v>
      </c>
      <c r="W70" s="4">
        <v>0.46311475409836067</v>
      </c>
      <c r="X70" s="4">
        <v>0.53688524590163933</v>
      </c>
    </row>
    <row r="71" spans="1:24" x14ac:dyDescent="0.25">
      <c r="A71" s="1" t="s">
        <v>55</v>
      </c>
      <c r="B71" s="1">
        <v>202103</v>
      </c>
      <c r="C71" s="2">
        <v>4</v>
      </c>
      <c r="D71" s="1" t="str">
        <f>INDEX(Codigos_Bens[Segmentação],MATCH(Base[[#This Row],[Código_do_segmento]],Codigos_Bens[Cod.],0))</f>
        <v>Motocicletas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s="4">
        <v>0</v>
      </c>
      <c r="X71" s="4">
        <v>0</v>
      </c>
    </row>
    <row r="72" spans="1:24" x14ac:dyDescent="0.25">
      <c r="A72" s="1" t="s">
        <v>55</v>
      </c>
      <c r="B72" s="1">
        <v>202103</v>
      </c>
      <c r="C72" s="2">
        <v>5</v>
      </c>
      <c r="D72" s="1" t="str">
        <f>INDEX(Codigos_Bens[Segmentação],MATCH(Base[[#This Row],[Código_do_segmento]],Codigos_Bens[Cod.],0))</f>
        <v>Outros bens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s="4">
        <v>0</v>
      </c>
      <c r="X72" s="4">
        <v>0</v>
      </c>
    </row>
    <row r="73" spans="1:24" x14ac:dyDescent="0.25">
      <c r="A73" s="1" t="s">
        <v>55</v>
      </c>
      <c r="B73" s="1">
        <v>202103</v>
      </c>
      <c r="C73" s="2">
        <v>6</v>
      </c>
      <c r="D73" s="1" t="str">
        <f>INDEX(Codigos_Bens[Segmentação],MATCH(Base[[#This Row],[Código_do_segmento]],Codigos_Bens[Cod.],0))</f>
        <v>Serviços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s="4">
        <v>0</v>
      </c>
      <c r="X73" s="4">
        <v>0</v>
      </c>
    </row>
    <row r="74" spans="1:24" x14ac:dyDescent="0.25">
      <c r="A74" s="1" t="s">
        <v>56</v>
      </c>
      <c r="B74" s="1">
        <v>202103</v>
      </c>
      <c r="C74" s="2">
        <v>1</v>
      </c>
      <c r="D74" s="1" t="str">
        <f>INDEX(Codigos_Bens[Segmentação],MATCH(Base[[#This Row],[Código_do_segmento]],Codigos_Bens[Cod.],0))</f>
        <v>Imóveis</v>
      </c>
      <c r="E74">
        <v>17.41499</v>
      </c>
      <c r="F74">
        <v>3</v>
      </c>
      <c r="G74">
        <v>0</v>
      </c>
      <c r="H74">
        <v>0</v>
      </c>
      <c r="I74">
        <v>26</v>
      </c>
      <c r="J74">
        <v>343</v>
      </c>
      <c r="K74">
        <v>550</v>
      </c>
      <c r="L74">
        <v>537</v>
      </c>
      <c r="M74">
        <v>3</v>
      </c>
      <c r="N74">
        <v>981</v>
      </c>
      <c r="O74">
        <v>27</v>
      </c>
      <c r="P74">
        <v>79</v>
      </c>
      <c r="Q74">
        <v>1231</v>
      </c>
      <c r="R74">
        <v>400</v>
      </c>
      <c r="S74">
        <v>53</v>
      </c>
      <c r="T74">
        <v>1087</v>
      </c>
      <c r="U74">
        <v>1231</v>
      </c>
      <c r="V74">
        <v>2318</v>
      </c>
      <c r="W74" s="4">
        <v>0.53106125970664364</v>
      </c>
      <c r="X74" s="4">
        <v>0.46893874029335636</v>
      </c>
    </row>
    <row r="75" spans="1:24" x14ac:dyDescent="0.25">
      <c r="A75" s="1" t="s">
        <v>56</v>
      </c>
      <c r="B75" s="1">
        <v>202103</v>
      </c>
      <c r="C75" s="2">
        <v>2</v>
      </c>
      <c r="D75" s="1" t="str">
        <f>INDEX(Codigos_Bens[Segmentação],MATCH(Base[[#This Row],[Código_do_segmento]],Codigos_Bens[Cod.],0))</f>
        <v>Veículos Pesados</v>
      </c>
      <c r="E75">
        <v>12.742990000000001</v>
      </c>
      <c r="F75">
        <v>5</v>
      </c>
      <c r="G75">
        <v>0</v>
      </c>
      <c r="H75">
        <v>0</v>
      </c>
      <c r="I75">
        <v>17</v>
      </c>
      <c r="J75">
        <v>324</v>
      </c>
      <c r="K75">
        <v>1754</v>
      </c>
      <c r="L75">
        <v>479</v>
      </c>
      <c r="M75">
        <v>17</v>
      </c>
      <c r="N75">
        <v>1995</v>
      </c>
      <c r="O75">
        <v>181</v>
      </c>
      <c r="P75">
        <v>57</v>
      </c>
      <c r="Q75">
        <v>2656</v>
      </c>
      <c r="R75">
        <v>813</v>
      </c>
      <c r="S75">
        <v>215</v>
      </c>
      <c r="T75">
        <v>2233</v>
      </c>
      <c r="U75">
        <v>2656</v>
      </c>
      <c r="V75">
        <v>4889</v>
      </c>
      <c r="W75" s="4">
        <v>0.54326038044589897</v>
      </c>
      <c r="X75" s="4">
        <v>0.45673961955410103</v>
      </c>
    </row>
    <row r="76" spans="1:24" x14ac:dyDescent="0.25">
      <c r="A76" s="1" t="s">
        <v>56</v>
      </c>
      <c r="B76" s="1">
        <v>202103</v>
      </c>
      <c r="C76" s="2">
        <v>3</v>
      </c>
      <c r="D76" s="1" t="str">
        <f>INDEX(Codigos_Bens[Segmentação],MATCH(Base[[#This Row],[Código_do_segmento]],Codigos_Bens[Cod.],0))</f>
        <v>Veículos Leves</v>
      </c>
      <c r="E76">
        <v>13.52181</v>
      </c>
      <c r="F76">
        <v>9</v>
      </c>
      <c r="G76">
        <v>0</v>
      </c>
      <c r="H76">
        <v>0</v>
      </c>
      <c r="I76">
        <v>431</v>
      </c>
      <c r="J76">
        <v>841</v>
      </c>
      <c r="K76">
        <v>2913</v>
      </c>
      <c r="L76">
        <v>4853</v>
      </c>
      <c r="M76">
        <v>103</v>
      </c>
      <c r="N76">
        <v>6673</v>
      </c>
      <c r="O76">
        <v>256</v>
      </c>
      <c r="P76">
        <v>837</v>
      </c>
      <c r="Q76">
        <v>4689</v>
      </c>
      <c r="R76">
        <v>867</v>
      </c>
      <c r="S76">
        <v>504</v>
      </c>
      <c r="T76">
        <v>7766</v>
      </c>
      <c r="U76">
        <v>4689</v>
      </c>
      <c r="V76">
        <v>12455</v>
      </c>
      <c r="W76" s="4">
        <v>0.37647531112003213</v>
      </c>
      <c r="X76" s="4">
        <v>0.62352468887996793</v>
      </c>
    </row>
    <row r="77" spans="1:24" x14ac:dyDescent="0.25">
      <c r="A77" s="1" t="s">
        <v>56</v>
      </c>
      <c r="B77" s="1">
        <v>202103</v>
      </c>
      <c r="C77" s="2">
        <v>4</v>
      </c>
      <c r="D77" s="1" t="str">
        <f>INDEX(Codigos_Bens[Segmentação],MATCH(Base[[#This Row],[Código_do_segmento]],Codigos_Bens[Cod.],0))</f>
        <v>Motocicletas</v>
      </c>
      <c r="E77">
        <v>12.84211</v>
      </c>
      <c r="F77">
        <v>0</v>
      </c>
      <c r="G77">
        <v>0</v>
      </c>
      <c r="H77">
        <v>0</v>
      </c>
      <c r="I77">
        <v>3</v>
      </c>
      <c r="J77">
        <v>0</v>
      </c>
      <c r="K77">
        <v>21</v>
      </c>
      <c r="L77">
        <v>74</v>
      </c>
      <c r="M77">
        <v>1</v>
      </c>
      <c r="N77">
        <v>86</v>
      </c>
      <c r="O77">
        <v>0</v>
      </c>
      <c r="P77">
        <v>9</v>
      </c>
      <c r="Q77">
        <v>49</v>
      </c>
      <c r="R77">
        <v>0</v>
      </c>
      <c r="S77">
        <v>5</v>
      </c>
      <c r="T77">
        <v>95</v>
      </c>
      <c r="U77">
        <v>49</v>
      </c>
      <c r="V77">
        <v>144</v>
      </c>
      <c r="W77" s="4">
        <v>0.34027777777777779</v>
      </c>
      <c r="X77" s="4">
        <v>0.65972222222222221</v>
      </c>
    </row>
    <row r="78" spans="1:24" x14ac:dyDescent="0.25">
      <c r="A78" s="1" t="s">
        <v>56</v>
      </c>
      <c r="B78" s="1">
        <v>202103</v>
      </c>
      <c r="C78" s="2">
        <v>5</v>
      </c>
      <c r="D78" s="1" t="str">
        <f>INDEX(Codigos_Bens[Segmentação],MATCH(Base[[#This Row],[Código_do_segmento]],Codigos_Bens[Cod.],0))</f>
        <v>Outros bens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s="4">
        <v>0</v>
      </c>
      <c r="X78" s="4">
        <v>0</v>
      </c>
    </row>
    <row r="79" spans="1:24" x14ac:dyDescent="0.25">
      <c r="A79" s="1" t="s">
        <v>56</v>
      </c>
      <c r="B79" s="1">
        <v>202103</v>
      </c>
      <c r="C79" s="2">
        <v>6</v>
      </c>
      <c r="D79" s="1" t="str">
        <f>INDEX(Codigos_Bens[Segmentação],MATCH(Base[[#This Row],[Código_do_segmento]],Codigos_Bens[Cod.],0))</f>
        <v>Serviços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s="4">
        <v>0</v>
      </c>
      <c r="X79" s="4">
        <v>0</v>
      </c>
    </row>
    <row r="80" spans="1:24" x14ac:dyDescent="0.25">
      <c r="A80" s="1" t="s">
        <v>25</v>
      </c>
      <c r="B80" s="1">
        <v>202103</v>
      </c>
      <c r="C80" s="2">
        <v>1</v>
      </c>
      <c r="D80" s="1" t="str">
        <f>INDEX(Codigos_Bens[Segmentação],MATCH(Base[[#This Row],[Código_do_segmento]],Codigos_Bens[Cod.],0))</f>
        <v>Imóveis</v>
      </c>
      <c r="E80">
        <v>16.722909999999999</v>
      </c>
      <c r="F80">
        <v>17</v>
      </c>
      <c r="G80">
        <v>0</v>
      </c>
      <c r="H80">
        <v>0</v>
      </c>
      <c r="I80">
        <v>205</v>
      </c>
      <c r="J80">
        <v>2690</v>
      </c>
      <c r="K80">
        <v>3904</v>
      </c>
      <c r="L80">
        <v>4706</v>
      </c>
      <c r="M80">
        <v>34</v>
      </c>
      <c r="N80">
        <v>7828</v>
      </c>
      <c r="O80">
        <v>431</v>
      </c>
      <c r="P80">
        <v>351</v>
      </c>
      <c r="Q80">
        <v>14894</v>
      </c>
      <c r="R80">
        <v>1750</v>
      </c>
      <c r="S80">
        <v>585</v>
      </c>
      <c r="T80">
        <v>8610</v>
      </c>
      <c r="U80">
        <v>14894</v>
      </c>
      <c r="V80">
        <v>23504</v>
      </c>
      <c r="W80" s="4">
        <v>0.63367937372362149</v>
      </c>
      <c r="X80" s="4">
        <v>0.36632062627637851</v>
      </c>
    </row>
    <row r="81" spans="1:24" x14ac:dyDescent="0.25">
      <c r="A81" s="1" t="s">
        <v>25</v>
      </c>
      <c r="B81" s="1">
        <v>202103</v>
      </c>
      <c r="C81" s="2">
        <v>2</v>
      </c>
      <c r="D81" s="1" t="str">
        <f>INDEX(Codigos_Bens[Segmentação],MATCH(Base[[#This Row],[Código_do_segmento]],Codigos_Bens[Cod.],0))</f>
        <v>Veículos Pesados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s="4">
        <v>0</v>
      </c>
      <c r="X81" s="4">
        <v>0</v>
      </c>
    </row>
    <row r="82" spans="1:24" x14ac:dyDescent="0.25">
      <c r="A82" s="1" t="s">
        <v>25</v>
      </c>
      <c r="B82" s="1">
        <v>202103</v>
      </c>
      <c r="C82" s="2">
        <v>3</v>
      </c>
      <c r="D82" s="1" t="str">
        <f>INDEX(Codigos_Bens[Segmentação],MATCH(Base[[#This Row],[Código_do_segmento]],Codigos_Bens[Cod.],0))</f>
        <v>Veículos Leves</v>
      </c>
      <c r="E82">
        <v>15.88222</v>
      </c>
      <c r="F82">
        <v>7</v>
      </c>
      <c r="G82">
        <v>1</v>
      </c>
      <c r="H82">
        <v>0</v>
      </c>
      <c r="I82">
        <v>134</v>
      </c>
      <c r="J82">
        <v>538</v>
      </c>
      <c r="K82">
        <v>2231</v>
      </c>
      <c r="L82">
        <v>2277</v>
      </c>
      <c r="M82">
        <v>65</v>
      </c>
      <c r="N82">
        <v>3986</v>
      </c>
      <c r="O82">
        <v>259</v>
      </c>
      <c r="P82">
        <v>263</v>
      </c>
      <c r="Q82">
        <v>2889</v>
      </c>
      <c r="R82">
        <v>793</v>
      </c>
      <c r="S82">
        <v>341</v>
      </c>
      <c r="T82">
        <v>4508</v>
      </c>
      <c r="U82">
        <v>2889</v>
      </c>
      <c r="V82">
        <v>7397</v>
      </c>
      <c r="W82" s="4">
        <v>0.39056374205759092</v>
      </c>
      <c r="X82" s="4">
        <v>0.60943625794240908</v>
      </c>
    </row>
    <row r="83" spans="1:24" x14ac:dyDescent="0.25">
      <c r="A83" s="1" t="s">
        <v>25</v>
      </c>
      <c r="B83" s="1">
        <v>202103</v>
      </c>
      <c r="C83" s="2">
        <v>4</v>
      </c>
      <c r="D83" s="1" t="str">
        <f>INDEX(Codigos_Bens[Segmentação],MATCH(Base[[#This Row],[Código_do_segmento]],Codigos_Bens[Cod.],0))</f>
        <v>Motocicletas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s="4">
        <v>0</v>
      </c>
      <c r="X83" s="4">
        <v>0</v>
      </c>
    </row>
    <row r="84" spans="1:24" x14ac:dyDescent="0.25">
      <c r="A84" s="1" t="s">
        <v>25</v>
      </c>
      <c r="B84" s="1">
        <v>202103</v>
      </c>
      <c r="C84" s="2">
        <v>5</v>
      </c>
      <c r="D84" s="1" t="str">
        <f>INDEX(Codigos_Bens[Segmentação],MATCH(Base[[#This Row],[Código_do_segmento]],Codigos_Bens[Cod.],0))</f>
        <v>Outros bens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s="4">
        <v>0</v>
      </c>
      <c r="X84" s="4">
        <v>0</v>
      </c>
    </row>
    <row r="85" spans="1:24" x14ac:dyDescent="0.25">
      <c r="A85" s="1" t="s">
        <v>25</v>
      </c>
      <c r="B85" s="1">
        <v>202103</v>
      </c>
      <c r="C85" s="2">
        <v>6</v>
      </c>
      <c r="D85" s="1" t="str">
        <f>INDEX(Codigos_Bens[Segmentação],MATCH(Base[[#This Row],[Código_do_segmento]],Codigos_Bens[Cod.],0))</f>
        <v>Serviços</v>
      </c>
      <c r="E85">
        <v>18.321200000000001</v>
      </c>
      <c r="F85">
        <v>2</v>
      </c>
      <c r="G85">
        <v>0</v>
      </c>
      <c r="H85">
        <v>0</v>
      </c>
      <c r="I85">
        <v>27</v>
      </c>
      <c r="J85">
        <v>88</v>
      </c>
      <c r="K85">
        <v>78</v>
      </c>
      <c r="L85">
        <v>304</v>
      </c>
      <c r="M85">
        <v>10</v>
      </c>
      <c r="N85">
        <v>282</v>
      </c>
      <c r="O85">
        <v>16</v>
      </c>
      <c r="P85">
        <v>84</v>
      </c>
      <c r="Q85">
        <v>177</v>
      </c>
      <c r="R85">
        <v>3</v>
      </c>
      <c r="S85">
        <v>35</v>
      </c>
      <c r="T85">
        <v>382</v>
      </c>
      <c r="U85">
        <v>177</v>
      </c>
      <c r="V85">
        <v>559</v>
      </c>
      <c r="W85" s="4">
        <v>0.31663685152057247</v>
      </c>
      <c r="X85" s="4">
        <v>0.68336314847942758</v>
      </c>
    </row>
    <row r="86" spans="1:24" x14ac:dyDescent="0.25">
      <c r="A86" s="1" t="s">
        <v>57</v>
      </c>
      <c r="B86" s="1">
        <v>202103</v>
      </c>
      <c r="C86" s="2">
        <v>1</v>
      </c>
      <c r="D86" s="1" t="str">
        <f>INDEX(Codigos_Bens[Segmentação],MATCH(Base[[#This Row],[Código_do_segmento]],Codigos_Bens[Cod.],0))</f>
        <v>Imóveis</v>
      </c>
      <c r="E86">
        <v>17.9239</v>
      </c>
      <c r="F86">
        <v>43</v>
      </c>
      <c r="G86">
        <v>0</v>
      </c>
      <c r="H86">
        <v>0</v>
      </c>
      <c r="I86">
        <v>289</v>
      </c>
      <c r="J86">
        <v>1944</v>
      </c>
      <c r="K86">
        <v>5586</v>
      </c>
      <c r="L86">
        <v>7306</v>
      </c>
      <c r="M86">
        <v>90</v>
      </c>
      <c r="N86">
        <v>12012</v>
      </c>
      <c r="O86">
        <v>265</v>
      </c>
      <c r="P86">
        <v>615</v>
      </c>
      <c r="Q86">
        <v>14157</v>
      </c>
      <c r="R86">
        <v>1381</v>
      </c>
      <c r="S86">
        <v>1973</v>
      </c>
      <c r="T86">
        <v>12892</v>
      </c>
      <c r="U86">
        <v>14157</v>
      </c>
      <c r="V86">
        <v>27049</v>
      </c>
      <c r="W86" s="4">
        <v>0.5233834892232615</v>
      </c>
      <c r="X86" s="4">
        <v>0.4766165107767385</v>
      </c>
    </row>
    <row r="87" spans="1:24" x14ac:dyDescent="0.25">
      <c r="A87" s="1" t="s">
        <v>57</v>
      </c>
      <c r="B87" s="1">
        <v>202103</v>
      </c>
      <c r="C87" s="2">
        <v>2</v>
      </c>
      <c r="D87" s="1" t="str">
        <f>INDEX(Codigos_Bens[Segmentação],MATCH(Base[[#This Row],[Código_do_segmento]],Codigos_Bens[Cod.],0))</f>
        <v>Veículos Pesados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s="4">
        <v>0</v>
      </c>
      <c r="X87" s="4">
        <v>0</v>
      </c>
    </row>
    <row r="88" spans="1:24" x14ac:dyDescent="0.25">
      <c r="A88" s="1" t="s">
        <v>57</v>
      </c>
      <c r="B88" s="1">
        <v>202103</v>
      </c>
      <c r="C88" s="2">
        <v>3</v>
      </c>
      <c r="D88" s="1" t="str">
        <f>INDEX(Codigos_Bens[Segmentação],MATCH(Base[[#This Row],[Código_do_segmento]],Codigos_Bens[Cod.],0))</f>
        <v>Veículos Leves</v>
      </c>
      <c r="E88">
        <v>12.024100000000001</v>
      </c>
      <c r="F88">
        <v>104</v>
      </c>
      <c r="G88">
        <v>0</v>
      </c>
      <c r="H88">
        <v>2</v>
      </c>
      <c r="I88">
        <v>943</v>
      </c>
      <c r="J88">
        <v>614</v>
      </c>
      <c r="K88">
        <v>28936</v>
      </c>
      <c r="L88">
        <v>25743</v>
      </c>
      <c r="M88">
        <v>816</v>
      </c>
      <c r="N88">
        <v>50754</v>
      </c>
      <c r="O88">
        <v>2349</v>
      </c>
      <c r="P88">
        <v>1576</v>
      </c>
      <c r="Q88">
        <v>23287</v>
      </c>
      <c r="R88">
        <v>6400</v>
      </c>
      <c r="S88">
        <v>5737</v>
      </c>
      <c r="T88">
        <v>54679</v>
      </c>
      <c r="U88">
        <v>23287</v>
      </c>
      <c r="V88">
        <v>77966</v>
      </c>
      <c r="W88" s="4">
        <v>0.29868147654105637</v>
      </c>
      <c r="X88" s="4">
        <v>0.70131852345894363</v>
      </c>
    </row>
    <row r="89" spans="1:24" x14ac:dyDescent="0.25">
      <c r="A89" s="1" t="s">
        <v>57</v>
      </c>
      <c r="B89" s="1">
        <v>202103</v>
      </c>
      <c r="C89" s="2">
        <v>4</v>
      </c>
      <c r="D89" s="1" t="str">
        <f>INDEX(Codigos_Bens[Segmentação],MATCH(Base[[#This Row],[Código_do_segmento]],Codigos_Bens[Cod.],0))</f>
        <v>Motocicletas</v>
      </c>
      <c r="E89">
        <v>17.781510000000001</v>
      </c>
      <c r="F89">
        <v>5</v>
      </c>
      <c r="G89">
        <v>1</v>
      </c>
      <c r="H89">
        <v>0</v>
      </c>
      <c r="I89">
        <v>172</v>
      </c>
      <c r="J89">
        <v>120</v>
      </c>
      <c r="K89">
        <v>316</v>
      </c>
      <c r="L89">
        <v>1826</v>
      </c>
      <c r="M89">
        <v>31</v>
      </c>
      <c r="N89">
        <v>1948</v>
      </c>
      <c r="O89">
        <v>13</v>
      </c>
      <c r="P89">
        <v>181</v>
      </c>
      <c r="Q89">
        <v>460</v>
      </c>
      <c r="R89">
        <v>52</v>
      </c>
      <c r="S89">
        <v>129</v>
      </c>
      <c r="T89">
        <v>2142</v>
      </c>
      <c r="U89">
        <v>460</v>
      </c>
      <c r="V89">
        <v>2602</v>
      </c>
      <c r="W89" s="4">
        <v>0.1767870868562644</v>
      </c>
      <c r="X89" s="4">
        <v>0.82321291314373557</v>
      </c>
    </row>
    <row r="90" spans="1:24" x14ac:dyDescent="0.25">
      <c r="A90" s="1" t="s">
        <v>57</v>
      </c>
      <c r="B90" s="1">
        <v>202103</v>
      </c>
      <c r="C90" s="2">
        <v>5</v>
      </c>
      <c r="D90" s="1" t="str">
        <f>INDEX(Codigos_Bens[Segmentação],MATCH(Base[[#This Row],[Código_do_segmento]],Codigos_Bens[Cod.],0))</f>
        <v>Outros bens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s="4">
        <v>0</v>
      </c>
      <c r="X90" s="4">
        <v>0</v>
      </c>
    </row>
    <row r="91" spans="1:24" x14ac:dyDescent="0.25">
      <c r="A91" s="1" t="s">
        <v>57</v>
      </c>
      <c r="B91" s="1">
        <v>202103</v>
      </c>
      <c r="C91" s="2">
        <v>6</v>
      </c>
      <c r="D91" s="1" t="str">
        <f>INDEX(Codigos_Bens[Segmentação],MATCH(Base[[#This Row],[Código_do_segmento]],Codigos_Bens[Cod.],0))</f>
        <v>Serviços</v>
      </c>
      <c r="E91">
        <v>24</v>
      </c>
      <c r="F91">
        <v>1</v>
      </c>
      <c r="G91">
        <v>0</v>
      </c>
      <c r="H91">
        <v>0</v>
      </c>
      <c r="I91">
        <v>5</v>
      </c>
      <c r="J91">
        <v>7</v>
      </c>
      <c r="K91">
        <v>64</v>
      </c>
      <c r="L91">
        <v>146</v>
      </c>
      <c r="M91">
        <v>6</v>
      </c>
      <c r="N91">
        <v>189</v>
      </c>
      <c r="O91">
        <v>13</v>
      </c>
      <c r="P91">
        <v>8</v>
      </c>
      <c r="Q91">
        <v>64</v>
      </c>
      <c r="R91">
        <v>0</v>
      </c>
      <c r="S91">
        <v>23</v>
      </c>
      <c r="T91">
        <v>210</v>
      </c>
      <c r="U91">
        <v>64</v>
      </c>
      <c r="V91">
        <v>274</v>
      </c>
      <c r="W91" s="4">
        <v>0.23357664233576642</v>
      </c>
      <c r="X91" s="4">
        <v>0.76642335766423353</v>
      </c>
    </row>
    <row r="92" spans="1:24" x14ac:dyDescent="0.25">
      <c r="A92" s="1" t="s">
        <v>26</v>
      </c>
      <c r="B92" s="1">
        <v>202103</v>
      </c>
      <c r="C92" s="2">
        <v>1</v>
      </c>
      <c r="D92" s="1" t="str">
        <f>INDEX(Codigos_Bens[Segmentação],MATCH(Base[[#This Row],[Código_do_segmento]],Codigos_Bens[Cod.],0))</f>
        <v>Imóveis</v>
      </c>
      <c r="E92">
        <v>16.739270000000001</v>
      </c>
      <c r="F92">
        <v>27</v>
      </c>
      <c r="G92">
        <v>1</v>
      </c>
      <c r="H92">
        <v>0</v>
      </c>
      <c r="I92">
        <v>1626</v>
      </c>
      <c r="J92">
        <v>14971</v>
      </c>
      <c r="K92">
        <v>27222</v>
      </c>
      <c r="L92">
        <v>29844</v>
      </c>
      <c r="M92">
        <v>300</v>
      </c>
      <c r="N92">
        <v>54758</v>
      </c>
      <c r="O92">
        <v>707</v>
      </c>
      <c r="P92">
        <v>1601</v>
      </c>
      <c r="Q92">
        <v>46270</v>
      </c>
      <c r="R92">
        <v>9460</v>
      </c>
      <c r="S92">
        <v>8642</v>
      </c>
      <c r="T92">
        <v>57066</v>
      </c>
      <c r="U92">
        <v>46270</v>
      </c>
      <c r="V92">
        <v>103336</v>
      </c>
      <c r="W92" s="4">
        <v>0.44776263838352559</v>
      </c>
      <c r="X92" s="4">
        <v>0.55223736161647441</v>
      </c>
    </row>
    <row r="93" spans="1:24" x14ac:dyDescent="0.25">
      <c r="A93" s="1" t="s">
        <v>26</v>
      </c>
      <c r="B93" s="1">
        <v>202103</v>
      </c>
      <c r="C93" s="2">
        <v>2</v>
      </c>
      <c r="D93" s="1" t="str">
        <f>INDEX(Codigos_Bens[Segmentação],MATCH(Base[[#This Row],[Código_do_segmento]],Codigos_Bens[Cod.],0))</f>
        <v>Veículos Pesados</v>
      </c>
      <c r="E93">
        <v>12.79182</v>
      </c>
      <c r="F93">
        <v>12</v>
      </c>
      <c r="G93">
        <v>1</v>
      </c>
      <c r="H93">
        <v>0</v>
      </c>
      <c r="I93">
        <v>1907</v>
      </c>
      <c r="J93">
        <v>1444</v>
      </c>
      <c r="K93">
        <v>9115</v>
      </c>
      <c r="L93">
        <v>20936</v>
      </c>
      <c r="M93">
        <v>231</v>
      </c>
      <c r="N93">
        <v>28913</v>
      </c>
      <c r="O93">
        <v>262</v>
      </c>
      <c r="P93">
        <v>876</v>
      </c>
      <c r="Q93">
        <v>4917</v>
      </c>
      <c r="R93">
        <v>1509</v>
      </c>
      <c r="S93">
        <v>2599</v>
      </c>
      <c r="T93">
        <v>30051</v>
      </c>
      <c r="U93">
        <v>4917</v>
      </c>
      <c r="V93">
        <v>34968</v>
      </c>
      <c r="W93" s="4">
        <v>0.14061427590940287</v>
      </c>
      <c r="X93" s="4">
        <v>0.8593857240905971</v>
      </c>
    </row>
    <row r="94" spans="1:24" x14ac:dyDescent="0.25">
      <c r="A94" s="1" t="s">
        <v>26</v>
      </c>
      <c r="B94" s="1">
        <v>202103</v>
      </c>
      <c r="C94" s="2">
        <v>3</v>
      </c>
      <c r="D94" s="1" t="str">
        <f>INDEX(Codigos_Bens[Segmentação],MATCH(Base[[#This Row],[Código_do_segmento]],Codigos_Bens[Cod.],0))</f>
        <v>Veículos Leves</v>
      </c>
      <c r="E94">
        <v>14.80969</v>
      </c>
      <c r="F94">
        <v>94</v>
      </c>
      <c r="G94">
        <v>2</v>
      </c>
      <c r="H94">
        <v>0</v>
      </c>
      <c r="I94">
        <v>12875</v>
      </c>
      <c r="J94">
        <v>31431</v>
      </c>
      <c r="K94">
        <v>356330</v>
      </c>
      <c r="L94">
        <v>252647</v>
      </c>
      <c r="M94">
        <v>5709</v>
      </c>
      <c r="N94">
        <v>580347</v>
      </c>
      <c r="O94">
        <v>14299</v>
      </c>
      <c r="P94">
        <v>14331</v>
      </c>
      <c r="Q94">
        <v>192483</v>
      </c>
      <c r="R94">
        <v>124038</v>
      </c>
      <c r="S94">
        <v>51689</v>
      </c>
      <c r="T94">
        <v>608977</v>
      </c>
      <c r="U94">
        <v>192483</v>
      </c>
      <c r="V94">
        <v>801460</v>
      </c>
      <c r="W94" s="4">
        <v>0.24016544805729542</v>
      </c>
      <c r="X94" s="4">
        <v>0.75983455194270455</v>
      </c>
    </row>
    <row r="95" spans="1:24" x14ac:dyDescent="0.25">
      <c r="A95" s="1" t="s">
        <v>26</v>
      </c>
      <c r="B95" s="1">
        <v>202103</v>
      </c>
      <c r="C95" s="2">
        <v>4</v>
      </c>
      <c r="D95" s="1" t="str">
        <f>INDEX(Codigos_Bens[Segmentação],MATCH(Base[[#This Row],[Código_do_segmento]],Codigos_Bens[Cod.],0))</f>
        <v>Motocicletas</v>
      </c>
      <c r="E95">
        <v>19.520710000000001</v>
      </c>
      <c r="F95">
        <v>36</v>
      </c>
      <c r="G95">
        <v>1</v>
      </c>
      <c r="H95">
        <v>0</v>
      </c>
      <c r="I95">
        <v>6827</v>
      </c>
      <c r="J95">
        <v>20435</v>
      </c>
      <c r="K95">
        <v>115990</v>
      </c>
      <c r="L95">
        <v>138212</v>
      </c>
      <c r="M95">
        <v>2652</v>
      </c>
      <c r="N95">
        <v>231434</v>
      </c>
      <c r="O95">
        <v>9624</v>
      </c>
      <c r="P95">
        <v>13144</v>
      </c>
      <c r="Q95">
        <v>95316</v>
      </c>
      <c r="R95">
        <v>23542</v>
      </c>
      <c r="S95">
        <v>22956</v>
      </c>
      <c r="T95">
        <v>254202</v>
      </c>
      <c r="U95">
        <v>95316</v>
      </c>
      <c r="V95">
        <v>349518</v>
      </c>
      <c r="W95" s="4">
        <v>0.27270698504798035</v>
      </c>
      <c r="X95" s="4">
        <v>0.72729301495201959</v>
      </c>
    </row>
    <row r="96" spans="1:24" x14ac:dyDescent="0.25">
      <c r="A96" s="1" t="s">
        <v>26</v>
      </c>
      <c r="B96" s="1">
        <v>202103</v>
      </c>
      <c r="C96" s="2">
        <v>5</v>
      </c>
      <c r="D96" s="1" t="str">
        <f>INDEX(Codigos_Bens[Segmentação],MATCH(Base[[#This Row],[Código_do_segmento]],Codigos_Bens[Cod.],0))</f>
        <v>Outros bens</v>
      </c>
      <c r="E96">
        <v>18.542639999999999</v>
      </c>
      <c r="F96">
        <v>27</v>
      </c>
      <c r="G96">
        <v>2</v>
      </c>
      <c r="H96">
        <v>0</v>
      </c>
      <c r="I96">
        <v>2259</v>
      </c>
      <c r="J96">
        <v>11589</v>
      </c>
      <c r="K96">
        <v>38219</v>
      </c>
      <c r="L96">
        <v>44177</v>
      </c>
      <c r="M96">
        <v>1305</v>
      </c>
      <c r="N96">
        <v>73980</v>
      </c>
      <c r="O96">
        <v>3913</v>
      </c>
      <c r="P96">
        <v>4503</v>
      </c>
      <c r="Q96">
        <v>24021</v>
      </c>
      <c r="R96">
        <v>9332</v>
      </c>
      <c r="S96">
        <v>6028</v>
      </c>
      <c r="T96">
        <v>82396</v>
      </c>
      <c r="U96">
        <v>24021</v>
      </c>
      <c r="V96">
        <v>106417</v>
      </c>
      <c r="W96" s="4">
        <v>0.22572521307685803</v>
      </c>
      <c r="X96" s="4">
        <v>0.774274786923142</v>
      </c>
    </row>
    <row r="97" spans="1:24" x14ac:dyDescent="0.25">
      <c r="A97" s="1" t="s">
        <v>26</v>
      </c>
      <c r="B97" s="1">
        <v>202103</v>
      </c>
      <c r="C97" s="2">
        <v>6</v>
      </c>
      <c r="D97" s="1" t="str">
        <f>INDEX(Codigos_Bens[Segmentação],MATCH(Base[[#This Row],[Código_do_segmento]],Codigos_Bens[Cod.],0))</f>
        <v>Serviços</v>
      </c>
      <c r="E97">
        <v>17.895820000000001</v>
      </c>
      <c r="F97">
        <v>28</v>
      </c>
      <c r="G97">
        <v>2</v>
      </c>
      <c r="H97">
        <v>0</v>
      </c>
      <c r="I97">
        <v>3077</v>
      </c>
      <c r="J97">
        <v>10299</v>
      </c>
      <c r="K97">
        <v>48086</v>
      </c>
      <c r="L97">
        <v>53451</v>
      </c>
      <c r="M97">
        <v>1574</v>
      </c>
      <c r="N97">
        <v>91268</v>
      </c>
      <c r="O97">
        <v>4744</v>
      </c>
      <c r="P97">
        <v>5525</v>
      </c>
      <c r="Q97">
        <v>27858</v>
      </c>
      <c r="R97">
        <v>12391</v>
      </c>
      <c r="S97">
        <v>5413</v>
      </c>
      <c r="T97">
        <v>101537</v>
      </c>
      <c r="U97">
        <v>27858</v>
      </c>
      <c r="V97">
        <v>129395</v>
      </c>
      <c r="W97" s="4">
        <v>0.21529425402836277</v>
      </c>
      <c r="X97" s="4">
        <v>0.78470574597163723</v>
      </c>
    </row>
    <row r="98" spans="1:24" x14ac:dyDescent="0.25">
      <c r="A98" s="1" t="s">
        <v>142</v>
      </c>
      <c r="B98" s="1">
        <v>202103</v>
      </c>
      <c r="C98" s="2">
        <v>1</v>
      </c>
      <c r="D98" s="1" t="str">
        <f>INDEX(Codigos_Bens[Segmentação],MATCH(Base[[#This Row],[Código_do_segmento]],Codigos_Bens[Cod.],0))</f>
        <v>Imóveis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s="4">
        <v>0</v>
      </c>
      <c r="X98" s="4">
        <v>0</v>
      </c>
    </row>
    <row r="99" spans="1:24" x14ac:dyDescent="0.25">
      <c r="A99" s="1" t="s">
        <v>142</v>
      </c>
      <c r="B99" s="1">
        <v>202103</v>
      </c>
      <c r="C99" s="2">
        <v>2</v>
      </c>
      <c r="D99" s="1" t="str">
        <f>INDEX(Codigos_Bens[Segmentação],MATCH(Base[[#This Row],[Código_do_segmento]],Codigos_Bens[Cod.],0))</f>
        <v>Veículos Pesados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s="4">
        <v>0</v>
      </c>
      <c r="X99" s="4">
        <v>0</v>
      </c>
    </row>
    <row r="100" spans="1:24" x14ac:dyDescent="0.25">
      <c r="A100" s="1" t="s">
        <v>142</v>
      </c>
      <c r="B100" s="1">
        <v>202103</v>
      </c>
      <c r="C100" s="2">
        <v>3</v>
      </c>
      <c r="D100" s="1" t="str">
        <f>INDEX(Codigos_Bens[Segmentação],MATCH(Base[[#This Row],[Código_do_segmento]],Codigos_Bens[Cod.],0))</f>
        <v>Veículos Leves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4">
        <v>0</v>
      </c>
      <c r="X100" s="4">
        <v>0</v>
      </c>
    </row>
    <row r="101" spans="1:24" x14ac:dyDescent="0.25">
      <c r="A101" s="1" t="s">
        <v>142</v>
      </c>
      <c r="B101" s="1">
        <v>202103</v>
      </c>
      <c r="C101" s="2">
        <v>4</v>
      </c>
      <c r="D101" s="1" t="str">
        <f>INDEX(Codigos_Bens[Segmentação],MATCH(Base[[#This Row],[Código_do_segmento]],Codigos_Bens[Cod.],0))</f>
        <v>Motocicletas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s="4">
        <v>0</v>
      </c>
      <c r="X101" s="4">
        <v>0</v>
      </c>
    </row>
    <row r="102" spans="1:24" x14ac:dyDescent="0.25">
      <c r="A102" s="1" t="s">
        <v>142</v>
      </c>
      <c r="B102" s="1">
        <v>202103</v>
      </c>
      <c r="C102" s="2">
        <v>5</v>
      </c>
      <c r="D102" s="1" t="str">
        <f>INDEX(Codigos_Bens[Segmentação],MATCH(Base[[#This Row],[Código_do_segmento]],Codigos_Bens[Cod.],0))</f>
        <v>Outros bens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4">
        <v>0</v>
      </c>
      <c r="X102" s="4">
        <v>0</v>
      </c>
    </row>
    <row r="103" spans="1:24" x14ac:dyDescent="0.25">
      <c r="A103" s="1" t="s">
        <v>142</v>
      </c>
      <c r="B103" s="1">
        <v>202103</v>
      </c>
      <c r="C103" s="2">
        <v>6</v>
      </c>
      <c r="D103" s="1" t="str">
        <f>INDEX(Codigos_Bens[Segmentação],MATCH(Base[[#This Row],[Código_do_segmento]],Codigos_Bens[Cod.],0))</f>
        <v>Serviços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s="4">
        <v>0</v>
      </c>
      <c r="X103" s="4">
        <v>0</v>
      </c>
    </row>
    <row r="104" spans="1:24" x14ac:dyDescent="0.25">
      <c r="A104" s="1" t="s">
        <v>58</v>
      </c>
      <c r="B104" s="1">
        <v>202103</v>
      </c>
      <c r="C104" s="2">
        <v>1</v>
      </c>
      <c r="D104" s="1" t="str">
        <f>INDEX(Codigos_Bens[Segmentação],MATCH(Base[[#This Row],[Código_do_segmento]],Codigos_Bens[Cod.],0))</f>
        <v>Imóveis</v>
      </c>
      <c r="E104">
        <v>19.408100000000001</v>
      </c>
      <c r="F104">
        <v>30</v>
      </c>
      <c r="G104">
        <v>1</v>
      </c>
      <c r="H104">
        <v>0</v>
      </c>
      <c r="I104">
        <v>473</v>
      </c>
      <c r="J104">
        <v>2905</v>
      </c>
      <c r="K104">
        <v>7117</v>
      </c>
      <c r="L104">
        <v>9768</v>
      </c>
      <c r="M104">
        <v>143</v>
      </c>
      <c r="N104">
        <v>15428</v>
      </c>
      <c r="O104">
        <v>488</v>
      </c>
      <c r="P104">
        <v>969</v>
      </c>
      <c r="Q104">
        <v>23332</v>
      </c>
      <c r="R104">
        <v>2750</v>
      </c>
      <c r="S104">
        <v>1907</v>
      </c>
      <c r="T104">
        <v>16885</v>
      </c>
      <c r="U104">
        <v>23332</v>
      </c>
      <c r="V104">
        <v>40217</v>
      </c>
      <c r="W104" s="4">
        <v>0.58015267175572516</v>
      </c>
      <c r="X104" s="4">
        <v>0.41984732824427479</v>
      </c>
    </row>
    <row r="105" spans="1:24" x14ac:dyDescent="0.25">
      <c r="A105" s="1" t="s">
        <v>58</v>
      </c>
      <c r="B105" s="1">
        <v>202103</v>
      </c>
      <c r="C105" s="2">
        <v>2</v>
      </c>
      <c r="D105" s="1" t="str">
        <f>INDEX(Codigos_Bens[Segmentação],MATCH(Base[[#This Row],[Código_do_segmento]],Codigos_Bens[Cod.],0))</f>
        <v>Veículos Pesados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4">
        <v>0</v>
      </c>
      <c r="X105" s="4">
        <v>0</v>
      </c>
    </row>
    <row r="106" spans="1:24" x14ac:dyDescent="0.25">
      <c r="A106" s="1" t="s">
        <v>58</v>
      </c>
      <c r="B106" s="1">
        <v>202103</v>
      </c>
      <c r="C106" s="2">
        <v>3</v>
      </c>
      <c r="D106" s="1" t="str">
        <f>INDEX(Codigos_Bens[Segmentação],MATCH(Base[[#This Row],[Código_do_segmento]],Codigos_Bens[Cod.],0))</f>
        <v>Veículos Leves</v>
      </c>
      <c r="E106">
        <v>14.946160000000001</v>
      </c>
      <c r="F106">
        <v>71</v>
      </c>
      <c r="G106">
        <v>2</v>
      </c>
      <c r="H106">
        <v>1</v>
      </c>
      <c r="I106">
        <v>928</v>
      </c>
      <c r="J106">
        <v>1073</v>
      </c>
      <c r="K106">
        <v>21632</v>
      </c>
      <c r="L106">
        <v>17327</v>
      </c>
      <c r="M106">
        <v>693</v>
      </c>
      <c r="N106">
        <v>35021</v>
      </c>
      <c r="O106">
        <v>1795</v>
      </c>
      <c r="P106">
        <v>2143</v>
      </c>
      <c r="Q106">
        <v>25176</v>
      </c>
      <c r="R106">
        <v>7676</v>
      </c>
      <c r="S106">
        <v>3013</v>
      </c>
      <c r="T106">
        <v>38959</v>
      </c>
      <c r="U106">
        <v>25176</v>
      </c>
      <c r="V106">
        <v>64135</v>
      </c>
      <c r="W106" s="4">
        <v>0.39254697123255633</v>
      </c>
      <c r="X106" s="4">
        <v>0.60745302876744367</v>
      </c>
    </row>
    <row r="107" spans="1:24" x14ac:dyDescent="0.25">
      <c r="A107" s="1" t="s">
        <v>58</v>
      </c>
      <c r="B107" s="1">
        <v>202103</v>
      </c>
      <c r="C107" s="2">
        <v>4</v>
      </c>
      <c r="D107" s="1" t="str">
        <f>INDEX(Codigos_Bens[Segmentação],MATCH(Base[[#This Row],[Código_do_segmento]],Codigos_Bens[Cod.],0))</f>
        <v>Motocicletas</v>
      </c>
      <c r="E107">
        <v>16.611840000000001</v>
      </c>
      <c r="F107">
        <v>20</v>
      </c>
      <c r="G107">
        <v>0</v>
      </c>
      <c r="H107">
        <v>1</v>
      </c>
      <c r="I107">
        <v>230</v>
      </c>
      <c r="J107">
        <v>375</v>
      </c>
      <c r="K107">
        <v>6243</v>
      </c>
      <c r="L107">
        <v>4379</v>
      </c>
      <c r="M107">
        <v>219</v>
      </c>
      <c r="N107">
        <v>9533</v>
      </c>
      <c r="O107">
        <v>505</v>
      </c>
      <c r="P107">
        <v>584</v>
      </c>
      <c r="Q107">
        <v>5849</v>
      </c>
      <c r="R107">
        <v>2420</v>
      </c>
      <c r="S107">
        <v>923</v>
      </c>
      <c r="T107">
        <v>10622</v>
      </c>
      <c r="U107">
        <v>5849</v>
      </c>
      <c r="V107">
        <v>16471</v>
      </c>
      <c r="W107" s="4">
        <v>0.35510897941837166</v>
      </c>
      <c r="X107" s="4">
        <v>0.64489102058162828</v>
      </c>
    </row>
    <row r="108" spans="1:24" x14ac:dyDescent="0.25">
      <c r="A108" s="1" t="s">
        <v>58</v>
      </c>
      <c r="B108" s="1">
        <v>202103</v>
      </c>
      <c r="C108" s="2">
        <v>5</v>
      </c>
      <c r="D108" s="1" t="str">
        <f>INDEX(Codigos_Bens[Segmentação],MATCH(Base[[#This Row],[Código_do_segmento]],Codigos_Bens[Cod.],0))</f>
        <v>Outros bens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s="4">
        <v>0</v>
      </c>
      <c r="X108" s="4">
        <v>0</v>
      </c>
    </row>
    <row r="109" spans="1:24" x14ac:dyDescent="0.25">
      <c r="A109" s="1" t="s">
        <v>58</v>
      </c>
      <c r="B109" s="1">
        <v>202103</v>
      </c>
      <c r="C109" s="2">
        <v>6</v>
      </c>
      <c r="D109" s="1" t="str">
        <f>INDEX(Codigos_Bens[Segmentação],MATCH(Base[[#This Row],[Código_do_segmento]],Codigos_Bens[Cod.],0))</f>
        <v>Serviços</v>
      </c>
      <c r="E109">
        <v>19.034590000000001</v>
      </c>
      <c r="F109">
        <v>11</v>
      </c>
      <c r="G109">
        <v>0</v>
      </c>
      <c r="H109">
        <v>0</v>
      </c>
      <c r="I109">
        <v>95</v>
      </c>
      <c r="J109">
        <v>186</v>
      </c>
      <c r="K109">
        <v>1094</v>
      </c>
      <c r="L109">
        <v>1074</v>
      </c>
      <c r="M109">
        <v>51</v>
      </c>
      <c r="N109">
        <v>1749</v>
      </c>
      <c r="O109">
        <v>171</v>
      </c>
      <c r="P109">
        <v>248</v>
      </c>
      <c r="Q109">
        <v>1049</v>
      </c>
      <c r="R109">
        <v>328</v>
      </c>
      <c r="S109">
        <v>214</v>
      </c>
      <c r="T109">
        <v>2168</v>
      </c>
      <c r="U109">
        <v>1049</v>
      </c>
      <c r="V109">
        <v>3217</v>
      </c>
      <c r="W109" s="4">
        <v>0.32608019894311469</v>
      </c>
      <c r="X109" s="4">
        <v>0.67391980105688531</v>
      </c>
    </row>
    <row r="110" spans="1:24" x14ac:dyDescent="0.25">
      <c r="A110" s="1" t="s">
        <v>59</v>
      </c>
      <c r="B110" s="1">
        <v>202103</v>
      </c>
      <c r="C110" s="2">
        <v>1</v>
      </c>
      <c r="D110" s="1" t="str">
        <f>INDEX(Codigos_Bens[Segmentação],MATCH(Base[[#This Row],[Código_do_segmento]],Codigos_Bens[Cod.],0))</f>
        <v>Imóveis</v>
      </c>
      <c r="E110">
        <v>16.882660000000001</v>
      </c>
      <c r="F110">
        <v>410</v>
      </c>
      <c r="G110">
        <v>0</v>
      </c>
      <c r="H110">
        <v>7</v>
      </c>
      <c r="I110">
        <v>4062</v>
      </c>
      <c r="J110">
        <v>53196</v>
      </c>
      <c r="K110">
        <v>142476</v>
      </c>
      <c r="L110">
        <v>84702</v>
      </c>
      <c r="M110">
        <v>1552</v>
      </c>
      <c r="N110">
        <v>210983</v>
      </c>
      <c r="O110">
        <v>5145</v>
      </c>
      <c r="P110">
        <v>11050</v>
      </c>
      <c r="Q110">
        <v>335883</v>
      </c>
      <c r="R110">
        <v>58474</v>
      </c>
      <c r="S110">
        <v>26543</v>
      </c>
      <c r="T110">
        <v>227178</v>
      </c>
      <c r="U110">
        <v>335883</v>
      </c>
      <c r="V110">
        <v>563061</v>
      </c>
      <c r="W110" s="4">
        <v>0.59653039368736249</v>
      </c>
      <c r="X110" s="4">
        <v>0.40346960631263751</v>
      </c>
    </row>
    <row r="111" spans="1:24" x14ac:dyDescent="0.25">
      <c r="A111" s="1" t="s">
        <v>59</v>
      </c>
      <c r="B111" s="1">
        <v>202103</v>
      </c>
      <c r="C111" s="2">
        <v>2</v>
      </c>
      <c r="D111" s="1" t="str">
        <f>INDEX(Codigos_Bens[Segmentação],MATCH(Base[[#This Row],[Código_do_segmento]],Codigos_Bens[Cod.],0))</f>
        <v>Veículos Pesados</v>
      </c>
      <c r="E111">
        <v>15.0006</v>
      </c>
      <c r="F111">
        <v>239</v>
      </c>
      <c r="G111">
        <v>0</v>
      </c>
      <c r="H111">
        <v>2</v>
      </c>
      <c r="I111">
        <v>1301</v>
      </c>
      <c r="J111">
        <v>4897</v>
      </c>
      <c r="K111">
        <v>37780</v>
      </c>
      <c r="L111">
        <v>31522</v>
      </c>
      <c r="M111">
        <v>766</v>
      </c>
      <c r="N111">
        <v>63652</v>
      </c>
      <c r="O111">
        <v>2227</v>
      </c>
      <c r="P111">
        <v>3423</v>
      </c>
      <c r="Q111">
        <v>53020</v>
      </c>
      <c r="R111">
        <v>14329</v>
      </c>
      <c r="S111">
        <v>5396</v>
      </c>
      <c r="T111">
        <v>69302</v>
      </c>
      <c r="U111">
        <v>53020</v>
      </c>
      <c r="V111">
        <v>122322</v>
      </c>
      <c r="W111" s="4">
        <v>0.43344615032455325</v>
      </c>
      <c r="X111" s="4">
        <v>0.56655384967544675</v>
      </c>
    </row>
    <row r="112" spans="1:24" x14ac:dyDescent="0.25">
      <c r="A112" s="1" t="s">
        <v>59</v>
      </c>
      <c r="B112" s="1">
        <v>202103</v>
      </c>
      <c r="C112" s="2">
        <v>3</v>
      </c>
      <c r="D112" s="1" t="str">
        <f>INDEX(Codigos_Bens[Segmentação],MATCH(Base[[#This Row],[Código_do_segmento]],Codigos_Bens[Cod.],0))</f>
        <v>Veículos Leves</v>
      </c>
      <c r="E112">
        <v>14.98809</v>
      </c>
      <c r="F112">
        <v>2746</v>
      </c>
      <c r="G112">
        <v>41</v>
      </c>
      <c r="H112">
        <v>11</v>
      </c>
      <c r="I112">
        <v>38321</v>
      </c>
      <c r="J112">
        <v>144338</v>
      </c>
      <c r="K112">
        <v>714604</v>
      </c>
      <c r="L112">
        <v>499976</v>
      </c>
      <c r="M112">
        <v>14225</v>
      </c>
      <c r="N112">
        <v>1099291</v>
      </c>
      <c r="O112">
        <v>43979</v>
      </c>
      <c r="P112">
        <v>71310</v>
      </c>
      <c r="Q112">
        <v>996606</v>
      </c>
      <c r="R112">
        <v>293957</v>
      </c>
      <c r="S112">
        <v>113297</v>
      </c>
      <c r="T112">
        <v>1214580</v>
      </c>
      <c r="U112">
        <v>996606</v>
      </c>
      <c r="V112">
        <v>2211186</v>
      </c>
      <c r="W112" s="4">
        <v>0.4507110663689079</v>
      </c>
      <c r="X112" s="4">
        <v>0.5492889336310921</v>
      </c>
    </row>
    <row r="113" spans="1:24" x14ac:dyDescent="0.25">
      <c r="A113" s="1" t="s">
        <v>59</v>
      </c>
      <c r="B113" s="1">
        <v>202103</v>
      </c>
      <c r="C113" s="2">
        <v>4</v>
      </c>
      <c r="D113" s="1" t="str">
        <f>INDEX(Codigos_Bens[Segmentação],MATCH(Base[[#This Row],[Código_do_segmento]],Codigos_Bens[Cod.],0))</f>
        <v>Motocicletas</v>
      </c>
      <c r="E113">
        <v>21.014309999999998</v>
      </c>
      <c r="F113">
        <v>23</v>
      </c>
      <c r="G113">
        <v>0</v>
      </c>
      <c r="H113">
        <v>0</v>
      </c>
      <c r="I113">
        <v>72</v>
      </c>
      <c r="J113">
        <v>1625</v>
      </c>
      <c r="K113">
        <v>3518</v>
      </c>
      <c r="L113">
        <v>2207</v>
      </c>
      <c r="M113">
        <v>107</v>
      </c>
      <c r="N113">
        <v>5181</v>
      </c>
      <c r="O113">
        <v>284</v>
      </c>
      <c r="P113">
        <v>260</v>
      </c>
      <c r="Q113">
        <v>6331</v>
      </c>
      <c r="R113">
        <v>1086</v>
      </c>
      <c r="S113">
        <v>800</v>
      </c>
      <c r="T113">
        <v>5725</v>
      </c>
      <c r="U113">
        <v>6331</v>
      </c>
      <c r="V113">
        <v>12056</v>
      </c>
      <c r="W113" s="4">
        <v>0.52513271400132711</v>
      </c>
      <c r="X113" s="4">
        <v>0.47486728599867284</v>
      </c>
    </row>
    <row r="114" spans="1:24" x14ac:dyDescent="0.25">
      <c r="A114" s="1" t="s">
        <v>59</v>
      </c>
      <c r="B114" s="1">
        <v>202103</v>
      </c>
      <c r="C114" s="2">
        <v>5</v>
      </c>
      <c r="D114" s="1" t="str">
        <f>INDEX(Codigos_Bens[Segmentação],MATCH(Base[[#This Row],[Código_do_segmento]],Codigos_Bens[Cod.],0))</f>
        <v>Outros bens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s="4">
        <v>0</v>
      </c>
      <c r="X114" s="4">
        <v>0</v>
      </c>
    </row>
    <row r="115" spans="1:24" x14ac:dyDescent="0.25">
      <c r="A115" s="1" t="s">
        <v>59</v>
      </c>
      <c r="B115" s="1">
        <v>202103</v>
      </c>
      <c r="C115" s="2">
        <v>6</v>
      </c>
      <c r="D115" s="1" t="str">
        <f>INDEX(Codigos_Bens[Segmentação],MATCH(Base[[#This Row],[Código_do_segmento]],Codigos_Bens[Cod.],0))</f>
        <v>Serviços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s="4">
        <v>0</v>
      </c>
      <c r="X115" s="4">
        <v>0</v>
      </c>
    </row>
    <row r="116" spans="1:24" x14ac:dyDescent="0.25">
      <c r="A116" s="1" t="s">
        <v>60</v>
      </c>
      <c r="B116" s="1">
        <v>202103</v>
      </c>
      <c r="C116" s="2">
        <v>1</v>
      </c>
      <c r="D116" s="1" t="str">
        <f>INDEX(Codigos_Bens[Segmentação],MATCH(Base[[#This Row],[Código_do_segmento]],Codigos_Bens[Cod.],0))</f>
        <v>Imóveis</v>
      </c>
      <c r="E116">
        <v>19.784520000000001</v>
      </c>
      <c r="F116">
        <v>1</v>
      </c>
      <c r="G116">
        <v>0</v>
      </c>
      <c r="H116">
        <v>0</v>
      </c>
      <c r="I116">
        <v>0</v>
      </c>
      <c r="J116">
        <v>241</v>
      </c>
      <c r="K116">
        <v>229</v>
      </c>
      <c r="L116">
        <v>10</v>
      </c>
      <c r="M116">
        <v>1</v>
      </c>
      <c r="N116">
        <v>190</v>
      </c>
      <c r="O116">
        <v>44</v>
      </c>
      <c r="P116">
        <v>5</v>
      </c>
      <c r="Q116">
        <v>1129</v>
      </c>
      <c r="R116">
        <v>104</v>
      </c>
      <c r="S116">
        <v>26</v>
      </c>
      <c r="T116">
        <v>239</v>
      </c>
      <c r="U116">
        <v>1129</v>
      </c>
      <c r="V116">
        <v>1368</v>
      </c>
      <c r="W116" s="4">
        <v>0.82529239766081874</v>
      </c>
      <c r="X116" s="4">
        <v>0.17470760233918128</v>
      </c>
    </row>
    <row r="117" spans="1:24" x14ac:dyDescent="0.25">
      <c r="A117" s="1" t="s">
        <v>60</v>
      </c>
      <c r="B117" s="1">
        <v>202103</v>
      </c>
      <c r="C117" s="2">
        <v>2</v>
      </c>
      <c r="D117" s="1" t="str">
        <f>INDEX(Codigos_Bens[Segmentação],MATCH(Base[[#This Row],[Código_do_segmento]],Codigos_Bens[Cod.],0))</f>
        <v>Veículos Pesados</v>
      </c>
      <c r="E117">
        <v>10.82342</v>
      </c>
      <c r="F117">
        <v>1</v>
      </c>
      <c r="G117">
        <v>0</v>
      </c>
      <c r="H117">
        <v>0</v>
      </c>
      <c r="I117">
        <v>29</v>
      </c>
      <c r="J117">
        <v>1</v>
      </c>
      <c r="K117">
        <v>11</v>
      </c>
      <c r="L117">
        <v>207</v>
      </c>
      <c r="M117">
        <v>2</v>
      </c>
      <c r="N117">
        <v>186</v>
      </c>
      <c r="O117">
        <v>1</v>
      </c>
      <c r="P117">
        <v>31</v>
      </c>
      <c r="Q117">
        <v>8</v>
      </c>
      <c r="R117">
        <v>0</v>
      </c>
      <c r="S117">
        <v>7</v>
      </c>
      <c r="T117">
        <v>218</v>
      </c>
      <c r="U117">
        <v>8</v>
      </c>
      <c r="V117">
        <v>226</v>
      </c>
      <c r="W117" s="4">
        <v>3.5398230088495575E-2</v>
      </c>
      <c r="X117" s="4">
        <v>0.96460176991150437</v>
      </c>
    </row>
    <row r="118" spans="1:24" x14ac:dyDescent="0.25">
      <c r="A118" s="1" t="s">
        <v>60</v>
      </c>
      <c r="B118" s="1">
        <v>202103</v>
      </c>
      <c r="C118" s="2">
        <v>3</v>
      </c>
      <c r="D118" s="1" t="str">
        <f>INDEX(Codigos_Bens[Segmentação],MATCH(Base[[#This Row],[Código_do_segmento]],Codigos_Bens[Cod.],0))</f>
        <v>Veículos Leves</v>
      </c>
      <c r="E118">
        <v>13.85899</v>
      </c>
      <c r="F118">
        <v>43</v>
      </c>
      <c r="G118">
        <v>1</v>
      </c>
      <c r="H118">
        <v>0</v>
      </c>
      <c r="I118">
        <v>37</v>
      </c>
      <c r="J118">
        <v>160</v>
      </c>
      <c r="K118">
        <v>1950</v>
      </c>
      <c r="L118">
        <v>1390</v>
      </c>
      <c r="M118">
        <v>58</v>
      </c>
      <c r="N118">
        <v>2965</v>
      </c>
      <c r="O118">
        <v>213</v>
      </c>
      <c r="P118">
        <v>162</v>
      </c>
      <c r="Q118">
        <v>1165</v>
      </c>
      <c r="R118">
        <v>708</v>
      </c>
      <c r="S118">
        <v>333</v>
      </c>
      <c r="T118">
        <v>3340</v>
      </c>
      <c r="U118">
        <v>1165</v>
      </c>
      <c r="V118">
        <v>4505</v>
      </c>
      <c r="W118" s="4">
        <v>0.25860155382907879</v>
      </c>
      <c r="X118" s="4">
        <v>0.74139844617092121</v>
      </c>
    </row>
    <row r="119" spans="1:24" x14ac:dyDescent="0.25">
      <c r="A119" s="1" t="s">
        <v>60</v>
      </c>
      <c r="B119" s="1">
        <v>202103</v>
      </c>
      <c r="C119" s="2">
        <v>4</v>
      </c>
      <c r="D119" s="1" t="str">
        <f>INDEX(Codigos_Bens[Segmentação],MATCH(Base[[#This Row],[Código_do_segmento]],Codigos_Bens[Cod.],0))</f>
        <v>Motocicletas</v>
      </c>
      <c r="E119">
        <v>15.340199999999999</v>
      </c>
      <c r="F119">
        <v>8</v>
      </c>
      <c r="G119">
        <v>0</v>
      </c>
      <c r="H119">
        <v>0</v>
      </c>
      <c r="I119">
        <v>31</v>
      </c>
      <c r="J119">
        <v>25</v>
      </c>
      <c r="K119">
        <v>869</v>
      </c>
      <c r="L119">
        <v>697</v>
      </c>
      <c r="M119">
        <v>21</v>
      </c>
      <c r="N119">
        <v>1312</v>
      </c>
      <c r="O119">
        <v>101</v>
      </c>
      <c r="P119">
        <v>153</v>
      </c>
      <c r="Q119">
        <v>853</v>
      </c>
      <c r="R119">
        <v>413</v>
      </c>
      <c r="S119">
        <v>142</v>
      </c>
      <c r="T119">
        <v>1566</v>
      </c>
      <c r="U119">
        <v>853</v>
      </c>
      <c r="V119">
        <v>2419</v>
      </c>
      <c r="W119" s="4">
        <v>0.35262505167424557</v>
      </c>
      <c r="X119" s="4">
        <v>0.64737494832575448</v>
      </c>
    </row>
    <row r="120" spans="1:24" x14ac:dyDescent="0.25">
      <c r="A120" s="1" t="s">
        <v>60</v>
      </c>
      <c r="B120" s="1">
        <v>202103</v>
      </c>
      <c r="C120" s="2">
        <v>5</v>
      </c>
      <c r="D120" s="1" t="str">
        <f>INDEX(Codigos_Bens[Segmentação],MATCH(Base[[#This Row],[Código_do_segmento]],Codigos_Bens[Cod.],0))</f>
        <v>Outros bens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s="4">
        <v>0</v>
      </c>
      <c r="X120" s="4">
        <v>0</v>
      </c>
    </row>
    <row r="121" spans="1:24" x14ac:dyDescent="0.25">
      <c r="A121" s="1" t="s">
        <v>60</v>
      </c>
      <c r="B121" s="1">
        <v>202103</v>
      </c>
      <c r="C121" s="2">
        <v>6</v>
      </c>
      <c r="D121" s="1" t="str">
        <f>INDEX(Codigos_Bens[Segmentação],MATCH(Base[[#This Row],[Código_do_segmento]],Codigos_Bens[Cod.],0))</f>
        <v>Serviços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s="4">
        <v>0</v>
      </c>
      <c r="X121" s="4">
        <v>0</v>
      </c>
    </row>
    <row r="122" spans="1:24" x14ac:dyDescent="0.25">
      <c r="A122" s="1" t="s">
        <v>61</v>
      </c>
      <c r="B122" s="1">
        <v>202103</v>
      </c>
      <c r="C122" s="2">
        <v>1</v>
      </c>
      <c r="D122" s="1" t="str">
        <f>INDEX(Codigos_Bens[Segmentação],MATCH(Base[[#This Row],[Código_do_segmento]],Codigos_Bens[Cod.],0))</f>
        <v>Imóveis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s="4">
        <v>0</v>
      </c>
      <c r="X122" s="4">
        <v>0</v>
      </c>
    </row>
    <row r="123" spans="1:24" x14ac:dyDescent="0.25">
      <c r="A123" s="1" t="s">
        <v>61</v>
      </c>
      <c r="B123" s="1">
        <v>202103</v>
      </c>
      <c r="C123" s="2">
        <v>2</v>
      </c>
      <c r="D123" s="1" t="str">
        <f>INDEX(Codigos_Bens[Segmentação],MATCH(Base[[#This Row],[Código_do_segmento]],Codigos_Bens[Cod.],0))</f>
        <v>Veículos Pesados</v>
      </c>
      <c r="E123">
        <v>13.176920000000001</v>
      </c>
      <c r="F123">
        <v>21</v>
      </c>
      <c r="G123">
        <v>1</v>
      </c>
      <c r="H123">
        <v>0</v>
      </c>
      <c r="I123">
        <v>95</v>
      </c>
      <c r="J123">
        <v>302</v>
      </c>
      <c r="K123">
        <v>2380</v>
      </c>
      <c r="L123">
        <v>2205</v>
      </c>
      <c r="M123">
        <v>28</v>
      </c>
      <c r="N123">
        <v>4140</v>
      </c>
      <c r="O123">
        <v>177</v>
      </c>
      <c r="P123">
        <v>268</v>
      </c>
      <c r="Q123">
        <v>1736</v>
      </c>
      <c r="R123">
        <v>928</v>
      </c>
      <c r="S123">
        <v>1291</v>
      </c>
      <c r="T123">
        <v>4585</v>
      </c>
      <c r="U123">
        <v>1736</v>
      </c>
      <c r="V123">
        <v>6321</v>
      </c>
      <c r="W123" s="4">
        <v>0.27464008859357697</v>
      </c>
      <c r="X123" s="4">
        <v>0.72535991140642309</v>
      </c>
    </row>
    <row r="124" spans="1:24" x14ac:dyDescent="0.25">
      <c r="A124" s="1" t="s">
        <v>61</v>
      </c>
      <c r="B124" s="1">
        <v>202103</v>
      </c>
      <c r="C124" s="2">
        <v>3</v>
      </c>
      <c r="D124" s="1" t="str">
        <f>INDEX(Codigos_Bens[Segmentação],MATCH(Base[[#This Row],[Código_do_segmento]],Codigos_Bens[Cod.],0))</f>
        <v>Veículos Leves</v>
      </c>
      <c r="E124">
        <v>15.42473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84</v>
      </c>
      <c r="L124">
        <v>9</v>
      </c>
      <c r="M124">
        <v>0</v>
      </c>
      <c r="N124">
        <v>80</v>
      </c>
      <c r="O124">
        <v>12</v>
      </c>
      <c r="P124">
        <v>1</v>
      </c>
      <c r="Q124">
        <v>83</v>
      </c>
      <c r="R124">
        <v>50</v>
      </c>
      <c r="S124">
        <v>36</v>
      </c>
      <c r="T124">
        <v>93</v>
      </c>
      <c r="U124">
        <v>83</v>
      </c>
      <c r="V124">
        <v>176</v>
      </c>
      <c r="W124" s="4">
        <v>0.47159090909090912</v>
      </c>
      <c r="X124" s="4">
        <v>0.52840909090909094</v>
      </c>
    </row>
    <row r="125" spans="1:24" x14ac:dyDescent="0.25">
      <c r="A125" s="1" t="s">
        <v>61</v>
      </c>
      <c r="B125" s="1">
        <v>202103</v>
      </c>
      <c r="C125" s="2">
        <v>4</v>
      </c>
      <c r="D125" s="1" t="str">
        <f>INDEX(Codigos_Bens[Segmentação],MATCH(Base[[#This Row],[Código_do_segmento]],Codigos_Bens[Cod.],0))</f>
        <v>Motocicletas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s="4">
        <v>0</v>
      </c>
      <c r="X125" s="4">
        <v>0</v>
      </c>
    </row>
    <row r="126" spans="1:24" x14ac:dyDescent="0.25">
      <c r="A126" s="1" t="s">
        <v>61</v>
      </c>
      <c r="B126" s="1">
        <v>202103</v>
      </c>
      <c r="C126" s="2">
        <v>5</v>
      </c>
      <c r="D126" s="1" t="str">
        <f>INDEX(Codigos_Bens[Segmentação],MATCH(Base[[#This Row],[Código_do_segmento]],Codigos_Bens[Cod.],0))</f>
        <v>Outros bens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4">
        <v>0</v>
      </c>
      <c r="X126" s="4">
        <v>0</v>
      </c>
    </row>
    <row r="127" spans="1:24" x14ac:dyDescent="0.25">
      <c r="A127" s="1" t="s">
        <v>61</v>
      </c>
      <c r="B127" s="1">
        <v>202103</v>
      </c>
      <c r="C127" s="2">
        <v>6</v>
      </c>
      <c r="D127" s="1" t="str">
        <f>INDEX(Codigos_Bens[Segmentação],MATCH(Base[[#This Row],[Código_do_segmento]],Codigos_Bens[Cod.],0))</f>
        <v>Serviços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s="4">
        <v>0</v>
      </c>
      <c r="X127" s="4">
        <v>0</v>
      </c>
    </row>
    <row r="128" spans="1:24" x14ac:dyDescent="0.25">
      <c r="A128" s="1" t="s">
        <v>62</v>
      </c>
      <c r="B128" s="1">
        <v>202103</v>
      </c>
      <c r="C128" s="2">
        <v>1</v>
      </c>
      <c r="D128" s="1" t="str">
        <f>INDEX(Codigos_Bens[Segmentação],MATCH(Base[[#This Row],[Código_do_segmento]],Codigos_Bens[Cod.],0))</f>
        <v>Imóveis</v>
      </c>
      <c r="E128">
        <v>17.958079999999999</v>
      </c>
      <c r="F128">
        <v>71</v>
      </c>
      <c r="G128">
        <v>0</v>
      </c>
      <c r="H128">
        <v>1</v>
      </c>
      <c r="I128">
        <v>1995</v>
      </c>
      <c r="J128">
        <v>32069</v>
      </c>
      <c r="K128">
        <v>30012</v>
      </c>
      <c r="L128">
        <v>35950</v>
      </c>
      <c r="M128">
        <v>364</v>
      </c>
      <c r="N128">
        <v>57407</v>
      </c>
      <c r="O128">
        <v>2405</v>
      </c>
      <c r="P128">
        <v>6150</v>
      </c>
      <c r="Q128">
        <v>89153</v>
      </c>
      <c r="R128">
        <v>10639</v>
      </c>
      <c r="S128">
        <v>7661</v>
      </c>
      <c r="T128">
        <v>65962</v>
      </c>
      <c r="U128">
        <v>89153</v>
      </c>
      <c r="V128">
        <v>155115</v>
      </c>
      <c r="W128" s="4">
        <v>0.57475421461496312</v>
      </c>
      <c r="X128" s="4">
        <v>0.42524578538503693</v>
      </c>
    </row>
    <row r="129" spans="1:24" x14ac:dyDescent="0.25">
      <c r="A129" s="1" t="s">
        <v>62</v>
      </c>
      <c r="B129" s="1">
        <v>202103</v>
      </c>
      <c r="C129" s="2">
        <v>2</v>
      </c>
      <c r="D129" s="1" t="str">
        <f>INDEX(Codigos_Bens[Segmentação],MATCH(Base[[#This Row],[Código_do_segmento]],Codigos_Bens[Cod.],0))</f>
        <v>Veículos Pesados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s="4">
        <v>0</v>
      </c>
      <c r="X129" s="4">
        <v>0</v>
      </c>
    </row>
    <row r="130" spans="1:24" x14ac:dyDescent="0.25">
      <c r="A130" s="1" t="s">
        <v>62</v>
      </c>
      <c r="B130" s="1">
        <v>202103</v>
      </c>
      <c r="C130" s="2">
        <v>3</v>
      </c>
      <c r="D130" s="1" t="str">
        <f>INDEX(Codigos_Bens[Segmentação],MATCH(Base[[#This Row],[Código_do_segmento]],Codigos_Bens[Cod.],0))</f>
        <v>Veículos Leves</v>
      </c>
      <c r="E130">
        <v>15.18341</v>
      </c>
      <c r="F130">
        <v>105</v>
      </c>
      <c r="G130">
        <v>0</v>
      </c>
      <c r="H130">
        <v>1</v>
      </c>
      <c r="I130">
        <v>1902</v>
      </c>
      <c r="J130">
        <v>8780</v>
      </c>
      <c r="K130">
        <v>60551</v>
      </c>
      <c r="L130">
        <v>39802</v>
      </c>
      <c r="M130">
        <v>1405</v>
      </c>
      <c r="N130">
        <v>86058</v>
      </c>
      <c r="O130">
        <v>9000</v>
      </c>
      <c r="P130">
        <v>5295</v>
      </c>
      <c r="Q130">
        <v>66807</v>
      </c>
      <c r="R130">
        <v>17484</v>
      </c>
      <c r="S130">
        <v>12369</v>
      </c>
      <c r="T130">
        <v>100353</v>
      </c>
      <c r="U130">
        <v>66807</v>
      </c>
      <c r="V130">
        <v>167160</v>
      </c>
      <c r="W130" s="4">
        <v>0.39965900933237619</v>
      </c>
      <c r="X130" s="4">
        <v>0.60034099066762381</v>
      </c>
    </row>
    <row r="131" spans="1:24" x14ac:dyDescent="0.25">
      <c r="A131" s="1" t="s">
        <v>62</v>
      </c>
      <c r="B131" s="1">
        <v>202103</v>
      </c>
      <c r="C131" s="2">
        <v>4</v>
      </c>
      <c r="D131" s="1" t="str">
        <f>INDEX(Codigos_Bens[Segmentação],MATCH(Base[[#This Row],[Código_do_segmento]],Codigos_Bens[Cod.],0))</f>
        <v>Motocicletas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s="4">
        <v>0</v>
      </c>
      <c r="X131" s="4">
        <v>0</v>
      </c>
    </row>
    <row r="132" spans="1:24" x14ac:dyDescent="0.25">
      <c r="A132" s="1" t="s">
        <v>62</v>
      </c>
      <c r="B132" s="1">
        <v>202103</v>
      </c>
      <c r="C132" s="2">
        <v>5</v>
      </c>
      <c r="D132" s="1" t="str">
        <f>INDEX(Codigos_Bens[Segmentação],MATCH(Base[[#This Row],[Código_do_segmento]],Codigos_Bens[Cod.],0))</f>
        <v>Outros bens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s="4">
        <v>0</v>
      </c>
      <c r="X132" s="4">
        <v>0</v>
      </c>
    </row>
    <row r="133" spans="1:24" x14ac:dyDescent="0.25">
      <c r="A133" s="1" t="s">
        <v>62</v>
      </c>
      <c r="B133" s="1">
        <v>202103</v>
      </c>
      <c r="C133" s="2">
        <v>6</v>
      </c>
      <c r="D133" s="1" t="str">
        <f>INDEX(Codigos_Bens[Segmentação],MATCH(Base[[#This Row],[Código_do_segmento]],Codigos_Bens[Cod.],0))</f>
        <v>Serviços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4">
        <v>0</v>
      </c>
      <c r="X133" s="4">
        <v>0</v>
      </c>
    </row>
    <row r="134" spans="1:24" x14ac:dyDescent="0.25">
      <c r="A134" s="1" t="s">
        <v>63</v>
      </c>
      <c r="B134" s="1">
        <v>202103</v>
      </c>
      <c r="C134" s="2">
        <v>1</v>
      </c>
      <c r="D134" s="1" t="str">
        <f>INDEX(Codigos_Bens[Segmentação],MATCH(Base[[#This Row],[Código_do_segmento]],Codigos_Bens[Cod.],0))</f>
        <v>Imóveis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s="4">
        <v>0</v>
      </c>
      <c r="X134" s="4">
        <v>0</v>
      </c>
    </row>
    <row r="135" spans="1:24" x14ac:dyDescent="0.25">
      <c r="A135" s="1" t="s">
        <v>63</v>
      </c>
      <c r="B135" s="1">
        <v>202103</v>
      </c>
      <c r="C135" s="2">
        <v>2</v>
      </c>
      <c r="D135" s="1" t="str">
        <f>INDEX(Codigos_Bens[Segmentação],MATCH(Base[[#This Row],[Código_do_segmento]],Codigos_Bens[Cod.],0))</f>
        <v>Veículos Pesados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s="4">
        <v>0</v>
      </c>
      <c r="X135" s="4">
        <v>0</v>
      </c>
    </row>
    <row r="136" spans="1:24" x14ac:dyDescent="0.25">
      <c r="A136" s="1" t="s">
        <v>63</v>
      </c>
      <c r="B136" s="1">
        <v>202103</v>
      </c>
      <c r="C136" s="2">
        <v>3</v>
      </c>
      <c r="D136" s="1" t="str">
        <f>INDEX(Codigos_Bens[Segmentação],MATCH(Base[[#This Row],[Código_do_segmento]],Codigos_Bens[Cod.],0))</f>
        <v>Veículos Leves</v>
      </c>
      <c r="E136">
        <v>15</v>
      </c>
      <c r="F136">
        <v>9</v>
      </c>
      <c r="G136">
        <v>0</v>
      </c>
      <c r="H136">
        <v>0</v>
      </c>
      <c r="I136">
        <v>31</v>
      </c>
      <c r="J136">
        <v>363</v>
      </c>
      <c r="K136">
        <v>761</v>
      </c>
      <c r="L136">
        <v>477</v>
      </c>
      <c r="M136">
        <v>13</v>
      </c>
      <c r="N136">
        <v>1067</v>
      </c>
      <c r="O136">
        <v>92</v>
      </c>
      <c r="P136">
        <v>79</v>
      </c>
      <c r="Q136">
        <v>837</v>
      </c>
      <c r="R136">
        <v>327</v>
      </c>
      <c r="S136">
        <v>90</v>
      </c>
      <c r="T136">
        <v>1238</v>
      </c>
      <c r="U136">
        <v>837</v>
      </c>
      <c r="V136">
        <v>2075</v>
      </c>
      <c r="W136" s="4">
        <v>0.40337349397590361</v>
      </c>
      <c r="X136" s="4">
        <v>0.59662650602409639</v>
      </c>
    </row>
    <row r="137" spans="1:24" x14ac:dyDescent="0.25">
      <c r="A137" s="1" t="s">
        <v>63</v>
      </c>
      <c r="B137" s="1">
        <v>202103</v>
      </c>
      <c r="C137" s="2">
        <v>4</v>
      </c>
      <c r="D137" s="1" t="str">
        <f>INDEX(Codigos_Bens[Segmentação],MATCH(Base[[#This Row],[Código_do_segmento]],Codigos_Bens[Cod.],0))</f>
        <v>Motocicletas</v>
      </c>
      <c r="E137">
        <v>17</v>
      </c>
      <c r="F137">
        <v>2</v>
      </c>
      <c r="G137">
        <v>0</v>
      </c>
      <c r="H137">
        <v>0</v>
      </c>
      <c r="I137">
        <v>7</v>
      </c>
      <c r="J137">
        <v>71</v>
      </c>
      <c r="K137">
        <v>47</v>
      </c>
      <c r="L137">
        <v>188</v>
      </c>
      <c r="M137">
        <v>4</v>
      </c>
      <c r="N137">
        <v>184</v>
      </c>
      <c r="O137">
        <v>5</v>
      </c>
      <c r="P137">
        <v>46</v>
      </c>
      <c r="Q137">
        <v>90</v>
      </c>
      <c r="R137">
        <v>5</v>
      </c>
      <c r="S137">
        <v>13</v>
      </c>
      <c r="T137">
        <v>235</v>
      </c>
      <c r="U137">
        <v>90</v>
      </c>
      <c r="V137">
        <v>325</v>
      </c>
      <c r="W137" s="4">
        <v>0.27692307692307694</v>
      </c>
      <c r="X137" s="4">
        <v>0.72307692307692306</v>
      </c>
    </row>
    <row r="138" spans="1:24" x14ac:dyDescent="0.25">
      <c r="A138" s="1" t="s">
        <v>63</v>
      </c>
      <c r="B138" s="1">
        <v>202103</v>
      </c>
      <c r="C138" s="2">
        <v>5</v>
      </c>
      <c r="D138" s="1" t="str">
        <f>INDEX(Codigos_Bens[Segmentação],MATCH(Base[[#This Row],[Código_do_segmento]],Codigos_Bens[Cod.],0))</f>
        <v>Outros bens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s="4">
        <v>0</v>
      </c>
      <c r="X138" s="4">
        <v>0</v>
      </c>
    </row>
    <row r="139" spans="1:24" x14ac:dyDescent="0.25">
      <c r="A139" s="1" t="s">
        <v>63</v>
      </c>
      <c r="B139" s="1">
        <v>202103</v>
      </c>
      <c r="C139" s="2">
        <v>6</v>
      </c>
      <c r="D139" s="1" t="str">
        <f>INDEX(Codigos_Bens[Segmentação],MATCH(Base[[#This Row],[Código_do_segmento]],Codigos_Bens[Cod.],0))</f>
        <v>Serviços</v>
      </c>
      <c r="E139">
        <v>17</v>
      </c>
      <c r="F139">
        <v>4</v>
      </c>
      <c r="G139">
        <v>0</v>
      </c>
      <c r="H139">
        <v>0</v>
      </c>
      <c r="I139">
        <v>19</v>
      </c>
      <c r="J139">
        <v>102</v>
      </c>
      <c r="K139">
        <v>215</v>
      </c>
      <c r="L139">
        <v>347</v>
      </c>
      <c r="M139">
        <v>9</v>
      </c>
      <c r="N139">
        <v>452</v>
      </c>
      <c r="O139">
        <v>48</v>
      </c>
      <c r="P139">
        <v>62</v>
      </c>
      <c r="Q139">
        <v>187</v>
      </c>
      <c r="R139">
        <v>51</v>
      </c>
      <c r="S139">
        <v>29</v>
      </c>
      <c r="T139">
        <v>562</v>
      </c>
      <c r="U139">
        <v>187</v>
      </c>
      <c r="V139">
        <v>749</v>
      </c>
      <c r="W139" s="4">
        <v>0.24966622162883845</v>
      </c>
      <c r="X139" s="4">
        <v>0.75033377837116155</v>
      </c>
    </row>
    <row r="140" spans="1:24" x14ac:dyDescent="0.25">
      <c r="A140" s="1" t="s">
        <v>64</v>
      </c>
      <c r="B140" s="1">
        <v>202103</v>
      </c>
      <c r="C140" s="2">
        <v>1</v>
      </c>
      <c r="D140" s="1" t="str">
        <f>INDEX(Codigos_Bens[Segmentação],MATCH(Base[[#This Row],[Código_do_segmento]],Codigos_Bens[Cod.],0))</f>
        <v>Imóveis</v>
      </c>
      <c r="E140">
        <v>23.469609999999999</v>
      </c>
      <c r="F140">
        <v>6</v>
      </c>
      <c r="G140">
        <v>0</v>
      </c>
      <c r="H140">
        <v>0</v>
      </c>
      <c r="I140">
        <v>80</v>
      </c>
      <c r="J140">
        <v>2067</v>
      </c>
      <c r="K140">
        <v>657</v>
      </c>
      <c r="L140">
        <v>2280</v>
      </c>
      <c r="M140">
        <v>12</v>
      </c>
      <c r="N140">
        <v>2070</v>
      </c>
      <c r="O140">
        <v>96</v>
      </c>
      <c r="P140">
        <v>771</v>
      </c>
      <c r="Q140">
        <v>7807</v>
      </c>
      <c r="R140">
        <v>147</v>
      </c>
      <c r="S140">
        <v>244</v>
      </c>
      <c r="T140">
        <v>2937</v>
      </c>
      <c r="U140">
        <v>7807</v>
      </c>
      <c r="V140">
        <v>10744</v>
      </c>
      <c r="W140" s="4">
        <v>0.72663812360387192</v>
      </c>
      <c r="X140" s="4">
        <v>0.27336187639612808</v>
      </c>
    </row>
    <row r="141" spans="1:24" x14ac:dyDescent="0.25">
      <c r="A141" s="1" t="s">
        <v>64</v>
      </c>
      <c r="B141" s="1">
        <v>202103</v>
      </c>
      <c r="C141" s="2">
        <v>2</v>
      </c>
      <c r="D141" s="1" t="str">
        <f>INDEX(Codigos_Bens[Segmentação],MATCH(Base[[#This Row],[Código_do_segmento]],Codigos_Bens[Cod.],0))</f>
        <v>Veículos Pesados</v>
      </c>
      <c r="E141">
        <v>14.7033</v>
      </c>
      <c r="F141">
        <v>5</v>
      </c>
      <c r="G141">
        <v>0</v>
      </c>
      <c r="H141">
        <v>0</v>
      </c>
      <c r="I141">
        <v>36</v>
      </c>
      <c r="J141">
        <v>438</v>
      </c>
      <c r="K141">
        <v>800</v>
      </c>
      <c r="L141">
        <v>413</v>
      </c>
      <c r="M141">
        <v>14</v>
      </c>
      <c r="N141">
        <v>972</v>
      </c>
      <c r="O141">
        <v>116</v>
      </c>
      <c r="P141">
        <v>125</v>
      </c>
      <c r="Q141">
        <v>1332</v>
      </c>
      <c r="R141">
        <v>495</v>
      </c>
      <c r="S141">
        <v>72</v>
      </c>
      <c r="T141">
        <v>1213</v>
      </c>
      <c r="U141">
        <v>1332</v>
      </c>
      <c r="V141">
        <v>2545</v>
      </c>
      <c r="W141" s="4">
        <v>0.52337917485265228</v>
      </c>
      <c r="X141" s="4">
        <v>0.47662082514734772</v>
      </c>
    </row>
    <row r="142" spans="1:24" x14ac:dyDescent="0.25">
      <c r="A142" s="1" t="s">
        <v>64</v>
      </c>
      <c r="B142" s="1">
        <v>202103</v>
      </c>
      <c r="C142" s="2">
        <v>3</v>
      </c>
      <c r="D142" s="1" t="str">
        <f>INDEX(Codigos_Bens[Segmentação],MATCH(Base[[#This Row],[Código_do_segmento]],Codigos_Bens[Cod.],0))</f>
        <v>Veículos Leves</v>
      </c>
      <c r="E142">
        <v>18.384239999999998</v>
      </c>
      <c r="F142">
        <v>58</v>
      </c>
      <c r="G142">
        <v>1</v>
      </c>
      <c r="H142">
        <v>1</v>
      </c>
      <c r="I142">
        <v>1267</v>
      </c>
      <c r="J142">
        <v>2445</v>
      </c>
      <c r="K142">
        <v>24376</v>
      </c>
      <c r="L142">
        <v>20697</v>
      </c>
      <c r="M142">
        <v>460</v>
      </c>
      <c r="N142">
        <v>36210</v>
      </c>
      <c r="O142">
        <v>3534</v>
      </c>
      <c r="P142">
        <v>5329</v>
      </c>
      <c r="Q142">
        <v>46658</v>
      </c>
      <c r="R142">
        <v>10392</v>
      </c>
      <c r="S142">
        <v>2602</v>
      </c>
      <c r="T142">
        <v>45073</v>
      </c>
      <c r="U142">
        <v>46658</v>
      </c>
      <c r="V142">
        <v>91731</v>
      </c>
      <c r="W142" s="4">
        <v>0.50863939126358593</v>
      </c>
      <c r="X142" s="4">
        <v>0.49136060873641407</v>
      </c>
    </row>
    <row r="143" spans="1:24" x14ac:dyDescent="0.25">
      <c r="A143" s="1" t="s">
        <v>64</v>
      </c>
      <c r="B143" s="1">
        <v>202103</v>
      </c>
      <c r="C143" s="2">
        <v>4</v>
      </c>
      <c r="D143" s="1" t="str">
        <f>INDEX(Codigos_Bens[Segmentação],MATCH(Base[[#This Row],[Código_do_segmento]],Codigos_Bens[Cod.],0))</f>
        <v>Motocicletas</v>
      </c>
      <c r="E143">
        <v>21.88944</v>
      </c>
      <c r="F143">
        <v>30</v>
      </c>
      <c r="G143">
        <v>0</v>
      </c>
      <c r="H143">
        <v>1</v>
      </c>
      <c r="I143">
        <v>151</v>
      </c>
      <c r="J143">
        <v>3832</v>
      </c>
      <c r="K143">
        <v>13219</v>
      </c>
      <c r="L143">
        <v>2438</v>
      </c>
      <c r="M143">
        <v>70</v>
      </c>
      <c r="N143">
        <v>13758</v>
      </c>
      <c r="O143">
        <v>1186</v>
      </c>
      <c r="P143">
        <v>713</v>
      </c>
      <c r="Q143">
        <v>16207</v>
      </c>
      <c r="R143">
        <v>10524</v>
      </c>
      <c r="S143">
        <v>645</v>
      </c>
      <c r="T143">
        <v>15657</v>
      </c>
      <c r="U143">
        <v>16207</v>
      </c>
      <c r="V143">
        <v>31864</v>
      </c>
      <c r="W143" s="4">
        <v>0.50863042932462965</v>
      </c>
      <c r="X143" s="4">
        <v>0.49136957067537035</v>
      </c>
    </row>
    <row r="144" spans="1:24" x14ac:dyDescent="0.25">
      <c r="A144" s="1" t="s">
        <v>64</v>
      </c>
      <c r="B144" s="1">
        <v>202103</v>
      </c>
      <c r="C144" s="2">
        <v>5</v>
      </c>
      <c r="D144" s="1" t="str">
        <f>INDEX(Codigos_Bens[Segmentação],MATCH(Base[[#This Row],[Código_do_segmento]],Codigos_Bens[Cod.],0))</f>
        <v>Outros bens</v>
      </c>
      <c r="E144">
        <v>25.780429999999999</v>
      </c>
      <c r="F144">
        <v>1</v>
      </c>
      <c r="G144">
        <v>0</v>
      </c>
      <c r="H144">
        <v>0</v>
      </c>
      <c r="I144">
        <v>10</v>
      </c>
      <c r="J144">
        <v>67</v>
      </c>
      <c r="K144">
        <v>79</v>
      </c>
      <c r="L144">
        <v>151</v>
      </c>
      <c r="M144">
        <v>4</v>
      </c>
      <c r="N144">
        <v>180</v>
      </c>
      <c r="O144">
        <v>10</v>
      </c>
      <c r="P144">
        <v>40</v>
      </c>
      <c r="Q144">
        <v>114</v>
      </c>
      <c r="R144">
        <v>30</v>
      </c>
      <c r="S144">
        <v>22</v>
      </c>
      <c r="T144">
        <v>230</v>
      </c>
      <c r="U144">
        <v>114</v>
      </c>
      <c r="V144">
        <v>344</v>
      </c>
      <c r="W144" s="4">
        <v>0.33139534883720928</v>
      </c>
      <c r="X144" s="4">
        <v>0.66860465116279066</v>
      </c>
    </row>
    <row r="145" spans="1:24" x14ac:dyDescent="0.25">
      <c r="A145" s="1" t="s">
        <v>64</v>
      </c>
      <c r="B145" s="1">
        <v>202103</v>
      </c>
      <c r="C145" s="2">
        <v>6</v>
      </c>
      <c r="D145" s="1" t="str">
        <f>INDEX(Codigos_Bens[Segmentação],MATCH(Base[[#This Row],[Código_do_segmento]],Codigos_Bens[Cod.],0))</f>
        <v>Serviços</v>
      </c>
      <c r="E145">
        <v>26.532779999999999</v>
      </c>
      <c r="F145">
        <v>3</v>
      </c>
      <c r="G145">
        <v>0</v>
      </c>
      <c r="H145">
        <v>0</v>
      </c>
      <c r="I145">
        <v>96</v>
      </c>
      <c r="J145">
        <v>168</v>
      </c>
      <c r="K145">
        <v>851</v>
      </c>
      <c r="L145">
        <v>1181</v>
      </c>
      <c r="M145">
        <v>36</v>
      </c>
      <c r="N145">
        <v>1404</v>
      </c>
      <c r="O145">
        <v>248</v>
      </c>
      <c r="P145">
        <v>380</v>
      </c>
      <c r="Q145">
        <v>1520</v>
      </c>
      <c r="R145">
        <v>190</v>
      </c>
      <c r="S145">
        <v>138</v>
      </c>
      <c r="T145">
        <v>2032</v>
      </c>
      <c r="U145">
        <v>1520</v>
      </c>
      <c r="V145">
        <v>3552</v>
      </c>
      <c r="W145" s="4">
        <v>0.42792792792792794</v>
      </c>
      <c r="X145" s="4">
        <v>0.57207207207207211</v>
      </c>
    </row>
    <row r="146" spans="1:24" x14ac:dyDescent="0.25">
      <c r="A146" s="1" t="s">
        <v>65</v>
      </c>
      <c r="B146" s="1">
        <v>202103</v>
      </c>
      <c r="C146" s="2">
        <v>1</v>
      </c>
      <c r="D146" s="1" t="str">
        <f>INDEX(Codigos_Bens[Segmentação],MATCH(Base[[#This Row],[Código_do_segmento]],Codigos_Bens[Cod.],0))</f>
        <v>Imóveis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4">
        <v>0</v>
      </c>
      <c r="X146" s="4">
        <v>0</v>
      </c>
    </row>
    <row r="147" spans="1:24" x14ac:dyDescent="0.25">
      <c r="A147" s="1" t="s">
        <v>65</v>
      </c>
      <c r="B147" s="1">
        <v>202103</v>
      </c>
      <c r="C147" s="2">
        <v>2</v>
      </c>
      <c r="D147" s="1" t="str">
        <f>INDEX(Codigos_Bens[Segmentação],MATCH(Base[[#This Row],[Código_do_segmento]],Codigos_Bens[Cod.],0))</f>
        <v>Veículos Pesados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4">
        <v>0</v>
      </c>
      <c r="X147" s="4">
        <v>0</v>
      </c>
    </row>
    <row r="148" spans="1:24" x14ac:dyDescent="0.25">
      <c r="A148" s="1" t="s">
        <v>65</v>
      </c>
      <c r="B148" s="1">
        <v>202103</v>
      </c>
      <c r="C148" s="2">
        <v>3</v>
      </c>
      <c r="D148" s="1" t="str">
        <f>INDEX(Codigos_Bens[Segmentação],MATCH(Base[[#This Row],[Código_do_segmento]],Codigos_Bens[Cod.],0))</f>
        <v>Veículos Leves</v>
      </c>
      <c r="E148">
        <v>14.95777</v>
      </c>
      <c r="F148">
        <v>9</v>
      </c>
      <c r="G148">
        <v>0</v>
      </c>
      <c r="H148">
        <v>1</v>
      </c>
      <c r="I148">
        <v>53</v>
      </c>
      <c r="J148">
        <v>260</v>
      </c>
      <c r="K148">
        <v>1053</v>
      </c>
      <c r="L148">
        <v>1031</v>
      </c>
      <c r="M148">
        <v>26</v>
      </c>
      <c r="N148">
        <v>1768</v>
      </c>
      <c r="O148">
        <v>131</v>
      </c>
      <c r="P148">
        <v>185</v>
      </c>
      <c r="Q148">
        <v>1133</v>
      </c>
      <c r="R148">
        <v>319</v>
      </c>
      <c r="S148">
        <v>186</v>
      </c>
      <c r="T148">
        <v>2084</v>
      </c>
      <c r="U148">
        <v>1133</v>
      </c>
      <c r="V148">
        <v>3217</v>
      </c>
      <c r="W148" s="4">
        <v>0.3521914827479018</v>
      </c>
      <c r="X148" s="4">
        <v>0.6478085172520982</v>
      </c>
    </row>
    <row r="149" spans="1:24" x14ac:dyDescent="0.25">
      <c r="A149" s="1" t="s">
        <v>65</v>
      </c>
      <c r="B149" s="1">
        <v>202103</v>
      </c>
      <c r="C149" s="2">
        <v>4</v>
      </c>
      <c r="D149" s="1" t="str">
        <f>INDEX(Codigos_Bens[Segmentação],MATCH(Base[[#This Row],[Código_do_segmento]],Codigos_Bens[Cod.],0))</f>
        <v>Motocicletas</v>
      </c>
      <c r="E149">
        <v>17.27101</v>
      </c>
      <c r="F149">
        <v>3</v>
      </c>
      <c r="G149">
        <v>0</v>
      </c>
      <c r="H149">
        <v>0</v>
      </c>
      <c r="I149">
        <v>16</v>
      </c>
      <c r="J149">
        <v>21</v>
      </c>
      <c r="K149">
        <v>249</v>
      </c>
      <c r="L149">
        <v>572</v>
      </c>
      <c r="M149">
        <v>11</v>
      </c>
      <c r="N149">
        <v>688</v>
      </c>
      <c r="O149">
        <v>37</v>
      </c>
      <c r="P149">
        <v>96</v>
      </c>
      <c r="Q149">
        <v>244</v>
      </c>
      <c r="R149">
        <v>41</v>
      </c>
      <c r="S149">
        <v>80</v>
      </c>
      <c r="T149">
        <v>821</v>
      </c>
      <c r="U149">
        <v>244</v>
      </c>
      <c r="V149">
        <v>1065</v>
      </c>
      <c r="W149" s="4">
        <v>0.22910798122065729</v>
      </c>
      <c r="X149" s="4">
        <v>0.77089201877934277</v>
      </c>
    </row>
    <row r="150" spans="1:24" x14ac:dyDescent="0.25">
      <c r="A150" s="1" t="s">
        <v>65</v>
      </c>
      <c r="B150" s="1">
        <v>202103</v>
      </c>
      <c r="C150" s="2">
        <v>5</v>
      </c>
      <c r="D150" s="1" t="str">
        <f>INDEX(Codigos_Bens[Segmentação],MATCH(Base[[#This Row],[Código_do_segmento]],Codigos_Bens[Cod.],0))</f>
        <v>Outros bens</v>
      </c>
      <c r="E150">
        <v>18.97148</v>
      </c>
      <c r="F150">
        <v>9</v>
      </c>
      <c r="G150">
        <v>0</v>
      </c>
      <c r="H150">
        <v>0</v>
      </c>
      <c r="I150">
        <v>65</v>
      </c>
      <c r="J150">
        <v>303</v>
      </c>
      <c r="K150">
        <v>975</v>
      </c>
      <c r="L150">
        <v>1111</v>
      </c>
      <c r="M150">
        <v>19</v>
      </c>
      <c r="N150">
        <v>1765</v>
      </c>
      <c r="O150">
        <v>176</v>
      </c>
      <c r="P150">
        <v>145</v>
      </c>
      <c r="Q150">
        <v>1086</v>
      </c>
      <c r="R150">
        <v>246</v>
      </c>
      <c r="S150">
        <v>450</v>
      </c>
      <c r="T150">
        <v>2086</v>
      </c>
      <c r="U150">
        <v>1086</v>
      </c>
      <c r="V150">
        <v>3172</v>
      </c>
      <c r="W150" s="4">
        <v>0.34237074401008827</v>
      </c>
      <c r="X150" s="4">
        <v>0.65762925598991173</v>
      </c>
    </row>
    <row r="151" spans="1:24" x14ac:dyDescent="0.25">
      <c r="A151" s="1" t="s">
        <v>65</v>
      </c>
      <c r="B151" s="1">
        <v>202103</v>
      </c>
      <c r="C151" s="2">
        <v>6</v>
      </c>
      <c r="D151" s="1" t="str">
        <f>INDEX(Codigos_Bens[Segmentação],MATCH(Base[[#This Row],[Código_do_segmento]],Codigos_Bens[Cod.],0))</f>
        <v>Serviços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4">
        <v>0</v>
      </c>
      <c r="X151" s="4">
        <v>0</v>
      </c>
    </row>
    <row r="152" spans="1:24" x14ac:dyDescent="0.25">
      <c r="A152" s="1" t="s">
        <v>66</v>
      </c>
      <c r="B152" s="1">
        <v>202103</v>
      </c>
      <c r="C152" s="2">
        <v>1</v>
      </c>
      <c r="D152" s="1" t="str">
        <f>INDEX(Codigos_Bens[Segmentação],MATCH(Base[[#This Row],[Código_do_segmento]],Codigos_Bens[Cod.],0))</f>
        <v>Imóveis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4">
        <v>0</v>
      </c>
      <c r="X152" s="4">
        <v>0</v>
      </c>
    </row>
    <row r="153" spans="1:24" x14ac:dyDescent="0.25">
      <c r="A153" s="1" t="s">
        <v>66</v>
      </c>
      <c r="B153" s="1">
        <v>202103</v>
      </c>
      <c r="C153" s="2">
        <v>2</v>
      </c>
      <c r="D153" s="1" t="str">
        <f>INDEX(Codigos_Bens[Segmentação],MATCH(Base[[#This Row],[Código_do_segmento]],Codigos_Bens[Cod.],0))</f>
        <v>Veículos Pesados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4">
        <v>0</v>
      </c>
      <c r="X153" s="4">
        <v>0</v>
      </c>
    </row>
    <row r="154" spans="1:24" x14ac:dyDescent="0.25">
      <c r="A154" s="1" t="s">
        <v>66</v>
      </c>
      <c r="B154" s="1">
        <v>202103</v>
      </c>
      <c r="C154" s="2">
        <v>3</v>
      </c>
      <c r="D154" s="1" t="str">
        <f>INDEX(Codigos_Bens[Segmentação],MATCH(Base[[#This Row],[Código_do_segmento]],Codigos_Bens[Cod.],0))</f>
        <v>Veículos Leves</v>
      </c>
      <c r="E154">
        <v>15.20438</v>
      </c>
      <c r="F154">
        <v>5</v>
      </c>
      <c r="G154">
        <v>0</v>
      </c>
      <c r="H154">
        <v>0</v>
      </c>
      <c r="I154">
        <v>15</v>
      </c>
      <c r="J154">
        <v>45</v>
      </c>
      <c r="K154">
        <v>453</v>
      </c>
      <c r="L154">
        <v>347</v>
      </c>
      <c r="M154">
        <v>8</v>
      </c>
      <c r="N154">
        <v>660</v>
      </c>
      <c r="O154">
        <v>45</v>
      </c>
      <c r="P154">
        <v>95</v>
      </c>
      <c r="Q154">
        <v>534</v>
      </c>
      <c r="R154">
        <v>237</v>
      </c>
      <c r="S154">
        <v>39</v>
      </c>
      <c r="T154">
        <v>800</v>
      </c>
      <c r="U154">
        <v>534</v>
      </c>
      <c r="V154">
        <v>1334</v>
      </c>
      <c r="W154" s="4">
        <v>0.40029985007496249</v>
      </c>
      <c r="X154" s="4">
        <v>0.59970014992503751</v>
      </c>
    </row>
    <row r="155" spans="1:24" x14ac:dyDescent="0.25">
      <c r="A155" s="1" t="s">
        <v>66</v>
      </c>
      <c r="B155" s="1">
        <v>202103</v>
      </c>
      <c r="C155" s="2">
        <v>4</v>
      </c>
      <c r="D155" s="1" t="str">
        <f>INDEX(Codigos_Bens[Segmentação],MATCH(Base[[#This Row],[Código_do_segmento]],Codigos_Bens[Cod.],0))</f>
        <v>Motocicletas</v>
      </c>
      <c r="E155">
        <v>15.31199</v>
      </c>
      <c r="F155">
        <v>9</v>
      </c>
      <c r="G155">
        <v>0</v>
      </c>
      <c r="H155">
        <v>0</v>
      </c>
      <c r="I155">
        <v>6</v>
      </c>
      <c r="J155">
        <v>55</v>
      </c>
      <c r="K155">
        <v>776</v>
      </c>
      <c r="L155">
        <v>458</v>
      </c>
      <c r="M155">
        <v>13</v>
      </c>
      <c r="N155">
        <v>870</v>
      </c>
      <c r="O155">
        <v>179</v>
      </c>
      <c r="P155">
        <v>185</v>
      </c>
      <c r="Q155">
        <v>1324</v>
      </c>
      <c r="R155">
        <v>265</v>
      </c>
      <c r="S155">
        <v>111</v>
      </c>
      <c r="T155">
        <v>1234</v>
      </c>
      <c r="U155">
        <v>1324</v>
      </c>
      <c r="V155">
        <v>2558</v>
      </c>
      <c r="W155" s="4">
        <v>0.51759186864738072</v>
      </c>
      <c r="X155" s="4">
        <v>0.48240813135261923</v>
      </c>
    </row>
    <row r="156" spans="1:24" x14ac:dyDescent="0.25">
      <c r="A156" s="1" t="s">
        <v>66</v>
      </c>
      <c r="B156" s="1">
        <v>202103</v>
      </c>
      <c r="C156" s="2">
        <v>5</v>
      </c>
      <c r="D156" s="1" t="str">
        <f>INDEX(Codigos_Bens[Segmentação],MATCH(Base[[#This Row],[Código_do_segmento]],Codigos_Bens[Cod.],0))</f>
        <v>Outros bens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4">
        <v>0</v>
      </c>
      <c r="X156" s="4">
        <v>0</v>
      </c>
    </row>
    <row r="157" spans="1:24" x14ac:dyDescent="0.25">
      <c r="A157" s="1" t="s">
        <v>66</v>
      </c>
      <c r="B157" s="1">
        <v>202103</v>
      </c>
      <c r="C157" s="2">
        <v>6</v>
      </c>
      <c r="D157" s="1" t="str">
        <f>INDEX(Codigos_Bens[Segmentação],MATCH(Base[[#This Row],[Código_do_segmento]],Codigos_Bens[Cod.],0))</f>
        <v>Serviços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4">
        <v>0</v>
      </c>
      <c r="X157" s="4">
        <v>0</v>
      </c>
    </row>
    <row r="158" spans="1:24" x14ac:dyDescent="0.25">
      <c r="A158" s="1" t="s">
        <v>27</v>
      </c>
      <c r="B158" s="1">
        <v>202103</v>
      </c>
      <c r="C158" s="2">
        <v>1</v>
      </c>
      <c r="D158" s="1" t="str">
        <f>INDEX(Codigos_Bens[Segmentação],MATCH(Base[[#This Row],[Código_do_segmento]],Codigos_Bens[Cod.],0))</f>
        <v>Imóveis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s="4">
        <v>0</v>
      </c>
      <c r="X158" s="4">
        <v>0</v>
      </c>
    </row>
    <row r="159" spans="1:24" x14ac:dyDescent="0.25">
      <c r="A159" s="1" t="s">
        <v>27</v>
      </c>
      <c r="B159" s="1">
        <v>202103</v>
      </c>
      <c r="C159" s="2">
        <v>2</v>
      </c>
      <c r="D159" s="1" t="str">
        <f>INDEX(Codigos_Bens[Segmentação],MATCH(Base[[#This Row],[Código_do_segmento]],Codigos_Bens[Cod.],0))</f>
        <v>Veículos Pesados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s="4">
        <v>0</v>
      </c>
      <c r="X159" s="4">
        <v>0</v>
      </c>
    </row>
    <row r="160" spans="1:24" x14ac:dyDescent="0.25">
      <c r="A160" s="1" t="s">
        <v>27</v>
      </c>
      <c r="B160" s="1">
        <v>202103</v>
      </c>
      <c r="C160" s="2">
        <v>3</v>
      </c>
      <c r="D160" s="1" t="str">
        <f>INDEX(Codigos_Bens[Segmentação],MATCH(Base[[#This Row],[Código_do_segmento]],Codigos_Bens[Cod.],0))</f>
        <v>Veículos Leves</v>
      </c>
      <c r="E160">
        <v>7.4</v>
      </c>
      <c r="F160">
        <v>8</v>
      </c>
      <c r="G160">
        <v>0</v>
      </c>
      <c r="H160">
        <v>0</v>
      </c>
      <c r="I160">
        <v>0</v>
      </c>
      <c r="J160">
        <v>10</v>
      </c>
      <c r="K160">
        <v>647</v>
      </c>
      <c r="L160">
        <v>337</v>
      </c>
      <c r="M160">
        <v>19</v>
      </c>
      <c r="N160">
        <v>971</v>
      </c>
      <c r="O160">
        <v>9</v>
      </c>
      <c r="P160">
        <v>4</v>
      </c>
      <c r="Q160">
        <v>11</v>
      </c>
      <c r="R160">
        <v>255</v>
      </c>
      <c r="S160">
        <v>163</v>
      </c>
      <c r="T160">
        <v>984</v>
      </c>
      <c r="U160">
        <v>11</v>
      </c>
      <c r="V160">
        <v>995</v>
      </c>
      <c r="W160" s="4">
        <v>1.1055276381909548E-2</v>
      </c>
      <c r="X160" s="4">
        <v>0.98894472361809049</v>
      </c>
    </row>
    <row r="161" spans="1:24" x14ac:dyDescent="0.25">
      <c r="A161" s="1" t="s">
        <v>27</v>
      </c>
      <c r="B161" s="1">
        <v>202103</v>
      </c>
      <c r="C161" s="2">
        <v>4</v>
      </c>
      <c r="D161" s="1" t="str">
        <f>INDEX(Codigos_Bens[Segmentação],MATCH(Base[[#This Row],[Código_do_segmento]],Codigos_Bens[Cod.],0))</f>
        <v>Motocicletas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s="4">
        <v>0</v>
      </c>
      <c r="X161" s="4">
        <v>0</v>
      </c>
    </row>
    <row r="162" spans="1:24" x14ac:dyDescent="0.25">
      <c r="A162" s="1" t="s">
        <v>27</v>
      </c>
      <c r="B162" s="1">
        <v>202103</v>
      </c>
      <c r="C162" s="2">
        <v>5</v>
      </c>
      <c r="D162" s="1" t="str">
        <f>INDEX(Codigos_Bens[Segmentação],MATCH(Base[[#This Row],[Código_do_segmento]],Codigos_Bens[Cod.],0))</f>
        <v>Outros bens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s="4">
        <v>0</v>
      </c>
      <c r="X162" s="4">
        <v>0</v>
      </c>
    </row>
    <row r="163" spans="1:24" x14ac:dyDescent="0.25">
      <c r="A163" s="1" t="s">
        <v>27</v>
      </c>
      <c r="B163" s="1">
        <v>202103</v>
      </c>
      <c r="C163" s="2">
        <v>6</v>
      </c>
      <c r="D163" s="1" t="str">
        <f>INDEX(Codigos_Bens[Segmentação],MATCH(Base[[#This Row],[Código_do_segmento]],Codigos_Bens[Cod.],0))</f>
        <v>Serviços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s="4">
        <v>0</v>
      </c>
      <c r="X163" s="4">
        <v>0</v>
      </c>
    </row>
    <row r="164" spans="1:24" x14ac:dyDescent="0.25">
      <c r="A164" s="1" t="s">
        <v>67</v>
      </c>
      <c r="B164" s="1">
        <v>202103</v>
      </c>
      <c r="C164" s="2">
        <v>1</v>
      </c>
      <c r="D164" s="1" t="str">
        <f>INDEX(Codigos_Bens[Segmentação],MATCH(Base[[#This Row],[Código_do_segmento]],Codigos_Bens[Cod.],0))</f>
        <v>Imóveis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s="4">
        <v>0</v>
      </c>
      <c r="X164" s="4">
        <v>0</v>
      </c>
    </row>
    <row r="165" spans="1:24" x14ac:dyDescent="0.25">
      <c r="A165" s="1" t="s">
        <v>67</v>
      </c>
      <c r="B165" s="1">
        <v>202103</v>
      </c>
      <c r="C165" s="2">
        <v>2</v>
      </c>
      <c r="D165" s="1" t="str">
        <f>INDEX(Codigos_Bens[Segmentação],MATCH(Base[[#This Row],[Código_do_segmento]],Codigos_Bens[Cod.],0))</f>
        <v>Veículos Pesados</v>
      </c>
      <c r="E165">
        <v>13.370050000000001</v>
      </c>
      <c r="F165">
        <v>6</v>
      </c>
      <c r="G165">
        <v>0</v>
      </c>
      <c r="H165">
        <v>0</v>
      </c>
      <c r="I165">
        <v>0</v>
      </c>
      <c r="J165">
        <v>170</v>
      </c>
      <c r="K165">
        <v>1959</v>
      </c>
      <c r="L165">
        <v>425</v>
      </c>
      <c r="M165">
        <v>7</v>
      </c>
      <c r="N165">
        <v>2148</v>
      </c>
      <c r="O165">
        <v>193</v>
      </c>
      <c r="P165">
        <v>43</v>
      </c>
      <c r="Q165">
        <v>3213</v>
      </c>
      <c r="R165">
        <v>1055</v>
      </c>
      <c r="S165">
        <v>736</v>
      </c>
      <c r="T165">
        <v>2384</v>
      </c>
      <c r="U165">
        <v>3213</v>
      </c>
      <c r="V165">
        <v>5597</v>
      </c>
      <c r="W165" s="4">
        <v>0.57405753082008215</v>
      </c>
      <c r="X165" s="4">
        <v>0.42594246917991779</v>
      </c>
    </row>
    <row r="166" spans="1:24" x14ac:dyDescent="0.25">
      <c r="A166" s="1" t="s">
        <v>67</v>
      </c>
      <c r="B166" s="1">
        <v>202103</v>
      </c>
      <c r="C166" s="2">
        <v>3</v>
      </c>
      <c r="D166" s="1" t="str">
        <f>INDEX(Codigos_Bens[Segmentação],MATCH(Base[[#This Row],[Código_do_segmento]],Codigos_Bens[Cod.],0))</f>
        <v>Veículos Leves</v>
      </c>
      <c r="E166">
        <v>16.15446</v>
      </c>
      <c r="F166">
        <v>42</v>
      </c>
      <c r="G166">
        <v>0</v>
      </c>
      <c r="H166">
        <v>2</v>
      </c>
      <c r="I166">
        <v>191</v>
      </c>
      <c r="J166">
        <v>3606</v>
      </c>
      <c r="K166">
        <v>10227</v>
      </c>
      <c r="L166">
        <v>4883</v>
      </c>
      <c r="M166">
        <v>57</v>
      </c>
      <c r="N166">
        <v>12897</v>
      </c>
      <c r="O166">
        <v>1345</v>
      </c>
      <c r="P166">
        <v>868</v>
      </c>
      <c r="Q166">
        <v>19305</v>
      </c>
      <c r="R166">
        <v>5168</v>
      </c>
      <c r="S166">
        <v>4322</v>
      </c>
      <c r="T166">
        <v>15110</v>
      </c>
      <c r="U166">
        <v>19305</v>
      </c>
      <c r="V166">
        <v>34415</v>
      </c>
      <c r="W166" s="4">
        <v>0.5609472613685893</v>
      </c>
      <c r="X166" s="4">
        <v>0.4390527386314107</v>
      </c>
    </row>
    <row r="167" spans="1:24" x14ac:dyDescent="0.25">
      <c r="A167" s="1" t="s">
        <v>67</v>
      </c>
      <c r="B167" s="1">
        <v>202103</v>
      </c>
      <c r="C167" s="2">
        <v>4</v>
      </c>
      <c r="D167" s="1" t="str">
        <f>INDEX(Codigos_Bens[Segmentação],MATCH(Base[[#This Row],[Código_do_segmento]],Codigos_Bens[Cod.],0))</f>
        <v>Motocicletas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s="4">
        <v>0</v>
      </c>
      <c r="X167" s="4">
        <v>0</v>
      </c>
    </row>
    <row r="168" spans="1:24" x14ac:dyDescent="0.25">
      <c r="A168" s="1" t="s">
        <v>67</v>
      </c>
      <c r="B168" s="1">
        <v>202103</v>
      </c>
      <c r="C168" s="2">
        <v>5</v>
      </c>
      <c r="D168" s="1" t="str">
        <f>INDEX(Codigos_Bens[Segmentação],MATCH(Base[[#This Row],[Código_do_segmento]],Codigos_Bens[Cod.],0))</f>
        <v>Outros bens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s="4">
        <v>0</v>
      </c>
      <c r="X168" s="4">
        <v>0</v>
      </c>
    </row>
    <row r="169" spans="1:24" x14ac:dyDescent="0.25">
      <c r="A169" s="1" t="s">
        <v>67</v>
      </c>
      <c r="B169" s="1">
        <v>202103</v>
      </c>
      <c r="C169" s="2">
        <v>6</v>
      </c>
      <c r="D169" s="1" t="str">
        <f>INDEX(Codigos_Bens[Segmentação],MATCH(Base[[#This Row],[Código_do_segmento]],Codigos_Bens[Cod.],0))</f>
        <v>Serviços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s="4">
        <v>0</v>
      </c>
      <c r="X169" s="4">
        <v>0</v>
      </c>
    </row>
    <row r="170" spans="1:24" x14ac:dyDescent="0.25">
      <c r="A170" s="1" t="s">
        <v>143</v>
      </c>
      <c r="B170" s="1">
        <v>202103</v>
      </c>
      <c r="C170" s="2">
        <v>1</v>
      </c>
      <c r="D170" s="1" t="str">
        <f>INDEX(Codigos_Bens[Segmentação],MATCH(Base[[#This Row],[Código_do_segmento]],Codigos_Bens[Cod.],0))</f>
        <v>Imóveis</v>
      </c>
      <c r="E170">
        <v>24.954360000000001</v>
      </c>
      <c r="F170">
        <v>2</v>
      </c>
      <c r="G170">
        <v>0</v>
      </c>
      <c r="H170">
        <v>0</v>
      </c>
      <c r="I170">
        <v>587</v>
      </c>
      <c r="J170">
        <v>207</v>
      </c>
      <c r="K170">
        <v>17</v>
      </c>
      <c r="L170">
        <v>1602</v>
      </c>
      <c r="M170">
        <v>4</v>
      </c>
      <c r="N170">
        <v>1152</v>
      </c>
      <c r="O170">
        <v>5</v>
      </c>
      <c r="P170">
        <v>462</v>
      </c>
      <c r="Q170">
        <v>884</v>
      </c>
      <c r="R170">
        <v>0</v>
      </c>
      <c r="S170">
        <v>17</v>
      </c>
      <c r="T170">
        <v>1619</v>
      </c>
      <c r="U170">
        <v>884</v>
      </c>
      <c r="V170">
        <v>2503</v>
      </c>
      <c r="W170" s="4">
        <v>0.35317618857371152</v>
      </c>
      <c r="X170" s="4">
        <v>0.64682381142628842</v>
      </c>
    </row>
    <row r="171" spans="1:24" x14ac:dyDescent="0.25">
      <c r="A171" s="1" t="s">
        <v>143</v>
      </c>
      <c r="B171" s="1">
        <v>202103</v>
      </c>
      <c r="C171" s="2">
        <v>2</v>
      </c>
      <c r="D171" s="1" t="str">
        <f>INDEX(Codigos_Bens[Segmentação],MATCH(Base[[#This Row],[Código_do_segmento]],Codigos_Bens[Cod.],0))</f>
        <v>Veículos Pesados</v>
      </c>
      <c r="E171">
        <v>24.00554</v>
      </c>
      <c r="F171">
        <v>3</v>
      </c>
      <c r="G171">
        <v>0</v>
      </c>
      <c r="H171">
        <v>0</v>
      </c>
      <c r="I171">
        <v>644</v>
      </c>
      <c r="J171">
        <v>736</v>
      </c>
      <c r="K171">
        <v>33</v>
      </c>
      <c r="L171">
        <v>2131</v>
      </c>
      <c r="M171">
        <v>5</v>
      </c>
      <c r="N171">
        <v>1585</v>
      </c>
      <c r="O171">
        <v>4</v>
      </c>
      <c r="P171">
        <v>575</v>
      </c>
      <c r="Q171">
        <v>2055</v>
      </c>
      <c r="R171">
        <v>0</v>
      </c>
      <c r="S171">
        <v>23</v>
      </c>
      <c r="T171">
        <v>2164</v>
      </c>
      <c r="U171">
        <v>2055</v>
      </c>
      <c r="V171">
        <v>4219</v>
      </c>
      <c r="W171" s="4">
        <v>0.48708224697795688</v>
      </c>
      <c r="X171" s="4">
        <v>0.51291775302204312</v>
      </c>
    </row>
    <row r="172" spans="1:24" x14ac:dyDescent="0.25">
      <c r="A172" s="1" t="s">
        <v>143</v>
      </c>
      <c r="B172" s="1">
        <v>202103</v>
      </c>
      <c r="C172" s="2">
        <v>3</v>
      </c>
      <c r="D172" s="1" t="str">
        <f>INDEX(Codigos_Bens[Segmentação],MATCH(Base[[#This Row],[Código_do_segmento]],Codigos_Bens[Cod.],0))</f>
        <v>Veículos Leves</v>
      </c>
      <c r="E172">
        <v>19.97532</v>
      </c>
      <c r="F172">
        <v>7</v>
      </c>
      <c r="G172">
        <v>1</v>
      </c>
      <c r="H172">
        <v>0</v>
      </c>
      <c r="I172">
        <v>1946</v>
      </c>
      <c r="J172">
        <v>986</v>
      </c>
      <c r="K172">
        <v>85</v>
      </c>
      <c r="L172">
        <v>5361</v>
      </c>
      <c r="M172">
        <v>18</v>
      </c>
      <c r="N172">
        <v>3978</v>
      </c>
      <c r="O172">
        <v>27</v>
      </c>
      <c r="P172">
        <v>1441</v>
      </c>
      <c r="Q172">
        <v>4828</v>
      </c>
      <c r="R172">
        <v>0</v>
      </c>
      <c r="S172">
        <v>69</v>
      </c>
      <c r="T172">
        <v>5446</v>
      </c>
      <c r="U172">
        <v>4828</v>
      </c>
      <c r="V172">
        <v>10274</v>
      </c>
      <c r="W172" s="4">
        <v>0.4699240802024528</v>
      </c>
      <c r="X172" s="4">
        <v>0.5300759197975472</v>
      </c>
    </row>
    <row r="173" spans="1:24" x14ac:dyDescent="0.25">
      <c r="A173" s="1" t="s">
        <v>143</v>
      </c>
      <c r="B173" s="1">
        <v>202103</v>
      </c>
      <c r="C173" s="2">
        <v>4</v>
      </c>
      <c r="D173" s="1" t="str">
        <f>INDEX(Codigos_Bens[Segmentação],MATCH(Base[[#This Row],[Código_do_segmento]],Codigos_Bens[Cod.],0))</f>
        <v>Motocicletas</v>
      </c>
      <c r="E173">
        <v>18.097010000000001</v>
      </c>
      <c r="F173">
        <v>8</v>
      </c>
      <c r="G173">
        <v>0</v>
      </c>
      <c r="H173">
        <v>0</v>
      </c>
      <c r="I173">
        <v>0</v>
      </c>
      <c r="J173">
        <v>987</v>
      </c>
      <c r="K173">
        <v>2979</v>
      </c>
      <c r="L173">
        <v>0</v>
      </c>
      <c r="M173">
        <v>0</v>
      </c>
      <c r="N173">
        <v>2081</v>
      </c>
      <c r="O173">
        <v>898</v>
      </c>
      <c r="P173">
        <v>0</v>
      </c>
      <c r="Q173">
        <v>6084</v>
      </c>
      <c r="R173">
        <v>2074</v>
      </c>
      <c r="S173">
        <v>0</v>
      </c>
      <c r="T173">
        <v>2979</v>
      </c>
      <c r="U173">
        <v>6084</v>
      </c>
      <c r="V173">
        <v>9063</v>
      </c>
      <c r="W173" s="4">
        <v>0.67130089374379343</v>
      </c>
      <c r="X173" s="4">
        <v>0.32869910625620657</v>
      </c>
    </row>
    <row r="174" spans="1:24" x14ac:dyDescent="0.25">
      <c r="A174" s="1" t="s">
        <v>143</v>
      </c>
      <c r="B174" s="1">
        <v>202103</v>
      </c>
      <c r="C174" s="2">
        <v>5</v>
      </c>
      <c r="D174" s="1" t="str">
        <f>INDEX(Codigos_Bens[Segmentação],MATCH(Base[[#This Row],[Código_do_segmento]],Codigos_Bens[Cod.],0))</f>
        <v>Outros bens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4">
        <v>0</v>
      </c>
      <c r="X174" s="4">
        <v>0</v>
      </c>
    </row>
    <row r="175" spans="1:24" x14ac:dyDescent="0.25">
      <c r="A175" s="1" t="s">
        <v>143</v>
      </c>
      <c r="B175" s="1">
        <v>202103</v>
      </c>
      <c r="C175" s="2">
        <v>6</v>
      </c>
      <c r="D175" s="1" t="str">
        <f>INDEX(Codigos_Bens[Segmentação],MATCH(Base[[#This Row],[Código_do_segmento]],Codigos_Bens[Cod.],0))</f>
        <v>Serviços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4">
        <v>0</v>
      </c>
      <c r="X175" s="4">
        <v>0</v>
      </c>
    </row>
    <row r="176" spans="1:24" x14ac:dyDescent="0.25">
      <c r="A176" s="1" t="s">
        <v>68</v>
      </c>
      <c r="B176" s="1">
        <v>202103</v>
      </c>
      <c r="C176" s="2">
        <v>1</v>
      </c>
      <c r="D176" s="1" t="str">
        <f>INDEX(Codigos_Bens[Segmentação],MATCH(Base[[#This Row],[Código_do_segmento]],Codigos_Bens[Cod.],0))</f>
        <v>Imóveis</v>
      </c>
      <c r="E176">
        <v>17.436350000000001</v>
      </c>
      <c r="F176">
        <v>5</v>
      </c>
      <c r="G176">
        <v>0</v>
      </c>
      <c r="H176">
        <v>0</v>
      </c>
      <c r="I176">
        <v>502</v>
      </c>
      <c r="J176">
        <v>439</v>
      </c>
      <c r="K176">
        <v>465</v>
      </c>
      <c r="L176">
        <v>1961</v>
      </c>
      <c r="M176">
        <v>13</v>
      </c>
      <c r="N176">
        <v>2242</v>
      </c>
      <c r="O176">
        <v>62</v>
      </c>
      <c r="P176">
        <v>122</v>
      </c>
      <c r="Q176">
        <v>1304</v>
      </c>
      <c r="R176">
        <v>179</v>
      </c>
      <c r="S176">
        <v>92</v>
      </c>
      <c r="T176">
        <v>2426</v>
      </c>
      <c r="U176">
        <v>1304</v>
      </c>
      <c r="V176">
        <v>3730</v>
      </c>
      <c r="W176" s="4">
        <v>0.34959785522788206</v>
      </c>
      <c r="X176" s="4">
        <v>0.650402144772118</v>
      </c>
    </row>
    <row r="177" spans="1:24" x14ac:dyDescent="0.25">
      <c r="A177" s="1" t="s">
        <v>68</v>
      </c>
      <c r="B177" s="1">
        <v>202103</v>
      </c>
      <c r="C177" s="2">
        <v>2</v>
      </c>
      <c r="D177" s="1" t="str">
        <f>INDEX(Codigos_Bens[Segmentação],MATCH(Base[[#This Row],[Código_do_segmento]],Codigos_Bens[Cod.],0))</f>
        <v>Veículos Pesados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s="4">
        <v>0</v>
      </c>
      <c r="X177" s="4">
        <v>0</v>
      </c>
    </row>
    <row r="178" spans="1:24" x14ac:dyDescent="0.25">
      <c r="A178" s="1" t="s">
        <v>68</v>
      </c>
      <c r="B178" s="1">
        <v>202103</v>
      </c>
      <c r="C178" s="2">
        <v>3</v>
      </c>
      <c r="D178" s="1" t="str">
        <f>INDEX(Codigos_Bens[Segmentação],MATCH(Base[[#This Row],[Código_do_segmento]],Codigos_Bens[Cod.],0))</f>
        <v>Veículos Leves</v>
      </c>
      <c r="E178">
        <v>12.63977</v>
      </c>
      <c r="F178">
        <v>6</v>
      </c>
      <c r="G178">
        <v>1</v>
      </c>
      <c r="H178">
        <v>0</v>
      </c>
      <c r="I178">
        <v>330</v>
      </c>
      <c r="J178">
        <v>445</v>
      </c>
      <c r="K178">
        <v>505</v>
      </c>
      <c r="L178">
        <v>1801</v>
      </c>
      <c r="M178">
        <v>55</v>
      </c>
      <c r="N178">
        <v>2068</v>
      </c>
      <c r="O178">
        <v>46</v>
      </c>
      <c r="P178">
        <v>192</v>
      </c>
      <c r="Q178">
        <v>880</v>
      </c>
      <c r="R178">
        <v>145</v>
      </c>
      <c r="S178">
        <v>142</v>
      </c>
      <c r="T178">
        <v>2306</v>
      </c>
      <c r="U178">
        <v>880</v>
      </c>
      <c r="V178">
        <v>3186</v>
      </c>
      <c r="W178" s="4">
        <v>0.27620841180163214</v>
      </c>
      <c r="X178" s="4">
        <v>0.72379158819836786</v>
      </c>
    </row>
    <row r="179" spans="1:24" x14ac:dyDescent="0.25">
      <c r="A179" s="1" t="s">
        <v>68</v>
      </c>
      <c r="B179" s="1">
        <v>202103</v>
      </c>
      <c r="C179" s="2">
        <v>4</v>
      </c>
      <c r="D179" s="1" t="str">
        <f>INDEX(Codigos_Bens[Segmentação],MATCH(Base[[#This Row],[Código_do_segmento]],Codigos_Bens[Cod.],0))</f>
        <v>Motocicletas</v>
      </c>
      <c r="E179">
        <v>12.41409</v>
      </c>
      <c r="F179">
        <v>2</v>
      </c>
      <c r="G179">
        <v>1</v>
      </c>
      <c r="H179">
        <v>0</v>
      </c>
      <c r="I179">
        <v>167</v>
      </c>
      <c r="J179">
        <v>133</v>
      </c>
      <c r="K179">
        <v>95</v>
      </c>
      <c r="L179">
        <v>631</v>
      </c>
      <c r="M179">
        <v>10</v>
      </c>
      <c r="N179">
        <v>653</v>
      </c>
      <c r="O179">
        <v>12</v>
      </c>
      <c r="P179">
        <v>61</v>
      </c>
      <c r="Q179">
        <v>267</v>
      </c>
      <c r="R179">
        <v>4</v>
      </c>
      <c r="S179">
        <v>38</v>
      </c>
      <c r="T179">
        <v>726</v>
      </c>
      <c r="U179">
        <v>267</v>
      </c>
      <c r="V179">
        <v>993</v>
      </c>
      <c r="W179" s="4">
        <v>0.26888217522658608</v>
      </c>
      <c r="X179" s="4">
        <v>0.73111782477341392</v>
      </c>
    </row>
    <row r="180" spans="1:24" x14ac:dyDescent="0.25">
      <c r="A180" s="1" t="s">
        <v>68</v>
      </c>
      <c r="B180" s="1">
        <v>202103</v>
      </c>
      <c r="C180" s="2">
        <v>5</v>
      </c>
      <c r="D180" s="1" t="str">
        <f>INDEX(Codigos_Bens[Segmentação],MATCH(Base[[#This Row],[Código_do_segmento]],Codigos_Bens[Cod.],0))</f>
        <v>Outros bens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s="4">
        <v>0</v>
      </c>
      <c r="X180" s="4">
        <v>0</v>
      </c>
    </row>
    <row r="181" spans="1:24" x14ac:dyDescent="0.25">
      <c r="A181" s="1" t="s">
        <v>68</v>
      </c>
      <c r="B181" s="1">
        <v>202103</v>
      </c>
      <c r="C181" s="2">
        <v>6</v>
      </c>
      <c r="D181" s="1" t="str">
        <f>INDEX(Codigos_Bens[Segmentação],MATCH(Base[[#This Row],[Código_do_segmento]],Codigos_Bens[Cod.],0))</f>
        <v>Serviços</v>
      </c>
      <c r="E181">
        <v>12.69209</v>
      </c>
      <c r="F181">
        <v>1</v>
      </c>
      <c r="G181">
        <v>0</v>
      </c>
      <c r="H181">
        <v>0</v>
      </c>
      <c r="I181">
        <v>24</v>
      </c>
      <c r="J181">
        <v>55</v>
      </c>
      <c r="K181">
        <v>25</v>
      </c>
      <c r="L181">
        <v>128</v>
      </c>
      <c r="M181">
        <v>3</v>
      </c>
      <c r="N181">
        <v>130</v>
      </c>
      <c r="O181">
        <v>5</v>
      </c>
      <c r="P181">
        <v>18</v>
      </c>
      <c r="Q181">
        <v>67</v>
      </c>
      <c r="R181">
        <v>1</v>
      </c>
      <c r="S181">
        <v>13</v>
      </c>
      <c r="T181">
        <v>153</v>
      </c>
      <c r="U181">
        <v>67</v>
      </c>
      <c r="V181">
        <v>220</v>
      </c>
      <c r="W181" s="4">
        <v>0.30454545454545456</v>
      </c>
      <c r="X181" s="4">
        <v>0.69545454545454544</v>
      </c>
    </row>
    <row r="182" spans="1:24" x14ac:dyDescent="0.25">
      <c r="A182" s="1" t="s">
        <v>69</v>
      </c>
      <c r="B182" s="1">
        <v>202103</v>
      </c>
      <c r="C182" s="2">
        <v>1</v>
      </c>
      <c r="D182" s="1" t="str">
        <f>INDEX(Codigos_Bens[Segmentação],MATCH(Base[[#This Row],[Código_do_segmento]],Codigos_Bens[Cod.],0))</f>
        <v>Imóveis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4">
        <v>0</v>
      </c>
      <c r="X182" s="4">
        <v>0</v>
      </c>
    </row>
    <row r="183" spans="1:24" x14ac:dyDescent="0.25">
      <c r="A183" s="1" t="s">
        <v>69</v>
      </c>
      <c r="B183" s="1">
        <v>202103</v>
      </c>
      <c r="C183" s="2">
        <v>2</v>
      </c>
      <c r="D183" s="1" t="str">
        <f>INDEX(Codigos_Bens[Segmentação],MATCH(Base[[#This Row],[Código_do_segmento]],Codigos_Bens[Cod.],0))</f>
        <v>Veículos Pesados</v>
      </c>
      <c r="E183">
        <v>7.4482200000000001</v>
      </c>
      <c r="F183">
        <v>76</v>
      </c>
      <c r="G183">
        <v>6</v>
      </c>
      <c r="H183">
        <v>0</v>
      </c>
      <c r="I183">
        <v>174</v>
      </c>
      <c r="J183">
        <v>90</v>
      </c>
      <c r="K183">
        <v>1390</v>
      </c>
      <c r="L183">
        <v>644</v>
      </c>
      <c r="M183">
        <v>83</v>
      </c>
      <c r="N183">
        <v>1860</v>
      </c>
      <c r="O183">
        <v>85</v>
      </c>
      <c r="P183">
        <v>89</v>
      </c>
      <c r="Q183">
        <v>187</v>
      </c>
      <c r="R183">
        <v>677</v>
      </c>
      <c r="S183">
        <v>199</v>
      </c>
      <c r="T183">
        <v>2034</v>
      </c>
      <c r="U183">
        <v>187</v>
      </c>
      <c r="V183">
        <v>2221</v>
      </c>
      <c r="W183" s="4">
        <v>8.4196307969383155E-2</v>
      </c>
      <c r="X183" s="4">
        <v>0.91580369203061684</v>
      </c>
    </row>
    <row r="184" spans="1:24" x14ac:dyDescent="0.25">
      <c r="A184" s="1" t="s">
        <v>69</v>
      </c>
      <c r="B184" s="1">
        <v>202103</v>
      </c>
      <c r="C184" s="2">
        <v>3</v>
      </c>
      <c r="D184" s="1" t="str">
        <f>INDEX(Codigos_Bens[Segmentação],MATCH(Base[[#This Row],[Código_do_segmento]],Codigos_Bens[Cod.],0))</f>
        <v>Veículos Leves</v>
      </c>
      <c r="E184">
        <v>14.57053</v>
      </c>
      <c r="F184">
        <v>14</v>
      </c>
      <c r="G184">
        <v>0</v>
      </c>
      <c r="H184">
        <v>0</v>
      </c>
      <c r="I184">
        <v>41</v>
      </c>
      <c r="J184">
        <v>451</v>
      </c>
      <c r="K184">
        <v>1525</v>
      </c>
      <c r="L184">
        <v>736</v>
      </c>
      <c r="M184">
        <v>14</v>
      </c>
      <c r="N184">
        <v>1899</v>
      </c>
      <c r="O184">
        <v>200</v>
      </c>
      <c r="P184">
        <v>162</v>
      </c>
      <c r="Q184">
        <v>1871</v>
      </c>
      <c r="R184">
        <v>701</v>
      </c>
      <c r="S184">
        <v>120</v>
      </c>
      <c r="T184">
        <v>2261</v>
      </c>
      <c r="U184">
        <v>1871</v>
      </c>
      <c r="V184">
        <v>4132</v>
      </c>
      <c r="W184" s="4">
        <v>0.45280735721200388</v>
      </c>
      <c r="X184" s="4">
        <v>0.54719264278799618</v>
      </c>
    </row>
    <row r="185" spans="1:24" x14ac:dyDescent="0.25">
      <c r="A185" s="1" t="s">
        <v>69</v>
      </c>
      <c r="B185" s="1">
        <v>202103</v>
      </c>
      <c r="C185" s="2">
        <v>4</v>
      </c>
      <c r="D185" s="1" t="str">
        <f>INDEX(Codigos_Bens[Segmentação],MATCH(Base[[#This Row],[Código_do_segmento]],Codigos_Bens[Cod.],0))</f>
        <v>Motocicletas</v>
      </c>
      <c r="E185">
        <v>15.0776</v>
      </c>
      <c r="F185">
        <v>11</v>
      </c>
      <c r="G185">
        <v>1</v>
      </c>
      <c r="H185">
        <v>0</v>
      </c>
      <c r="I185">
        <v>36</v>
      </c>
      <c r="J185">
        <v>372</v>
      </c>
      <c r="K185">
        <v>2150</v>
      </c>
      <c r="L185">
        <v>862</v>
      </c>
      <c r="M185">
        <v>22</v>
      </c>
      <c r="N185">
        <v>2587</v>
      </c>
      <c r="O185">
        <v>260</v>
      </c>
      <c r="P185">
        <v>165</v>
      </c>
      <c r="Q185">
        <v>2507</v>
      </c>
      <c r="R185">
        <v>889</v>
      </c>
      <c r="S185">
        <v>197</v>
      </c>
      <c r="T185">
        <v>3012</v>
      </c>
      <c r="U185">
        <v>2507</v>
      </c>
      <c r="V185">
        <v>5519</v>
      </c>
      <c r="W185" s="4">
        <v>0.45424895814459143</v>
      </c>
      <c r="X185" s="4">
        <v>0.54575104185540857</v>
      </c>
    </row>
    <row r="186" spans="1:24" x14ac:dyDescent="0.25">
      <c r="A186" s="1" t="s">
        <v>69</v>
      </c>
      <c r="B186" s="1">
        <v>202103</v>
      </c>
      <c r="C186" s="2">
        <v>5</v>
      </c>
      <c r="D186" s="1" t="str">
        <f>INDEX(Codigos_Bens[Segmentação],MATCH(Base[[#This Row],[Código_do_segmento]],Codigos_Bens[Cod.],0))</f>
        <v>Outros bens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s="4">
        <v>0</v>
      </c>
      <c r="X186" s="4">
        <v>0</v>
      </c>
    </row>
    <row r="187" spans="1:24" x14ac:dyDescent="0.25">
      <c r="A187" s="1" t="s">
        <v>69</v>
      </c>
      <c r="B187" s="1">
        <v>202103</v>
      </c>
      <c r="C187" s="2">
        <v>6</v>
      </c>
      <c r="D187" s="1" t="str">
        <f>INDEX(Codigos_Bens[Segmentação],MATCH(Base[[#This Row],[Código_do_segmento]],Codigos_Bens[Cod.],0))</f>
        <v>Serviços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s="4">
        <v>0</v>
      </c>
      <c r="X187" s="4">
        <v>0</v>
      </c>
    </row>
    <row r="188" spans="1:24" x14ac:dyDescent="0.25">
      <c r="A188" s="1" t="s">
        <v>70</v>
      </c>
      <c r="B188" s="1">
        <v>202103</v>
      </c>
      <c r="C188" s="2">
        <v>1</v>
      </c>
      <c r="D188" s="1" t="str">
        <f>INDEX(Codigos_Bens[Segmentação],MATCH(Base[[#This Row],[Código_do_segmento]],Codigos_Bens[Cod.],0))</f>
        <v>Imóveis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4">
        <v>0</v>
      </c>
      <c r="X188" s="4">
        <v>0</v>
      </c>
    </row>
    <row r="189" spans="1:24" x14ac:dyDescent="0.25">
      <c r="A189" s="1" t="s">
        <v>70</v>
      </c>
      <c r="B189" s="1">
        <v>202103</v>
      </c>
      <c r="C189" s="2">
        <v>2</v>
      </c>
      <c r="D189" s="1" t="str">
        <f>INDEX(Codigos_Bens[Segmentação],MATCH(Base[[#This Row],[Código_do_segmento]],Codigos_Bens[Cod.],0))</f>
        <v>Veículos Pesados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s="4">
        <v>0</v>
      </c>
      <c r="X189" s="4">
        <v>0</v>
      </c>
    </row>
    <row r="190" spans="1:24" x14ac:dyDescent="0.25">
      <c r="A190" s="1" t="s">
        <v>70</v>
      </c>
      <c r="B190" s="1">
        <v>202103</v>
      </c>
      <c r="C190" s="2">
        <v>3</v>
      </c>
      <c r="D190" s="1" t="str">
        <f>INDEX(Codigos_Bens[Segmentação],MATCH(Base[[#This Row],[Código_do_segmento]],Codigos_Bens[Cod.],0))</f>
        <v>Veículos Leves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s="4">
        <v>0</v>
      </c>
      <c r="X190" s="4">
        <v>0</v>
      </c>
    </row>
    <row r="191" spans="1:24" x14ac:dyDescent="0.25">
      <c r="A191" s="1" t="s">
        <v>70</v>
      </c>
      <c r="B191" s="1">
        <v>202103</v>
      </c>
      <c r="C191" s="2">
        <v>4</v>
      </c>
      <c r="D191" s="1" t="str">
        <f>INDEX(Codigos_Bens[Segmentação],MATCH(Base[[#This Row],[Código_do_segmento]],Codigos_Bens[Cod.],0))</f>
        <v>Motocicletas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s="4">
        <v>0</v>
      </c>
      <c r="X191" s="4">
        <v>0</v>
      </c>
    </row>
    <row r="192" spans="1:24" x14ac:dyDescent="0.25">
      <c r="A192" s="1" t="s">
        <v>70</v>
      </c>
      <c r="B192" s="1">
        <v>202103</v>
      </c>
      <c r="C192" s="2">
        <v>5</v>
      </c>
      <c r="D192" s="1" t="str">
        <f>INDEX(Codigos_Bens[Segmentação],MATCH(Base[[#This Row],[Código_do_segmento]],Codigos_Bens[Cod.],0))</f>
        <v>Outros bens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s="4">
        <v>0</v>
      </c>
      <c r="X192" s="4">
        <v>0</v>
      </c>
    </row>
    <row r="193" spans="1:24" x14ac:dyDescent="0.25">
      <c r="A193" s="1" t="s">
        <v>70</v>
      </c>
      <c r="B193" s="1">
        <v>202103</v>
      </c>
      <c r="C193" s="2">
        <v>6</v>
      </c>
      <c r="D193" s="1" t="str">
        <f>INDEX(Codigos_Bens[Segmentação],MATCH(Base[[#This Row],[Código_do_segmento]],Codigos_Bens[Cod.],0))</f>
        <v>Serviços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s="4">
        <v>0</v>
      </c>
      <c r="X193" s="4">
        <v>0</v>
      </c>
    </row>
    <row r="194" spans="1:24" x14ac:dyDescent="0.25">
      <c r="A194" s="1" t="s">
        <v>71</v>
      </c>
      <c r="B194" s="1">
        <v>202103</v>
      </c>
      <c r="C194" s="2">
        <v>1</v>
      </c>
      <c r="D194" s="1" t="str">
        <f>INDEX(Codigos_Bens[Segmentação],MATCH(Base[[#This Row],[Código_do_segmento]],Codigos_Bens[Cod.],0))</f>
        <v>Imóveis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s="4">
        <v>0</v>
      </c>
      <c r="X194" s="4">
        <v>0</v>
      </c>
    </row>
    <row r="195" spans="1:24" x14ac:dyDescent="0.25">
      <c r="A195" s="1" t="s">
        <v>71</v>
      </c>
      <c r="B195" s="1">
        <v>202103</v>
      </c>
      <c r="C195" s="2">
        <v>2</v>
      </c>
      <c r="D195" s="1" t="str">
        <f>INDEX(Codigos_Bens[Segmentação],MATCH(Base[[#This Row],[Código_do_segmento]],Codigos_Bens[Cod.],0))</f>
        <v>Veículos Pesados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s="4">
        <v>0</v>
      </c>
      <c r="X195" s="4">
        <v>0</v>
      </c>
    </row>
    <row r="196" spans="1:24" x14ac:dyDescent="0.25">
      <c r="A196" s="1" t="s">
        <v>71</v>
      </c>
      <c r="B196" s="1">
        <v>202103</v>
      </c>
      <c r="C196" s="2">
        <v>3</v>
      </c>
      <c r="D196" s="1" t="str">
        <f>INDEX(Codigos_Bens[Segmentação],MATCH(Base[[#This Row],[Código_do_segmento]],Codigos_Bens[Cod.],0))</f>
        <v>Veículos Leves</v>
      </c>
      <c r="E196">
        <v>17.21115</v>
      </c>
      <c r="F196">
        <v>15</v>
      </c>
      <c r="G196">
        <v>1</v>
      </c>
      <c r="H196">
        <v>1</v>
      </c>
      <c r="I196">
        <v>70</v>
      </c>
      <c r="J196">
        <v>529</v>
      </c>
      <c r="K196">
        <v>1464</v>
      </c>
      <c r="L196">
        <v>779</v>
      </c>
      <c r="M196">
        <v>23</v>
      </c>
      <c r="N196">
        <v>1851</v>
      </c>
      <c r="O196">
        <v>279</v>
      </c>
      <c r="P196">
        <v>113</v>
      </c>
      <c r="Q196">
        <v>2462</v>
      </c>
      <c r="R196">
        <v>524</v>
      </c>
      <c r="S196">
        <v>169</v>
      </c>
      <c r="T196">
        <v>2243</v>
      </c>
      <c r="U196">
        <v>2462</v>
      </c>
      <c r="V196">
        <v>4705</v>
      </c>
      <c r="W196" s="4">
        <v>0.52327311370882046</v>
      </c>
      <c r="X196" s="4">
        <v>0.4767268862911796</v>
      </c>
    </row>
    <row r="197" spans="1:24" x14ac:dyDescent="0.25">
      <c r="A197" s="1" t="s">
        <v>71</v>
      </c>
      <c r="B197" s="1">
        <v>202103</v>
      </c>
      <c r="C197" s="2">
        <v>4</v>
      </c>
      <c r="D197" s="1" t="str">
        <f>INDEX(Codigos_Bens[Segmentação],MATCH(Base[[#This Row],[Código_do_segmento]],Codigos_Bens[Cod.],0))</f>
        <v>Motocicletas</v>
      </c>
      <c r="E197">
        <v>18.445340000000002</v>
      </c>
      <c r="F197">
        <v>14</v>
      </c>
      <c r="G197">
        <v>0</v>
      </c>
      <c r="H197">
        <v>0</v>
      </c>
      <c r="I197">
        <v>105</v>
      </c>
      <c r="J197">
        <v>399</v>
      </c>
      <c r="K197">
        <v>1690</v>
      </c>
      <c r="L197">
        <v>1174</v>
      </c>
      <c r="M197">
        <v>35</v>
      </c>
      <c r="N197">
        <v>2276</v>
      </c>
      <c r="O197">
        <v>307</v>
      </c>
      <c r="P197">
        <v>281</v>
      </c>
      <c r="Q197">
        <v>3170</v>
      </c>
      <c r="R197">
        <v>712</v>
      </c>
      <c r="S197">
        <v>183</v>
      </c>
      <c r="T197">
        <v>2864</v>
      </c>
      <c r="U197">
        <v>3170</v>
      </c>
      <c r="V197">
        <v>6034</v>
      </c>
      <c r="W197" s="4">
        <v>0.5253563142194233</v>
      </c>
      <c r="X197" s="4">
        <v>0.47464368578057675</v>
      </c>
    </row>
    <row r="198" spans="1:24" x14ac:dyDescent="0.25">
      <c r="A198" s="1" t="s">
        <v>71</v>
      </c>
      <c r="B198" s="1">
        <v>202103</v>
      </c>
      <c r="C198" s="2">
        <v>5</v>
      </c>
      <c r="D198" s="1" t="str">
        <f>INDEX(Codigos_Bens[Segmentação],MATCH(Base[[#This Row],[Código_do_segmento]],Codigos_Bens[Cod.],0))</f>
        <v>Outros bens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s="4">
        <v>0</v>
      </c>
      <c r="X198" s="4">
        <v>0</v>
      </c>
    </row>
    <row r="199" spans="1:24" x14ac:dyDescent="0.25">
      <c r="A199" s="1" t="s">
        <v>71</v>
      </c>
      <c r="B199" s="1">
        <v>202103</v>
      </c>
      <c r="C199" s="2">
        <v>6</v>
      </c>
      <c r="D199" s="1" t="str">
        <f>INDEX(Codigos_Bens[Segmentação],MATCH(Base[[#This Row],[Código_do_segmento]],Codigos_Bens[Cod.],0))</f>
        <v>Serviços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s="4">
        <v>0</v>
      </c>
      <c r="X199" s="4">
        <v>0</v>
      </c>
    </row>
    <row r="200" spans="1:24" x14ac:dyDescent="0.25">
      <c r="A200" s="1" t="s">
        <v>152</v>
      </c>
      <c r="B200" s="1">
        <v>202103</v>
      </c>
      <c r="C200" s="2">
        <v>1</v>
      </c>
      <c r="D200" s="1" t="str">
        <f>INDEX(Codigos_Bens[Segmentação],MATCH(Base[[#This Row],[Código_do_segmento]],Codigos_Bens[Cod.],0))</f>
        <v>Imóveis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s="4">
        <v>0</v>
      </c>
      <c r="X200" s="4">
        <v>0</v>
      </c>
    </row>
    <row r="201" spans="1:24" x14ac:dyDescent="0.25">
      <c r="A201" s="1" t="s">
        <v>152</v>
      </c>
      <c r="B201" s="1">
        <v>202103</v>
      </c>
      <c r="C201" s="2">
        <v>2</v>
      </c>
      <c r="D201" s="1" t="str">
        <f>INDEX(Codigos_Bens[Segmentação],MATCH(Base[[#This Row],[Código_do_segmento]],Codigos_Bens[Cod.],0))</f>
        <v>Veículos Pesados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s="4">
        <v>0</v>
      </c>
      <c r="X201" s="4">
        <v>0</v>
      </c>
    </row>
    <row r="202" spans="1:24" x14ac:dyDescent="0.25">
      <c r="A202" s="1" t="s">
        <v>152</v>
      </c>
      <c r="B202" s="1">
        <v>202103</v>
      </c>
      <c r="C202" s="2">
        <v>3</v>
      </c>
      <c r="D202" s="1" t="str">
        <f>INDEX(Codigos_Bens[Segmentação],MATCH(Base[[#This Row],[Código_do_segmento]],Codigos_Bens[Cod.],0))</f>
        <v>Veículos Leves</v>
      </c>
      <c r="E202">
        <v>13.590299999999999</v>
      </c>
      <c r="F202">
        <v>6</v>
      </c>
      <c r="G202">
        <v>0</v>
      </c>
      <c r="H202">
        <v>0</v>
      </c>
      <c r="I202">
        <v>0</v>
      </c>
      <c r="J202">
        <v>152</v>
      </c>
      <c r="K202">
        <v>403</v>
      </c>
      <c r="L202">
        <v>395</v>
      </c>
      <c r="M202">
        <v>10</v>
      </c>
      <c r="N202">
        <v>577</v>
      </c>
      <c r="O202">
        <v>75</v>
      </c>
      <c r="P202">
        <v>146</v>
      </c>
      <c r="Q202">
        <v>484</v>
      </c>
      <c r="R202">
        <v>97</v>
      </c>
      <c r="S202">
        <v>54</v>
      </c>
      <c r="T202">
        <v>798</v>
      </c>
      <c r="U202">
        <v>484</v>
      </c>
      <c r="V202">
        <v>1282</v>
      </c>
      <c r="W202" s="4">
        <v>0.37753510140405616</v>
      </c>
      <c r="X202" s="4">
        <v>0.62246489859594378</v>
      </c>
    </row>
    <row r="203" spans="1:24" x14ac:dyDescent="0.25">
      <c r="A203" s="1" t="s">
        <v>152</v>
      </c>
      <c r="B203" s="1">
        <v>202103</v>
      </c>
      <c r="C203" s="2">
        <v>4</v>
      </c>
      <c r="D203" s="1" t="str">
        <f>INDEX(Codigos_Bens[Segmentação],MATCH(Base[[#This Row],[Código_do_segmento]],Codigos_Bens[Cod.],0))</f>
        <v>Motocicletas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s="4">
        <v>0</v>
      </c>
      <c r="X203" s="4">
        <v>0</v>
      </c>
    </row>
    <row r="204" spans="1:24" x14ac:dyDescent="0.25">
      <c r="A204" s="1" t="s">
        <v>152</v>
      </c>
      <c r="B204" s="1">
        <v>202103</v>
      </c>
      <c r="C204" s="2">
        <v>5</v>
      </c>
      <c r="D204" s="1" t="str">
        <f>INDEX(Codigos_Bens[Segmentação],MATCH(Base[[#This Row],[Código_do_segmento]],Codigos_Bens[Cod.],0))</f>
        <v>Outros bens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s="4">
        <v>0</v>
      </c>
      <c r="X204" s="4">
        <v>0</v>
      </c>
    </row>
    <row r="205" spans="1:24" x14ac:dyDescent="0.25">
      <c r="A205" s="1" t="s">
        <v>152</v>
      </c>
      <c r="B205" s="1">
        <v>202103</v>
      </c>
      <c r="C205" s="2">
        <v>6</v>
      </c>
      <c r="D205" s="1" t="str">
        <f>INDEX(Codigos_Bens[Segmentação],MATCH(Base[[#This Row],[Código_do_segmento]],Codigos_Bens[Cod.],0))</f>
        <v>Serviços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s="4">
        <v>0</v>
      </c>
      <c r="X205" s="4">
        <v>0</v>
      </c>
    </row>
    <row r="206" spans="1:24" x14ac:dyDescent="0.25">
      <c r="A206" s="1" t="s">
        <v>72</v>
      </c>
      <c r="B206" s="1">
        <v>202103</v>
      </c>
      <c r="C206" s="2">
        <v>1</v>
      </c>
      <c r="D206" s="1" t="str">
        <f>INDEX(Codigos_Bens[Segmentação],MATCH(Base[[#This Row],[Código_do_segmento]],Codigos_Bens[Cod.],0))</f>
        <v>Imóveis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s="4">
        <v>0</v>
      </c>
      <c r="X206" s="4">
        <v>0</v>
      </c>
    </row>
    <row r="207" spans="1:24" x14ac:dyDescent="0.25">
      <c r="A207" s="1" t="s">
        <v>72</v>
      </c>
      <c r="B207" s="1">
        <v>202103</v>
      </c>
      <c r="C207" s="2">
        <v>2</v>
      </c>
      <c r="D207" s="1" t="str">
        <f>INDEX(Codigos_Bens[Segmentação],MATCH(Base[[#This Row],[Código_do_segmento]],Codigos_Bens[Cod.],0))</f>
        <v>Veículos Pesados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s="4">
        <v>0</v>
      </c>
      <c r="X207" s="4">
        <v>0</v>
      </c>
    </row>
    <row r="208" spans="1:24" x14ac:dyDescent="0.25">
      <c r="A208" s="1" t="s">
        <v>72</v>
      </c>
      <c r="B208" s="1">
        <v>202103</v>
      </c>
      <c r="C208" s="2">
        <v>3</v>
      </c>
      <c r="D208" s="1" t="str">
        <f>INDEX(Codigos_Bens[Segmentação],MATCH(Base[[#This Row],[Código_do_segmento]],Codigos_Bens[Cod.],0))</f>
        <v>Veículos Leves</v>
      </c>
      <c r="E208">
        <v>19.60905</v>
      </c>
      <c r="F208">
        <v>523</v>
      </c>
      <c r="G208">
        <v>3</v>
      </c>
      <c r="H208">
        <v>13</v>
      </c>
      <c r="I208">
        <v>1812</v>
      </c>
      <c r="J208">
        <v>199111</v>
      </c>
      <c r="K208">
        <v>48995</v>
      </c>
      <c r="L208">
        <v>28206</v>
      </c>
      <c r="M208">
        <v>983</v>
      </c>
      <c r="N208">
        <v>59961</v>
      </c>
      <c r="O208">
        <v>10290</v>
      </c>
      <c r="P208">
        <v>6950</v>
      </c>
      <c r="Q208">
        <v>228303</v>
      </c>
      <c r="R208">
        <v>10805</v>
      </c>
      <c r="S208">
        <v>7933</v>
      </c>
      <c r="T208">
        <v>77201</v>
      </c>
      <c r="U208">
        <v>228303</v>
      </c>
      <c r="V208">
        <v>305504</v>
      </c>
      <c r="W208" s="4">
        <v>0.74729954435948465</v>
      </c>
      <c r="X208" s="4">
        <v>0.25270045564051535</v>
      </c>
    </row>
    <row r="209" spans="1:24" x14ac:dyDescent="0.25">
      <c r="A209" s="1" t="s">
        <v>72</v>
      </c>
      <c r="B209" s="1">
        <v>202103</v>
      </c>
      <c r="C209" s="2">
        <v>4</v>
      </c>
      <c r="D209" s="1" t="str">
        <f>INDEX(Codigos_Bens[Segmentação],MATCH(Base[[#This Row],[Código_do_segmento]],Codigos_Bens[Cod.],0))</f>
        <v>Motocicletas</v>
      </c>
      <c r="E209">
        <v>20.88091</v>
      </c>
      <c r="F209">
        <v>0</v>
      </c>
      <c r="G209">
        <v>0</v>
      </c>
      <c r="H209">
        <v>0</v>
      </c>
      <c r="I209">
        <v>130</v>
      </c>
      <c r="J209">
        <v>1430</v>
      </c>
      <c r="K209">
        <v>1767</v>
      </c>
      <c r="L209">
        <v>2446</v>
      </c>
      <c r="M209">
        <v>123</v>
      </c>
      <c r="N209">
        <v>3194</v>
      </c>
      <c r="O209">
        <v>443</v>
      </c>
      <c r="P209">
        <v>576</v>
      </c>
      <c r="Q209">
        <v>5752</v>
      </c>
      <c r="R209">
        <v>62</v>
      </c>
      <c r="S209">
        <v>286</v>
      </c>
      <c r="T209">
        <v>4213</v>
      </c>
      <c r="U209">
        <v>5752</v>
      </c>
      <c r="V209">
        <v>9965</v>
      </c>
      <c r="W209" s="4">
        <v>0.57722027094831907</v>
      </c>
      <c r="X209" s="4">
        <v>0.42277972905168087</v>
      </c>
    </row>
    <row r="210" spans="1:24" x14ac:dyDescent="0.25">
      <c r="A210" s="1" t="s">
        <v>72</v>
      </c>
      <c r="B210" s="1">
        <v>202103</v>
      </c>
      <c r="C210" s="2">
        <v>5</v>
      </c>
      <c r="D210" s="1" t="str">
        <f>INDEX(Codigos_Bens[Segmentação],MATCH(Base[[#This Row],[Código_do_segmento]],Codigos_Bens[Cod.],0))</f>
        <v>Outros bens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s="4">
        <v>0</v>
      </c>
      <c r="X210" s="4">
        <v>0</v>
      </c>
    </row>
    <row r="211" spans="1:24" x14ac:dyDescent="0.25">
      <c r="A211" s="1" t="s">
        <v>72</v>
      </c>
      <c r="B211" s="1">
        <v>202103</v>
      </c>
      <c r="C211" s="2">
        <v>6</v>
      </c>
      <c r="D211" s="1" t="str">
        <f>INDEX(Codigos_Bens[Segmentação],MATCH(Base[[#This Row],[Código_do_segmento]],Codigos_Bens[Cod.],0))</f>
        <v>Serviços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s="4">
        <v>0</v>
      </c>
      <c r="X211" s="4">
        <v>0</v>
      </c>
    </row>
    <row r="212" spans="1:24" x14ac:dyDescent="0.25">
      <c r="A212" s="1" t="s">
        <v>73</v>
      </c>
      <c r="B212" s="1">
        <v>202103</v>
      </c>
      <c r="C212" s="2">
        <v>1</v>
      </c>
      <c r="D212" s="1" t="str">
        <f>INDEX(Codigos_Bens[Segmentação],MATCH(Base[[#This Row],[Código_do_segmento]],Codigos_Bens[Cod.],0))</f>
        <v>Imóveis</v>
      </c>
      <c r="E212">
        <v>19.838539999999998</v>
      </c>
      <c r="F212">
        <v>3</v>
      </c>
      <c r="G212">
        <v>0</v>
      </c>
      <c r="H212">
        <v>0</v>
      </c>
      <c r="I212">
        <v>102</v>
      </c>
      <c r="J212">
        <v>347</v>
      </c>
      <c r="K212">
        <v>226</v>
      </c>
      <c r="L212">
        <v>1971</v>
      </c>
      <c r="M212">
        <v>10</v>
      </c>
      <c r="N212">
        <v>1524</v>
      </c>
      <c r="O212">
        <v>8</v>
      </c>
      <c r="P212">
        <v>665</v>
      </c>
      <c r="Q212">
        <v>1835</v>
      </c>
      <c r="R212">
        <v>9</v>
      </c>
      <c r="S212">
        <v>112</v>
      </c>
      <c r="T212">
        <v>2197</v>
      </c>
      <c r="U212">
        <v>1835</v>
      </c>
      <c r="V212">
        <v>4032</v>
      </c>
      <c r="W212" s="4">
        <v>0.45510912698412698</v>
      </c>
      <c r="X212" s="4">
        <v>0.54489087301587302</v>
      </c>
    </row>
    <row r="213" spans="1:24" x14ac:dyDescent="0.25">
      <c r="A213" s="1" t="s">
        <v>73</v>
      </c>
      <c r="B213" s="1">
        <v>202103</v>
      </c>
      <c r="C213" s="2">
        <v>2</v>
      </c>
      <c r="D213" s="1" t="str">
        <f>INDEX(Codigos_Bens[Segmentação],MATCH(Base[[#This Row],[Código_do_segmento]],Codigos_Bens[Cod.],0))</f>
        <v>Veículos Pesados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s="4">
        <v>0</v>
      </c>
      <c r="X213" s="4">
        <v>0</v>
      </c>
    </row>
    <row r="214" spans="1:24" x14ac:dyDescent="0.25">
      <c r="A214" s="1" t="s">
        <v>73</v>
      </c>
      <c r="B214" s="1">
        <v>202103</v>
      </c>
      <c r="C214" s="2">
        <v>3</v>
      </c>
      <c r="D214" s="1" t="str">
        <f>INDEX(Codigos_Bens[Segmentação],MATCH(Base[[#This Row],[Código_do_segmento]],Codigos_Bens[Cod.],0))</f>
        <v>Veículos Leves</v>
      </c>
      <c r="E214">
        <v>14.120480000000001</v>
      </c>
      <c r="F214">
        <v>39</v>
      </c>
      <c r="G214">
        <v>0</v>
      </c>
      <c r="H214">
        <v>1</v>
      </c>
      <c r="I214">
        <v>660</v>
      </c>
      <c r="J214">
        <v>423</v>
      </c>
      <c r="K214">
        <v>13640</v>
      </c>
      <c r="L214">
        <v>11979</v>
      </c>
      <c r="M214">
        <v>407</v>
      </c>
      <c r="N214">
        <v>22153</v>
      </c>
      <c r="O214">
        <v>931</v>
      </c>
      <c r="P214">
        <v>2535</v>
      </c>
      <c r="Q214">
        <v>15072</v>
      </c>
      <c r="R214">
        <v>4237</v>
      </c>
      <c r="S214">
        <v>1454</v>
      </c>
      <c r="T214">
        <v>25619</v>
      </c>
      <c r="U214">
        <v>15072</v>
      </c>
      <c r="V214">
        <v>40691</v>
      </c>
      <c r="W214" s="4">
        <v>0.37040131724459957</v>
      </c>
      <c r="X214" s="4">
        <v>0.62959868275540043</v>
      </c>
    </row>
    <row r="215" spans="1:24" x14ac:dyDescent="0.25">
      <c r="A215" s="1" t="s">
        <v>73</v>
      </c>
      <c r="B215" s="1">
        <v>202103</v>
      </c>
      <c r="C215" s="2">
        <v>4</v>
      </c>
      <c r="D215" s="1" t="str">
        <f>INDEX(Codigos_Bens[Segmentação],MATCH(Base[[#This Row],[Código_do_segmento]],Codigos_Bens[Cod.],0))</f>
        <v>Motocicletas</v>
      </c>
      <c r="E215">
        <v>18.267959999999999</v>
      </c>
      <c r="F215">
        <v>28</v>
      </c>
      <c r="G215">
        <v>0</v>
      </c>
      <c r="H215">
        <v>0</v>
      </c>
      <c r="I215">
        <v>760</v>
      </c>
      <c r="J215">
        <v>609</v>
      </c>
      <c r="K215">
        <v>8893</v>
      </c>
      <c r="L215">
        <v>10738</v>
      </c>
      <c r="M215">
        <v>345</v>
      </c>
      <c r="N215">
        <v>16125</v>
      </c>
      <c r="O215">
        <v>723</v>
      </c>
      <c r="P215">
        <v>2783</v>
      </c>
      <c r="Q215">
        <v>14164</v>
      </c>
      <c r="R215">
        <v>2559</v>
      </c>
      <c r="S215">
        <v>1406</v>
      </c>
      <c r="T215">
        <v>19631</v>
      </c>
      <c r="U215">
        <v>14164</v>
      </c>
      <c r="V215">
        <v>33795</v>
      </c>
      <c r="W215" s="4">
        <v>0.41911525373575975</v>
      </c>
      <c r="X215" s="4">
        <v>0.58088474626424025</v>
      </c>
    </row>
    <row r="216" spans="1:24" x14ac:dyDescent="0.25">
      <c r="A216" s="1" t="s">
        <v>73</v>
      </c>
      <c r="B216" s="1">
        <v>202103</v>
      </c>
      <c r="C216" s="2">
        <v>5</v>
      </c>
      <c r="D216" s="1" t="str">
        <f>INDEX(Codigos_Bens[Segmentação],MATCH(Base[[#This Row],[Código_do_segmento]],Codigos_Bens[Cod.],0))</f>
        <v>Outros bens</v>
      </c>
      <c r="E216">
        <v>10.761369999999999</v>
      </c>
      <c r="F216">
        <v>16</v>
      </c>
      <c r="G216">
        <v>1</v>
      </c>
      <c r="H216">
        <v>0</v>
      </c>
      <c r="I216">
        <v>513</v>
      </c>
      <c r="J216">
        <v>615</v>
      </c>
      <c r="K216">
        <v>3303</v>
      </c>
      <c r="L216">
        <v>7034</v>
      </c>
      <c r="M216">
        <v>214</v>
      </c>
      <c r="N216">
        <v>7344</v>
      </c>
      <c r="O216">
        <v>350</v>
      </c>
      <c r="P216">
        <v>2643</v>
      </c>
      <c r="Q216">
        <v>3225</v>
      </c>
      <c r="R216">
        <v>781</v>
      </c>
      <c r="S216">
        <v>634</v>
      </c>
      <c r="T216">
        <v>10337</v>
      </c>
      <c r="U216">
        <v>3225</v>
      </c>
      <c r="V216">
        <v>13562</v>
      </c>
      <c r="W216" s="4">
        <v>0.23779678513493585</v>
      </c>
      <c r="X216" s="4">
        <v>0.76220321486506415</v>
      </c>
    </row>
    <row r="217" spans="1:24" x14ac:dyDescent="0.25">
      <c r="A217" s="1" t="s">
        <v>73</v>
      </c>
      <c r="B217" s="1">
        <v>202103</v>
      </c>
      <c r="C217" s="2">
        <v>6</v>
      </c>
      <c r="D217" s="1" t="str">
        <f>INDEX(Codigos_Bens[Segmentação],MATCH(Base[[#This Row],[Código_do_segmento]],Codigos_Bens[Cod.],0))</f>
        <v>Serviços</v>
      </c>
      <c r="E217">
        <v>23.710470000000001</v>
      </c>
      <c r="F217">
        <v>7</v>
      </c>
      <c r="G217">
        <v>0</v>
      </c>
      <c r="H217">
        <v>0</v>
      </c>
      <c r="I217">
        <v>96</v>
      </c>
      <c r="J217">
        <v>120</v>
      </c>
      <c r="K217">
        <v>1460</v>
      </c>
      <c r="L217">
        <v>1374</v>
      </c>
      <c r="M217">
        <v>64</v>
      </c>
      <c r="N217">
        <v>2241</v>
      </c>
      <c r="O217">
        <v>207</v>
      </c>
      <c r="P217">
        <v>386</v>
      </c>
      <c r="Q217">
        <v>1822</v>
      </c>
      <c r="R217">
        <v>158</v>
      </c>
      <c r="S217">
        <v>234</v>
      </c>
      <c r="T217">
        <v>2834</v>
      </c>
      <c r="U217">
        <v>1822</v>
      </c>
      <c r="V217">
        <v>4656</v>
      </c>
      <c r="W217" s="4">
        <v>0.39132302405498282</v>
      </c>
      <c r="X217" s="4">
        <v>0.60867697594501713</v>
      </c>
    </row>
    <row r="218" spans="1:24" x14ac:dyDescent="0.25">
      <c r="A218" s="1" t="s">
        <v>74</v>
      </c>
      <c r="B218" s="1">
        <v>202103</v>
      </c>
      <c r="C218" s="2">
        <v>1</v>
      </c>
      <c r="D218" s="1" t="str">
        <f>INDEX(Codigos_Bens[Segmentação],MATCH(Base[[#This Row],[Código_do_segmento]],Codigos_Bens[Cod.],0))</f>
        <v>Imóveis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s="4">
        <v>0</v>
      </c>
      <c r="X218" s="4">
        <v>0</v>
      </c>
    </row>
    <row r="219" spans="1:24" x14ac:dyDescent="0.25">
      <c r="A219" s="1" t="s">
        <v>74</v>
      </c>
      <c r="B219" s="1">
        <v>202103</v>
      </c>
      <c r="C219" s="2">
        <v>2</v>
      </c>
      <c r="D219" s="1" t="str">
        <f>INDEX(Codigos_Bens[Segmentação],MATCH(Base[[#This Row],[Código_do_segmento]],Codigos_Bens[Cod.],0))</f>
        <v>Veículos Pesados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s="4">
        <v>0</v>
      </c>
      <c r="X219" s="4">
        <v>0</v>
      </c>
    </row>
    <row r="220" spans="1:24" x14ac:dyDescent="0.25">
      <c r="A220" s="1" t="s">
        <v>74</v>
      </c>
      <c r="B220" s="1">
        <v>202103</v>
      </c>
      <c r="C220" s="2">
        <v>3</v>
      </c>
      <c r="D220" s="1" t="str">
        <f>INDEX(Codigos_Bens[Segmentação],MATCH(Base[[#This Row],[Código_do_segmento]],Codigos_Bens[Cod.],0))</f>
        <v>Veículos Leves</v>
      </c>
      <c r="E220">
        <v>13.8843</v>
      </c>
      <c r="F220">
        <v>5</v>
      </c>
      <c r="G220">
        <v>0</v>
      </c>
      <c r="H220">
        <v>0</v>
      </c>
      <c r="I220">
        <v>304</v>
      </c>
      <c r="J220">
        <v>52</v>
      </c>
      <c r="K220">
        <v>734</v>
      </c>
      <c r="L220">
        <v>709</v>
      </c>
      <c r="M220">
        <v>24</v>
      </c>
      <c r="N220">
        <v>1236</v>
      </c>
      <c r="O220">
        <v>109</v>
      </c>
      <c r="P220">
        <v>98</v>
      </c>
      <c r="Q220">
        <v>1128</v>
      </c>
      <c r="R220">
        <v>200</v>
      </c>
      <c r="S220">
        <v>114</v>
      </c>
      <c r="T220">
        <v>1443</v>
      </c>
      <c r="U220">
        <v>1128</v>
      </c>
      <c r="V220">
        <v>2571</v>
      </c>
      <c r="W220" s="4">
        <v>0.43873978996499419</v>
      </c>
      <c r="X220" s="4">
        <v>0.56126021003500581</v>
      </c>
    </row>
    <row r="221" spans="1:24" x14ac:dyDescent="0.25">
      <c r="A221" s="1" t="s">
        <v>74</v>
      </c>
      <c r="B221" s="1">
        <v>202103</v>
      </c>
      <c r="C221" s="2">
        <v>4</v>
      </c>
      <c r="D221" s="1" t="str">
        <f>INDEX(Codigos_Bens[Segmentação],MATCH(Base[[#This Row],[Código_do_segmento]],Codigos_Bens[Cod.],0))</f>
        <v>Motocicletas</v>
      </c>
      <c r="E221">
        <v>20.377870000000001</v>
      </c>
      <c r="F221">
        <v>21</v>
      </c>
      <c r="G221">
        <v>0</v>
      </c>
      <c r="H221">
        <v>0</v>
      </c>
      <c r="I221">
        <v>213</v>
      </c>
      <c r="J221">
        <v>194</v>
      </c>
      <c r="K221">
        <v>6249</v>
      </c>
      <c r="L221">
        <v>3195</v>
      </c>
      <c r="M221">
        <v>118</v>
      </c>
      <c r="N221">
        <v>7689</v>
      </c>
      <c r="O221">
        <v>999</v>
      </c>
      <c r="P221">
        <v>756</v>
      </c>
      <c r="Q221">
        <v>11370</v>
      </c>
      <c r="R221">
        <v>2306</v>
      </c>
      <c r="S221">
        <v>655</v>
      </c>
      <c r="T221">
        <v>9444</v>
      </c>
      <c r="U221">
        <v>11370</v>
      </c>
      <c r="V221">
        <v>20814</v>
      </c>
      <c r="W221" s="4">
        <v>0.54626693571634477</v>
      </c>
      <c r="X221" s="4">
        <v>0.45373306428365523</v>
      </c>
    </row>
    <row r="222" spans="1:24" x14ac:dyDescent="0.25">
      <c r="A222" s="1" t="s">
        <v>74</v>
      </c>
      <c r="B222" s="1">
        <v>202103</v>
      </c>
      <c r="C222" s="2">
        <v>5</v>
      </c>
      <c r="D222" s="1" t="str">
        <f>INDEX(Codigos_Bens[Segmentação],MATCH(Base[[#This Row],[Código_do_segmento]],Codigos_Bens[Cod.],0))</f>
        <v>Outros bens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s="4">
        <v>0</v>
      </c>
      <c r="X222" s="4">
        <v>0</v>
      </c>
    </row>
    <row r="223" spans="1:24" x14ac:dyDescent="0.25">
      <c r="A223" s="1" t="s">
        <v>74</v>
      </c>
      <c r="B223" s="1">
        <v>202103</v>
      </c>
      <c r="C223" s="2">
        <v>6</v>
      </c>
      <c r="D223" s="1" t="str">
        <f>INDEX(Codigos_Bens[Segmentação],MATCH(Base[[#This Row],[Código_do_segmento]],Codigos_Bens[Cod.],0))</f>
        <v>Serviços</v>
      </c>
      <c r="E223">
        <v>19.673249999999999</v>
      </c>
      <c r="F223">
        <v>3</v>
      </c>
      <c r="G223">
        <v>0</v>
      </c>
      <c r="H223">
        <v>0</v>
      </c>
      <c r="I223">
        <v>11</v>
      </c>
      <c r="J223">
        <v>50</v>
      </c>
      <c r="K223">
        <v>151</v>
      </c>
      <c r="L223">
        <v>188</v>
      </c>
      <c r="M223">
        <v>12</v>
      </c>
      <c r="N223">
        <v>298</v>
      </c>
      <c r="O223">
        <v>14</v>
      </c>
      <c r="P223">
        <v>27</v>
      </c>
      <c r="Q223">
        <v>209</v>
      </c>
      <c r="R223">
        <v>35</v>
      </c>
      <c r="S223">
        <v>40</v>
      </c>
      <c r="T223">
        <v>339</v>
      </c>
      <c r="U223">
        <v>209</v>
      </c>
      <c r="V223">
        <v>548</v>
      </c>
      <c r="W223" s="4">
        <v>0.38138686131386862</v>
      </c>
      <c r="X223" s="4">
        <v>0.61861313868613144</v>
      </c>
    </row>
    <row r="224" spans="1:24" x14ac:dyDescent="0.25">
      <c r="A224" s="1" t="s">
        <v>75</v>
      </c>
      <c r="B224" s="1">
        <v>202103</v>
      </c>
      <c r="C224" s="2">
        <v>1</v>
      </c>
      <c r="D224" s="1" t="str">
        <f>INDEX(Codigos_Bens[Segmentação],MATCH(Base[[#This Row],[Código_do_segmento]],Codigos_Bens[Cod.],0))</f>
        <v>Imóveis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s="4">
        <v>0</v>
      </c>
      <c r="X224" s="4">
        <v>0</v>
      </c>
    </row>
    <row r="225" spans="1:24" x14ac:dyDescent="0.25">
      <c r="A225" s="1" t="s">
        <v>75</v>
      </c>
      <c r="B225" s="1">
        <v>202103</v>
      </c>
      <c r="C225" s="2">
        <v>2</v>
      </c>
      <c r="D225" s="1" t="str">
        <f>INDEX(Codigos_Bens[Segmentação],MATCH(Base[[#This Row],[Código_do_segmento]],Codigos_Bens[Cod.],0))</f>
        <v>Veículos Pesados</v>
      </c>
      <c r="E225">
        <v>12.2325</v>
      </c>
      <c r="F225">
        <v>32</v>
      </c>
      <c r="G225">
        <v>0</v>
      </c>
      <c r="H225">
        <v>0</v>
      </c>
      <c r="I225">
        <v>51</v>
      </c>
      <c r="J225">
        <v>50</v>
      </c>
      <c r="K225">
        <v>6560</v>
      </c>
      <c r="L225">
        <v>6324</v>
      </c>
      <c r="M225">
        <v>183</v>
      </c>
      <c r="N225">
        <v>12052</v>
      </c>
      <c r="O225">
        <v>301</v>
      </c>
      <c r="P225">
        <v>531</v>
      </c>
      <c r="Q225">
        <v>5615</v>
      </c>
      <c r="R225">
        <v>2093</v>
      </c>
      <c r="S225">
        <v>1115</v>
      </c>
      <c r="T225">
        <v>12884</v>
      </c>
      <c r="U225">
        <v>5615</v>
      </c>
      <c r="V225">
        <v>18499</v>
      </c>
      <c r="W225" s="4">
        <v>0.30352992053624522</v>
      </c>
      <c r="X225" s="4">
        <v>0.69647007946375483</v>
      </c>
    </row>
    <row r="226" spans="1:24" x14ac:dyDescent="0.25">
      <c r="A226" s="1" t="s">
        <v>75</v>
      </c>
      <c r="B226" s="1">
        <v>202103</v>
      </c>
      <c r="C226" s="2">
        <v>3</v>
      </c>
      <c r="D226" s="1" t="str">
        <f>INDEX(Codigos_Bens[Segmentação],MATCH(Base[[#This Row],[Código_do_segmento]],Codigos_Bens[Cod.],0))</f>
        <v>Veículos Leves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s="4">
        <v>0</v>
      </c>
      <c r="X226" s="4">
        <v>0</v>
      </c>
    </row>
    <row r="227" spans="1:24" x14ac:dyDescent="0.25">
      <c r="A227" s="1" t="s">
        <v>75</v>
      </c>
      <c r="B227" s="1">
        <v>202103</v>
      </c>
      <c r="C227" s="2">
        <v>4</v>
      </c>
      <c r="D227" s="1" t="str">
        <f>INDEX(Codigos_Bens[Segmentação],MATCH(Base[[#This Row],[Código_do_segmento]],Codigos_Bens[Cod.],0))</f>
        <v>Motocicletas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s="4">
        <v>0</v>
      </c>
      <c r="X227" s="4">
        <v>0</v>
      </c>
    </row>
    <row r="228" spans="1:24" x14ac:dyDescent="0.25">
      <c r="A228" s="1" t="s">
        <v>75</v>
      </c>
      <c r="B228" s="1">
        <v>202103</v>
      </c>
      <c r="C228" s="2">
        <v>5</v>
      </c>
      <c r="D228" s="1" t="str">
        <f>INDEX(Codigos_Bens[Segmentação],MATCH(Base[[#This Row],[Código_do_segmento]],Codigos_Bens[Cod.],0))</f>
        <v>Outros bens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s="4">
        <v>0</v>
      </c>
      <c r="X228" s="4">
        <v>0</v>
      </c>
    </row>
    <row r="229" spans="1:24" x14ac:dyDescent="0.25">
      <c r="A229" s="1" t="s">
        <v>75</v>
      </c>
      <c r="B229" s="1">
        <v>202103</v>
      </c>
      <c r="C229" s="2">
        <v>6</v>
      </c>
      <c r="D229" s="1" t="str">
        <f>INDEX(Codigos_Bens[Segmentação],MATCH(Base[[#This Row],[Código_do_segmento]],Codigos_Bens[Cod.],0))</f>
        <v>Serviços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s="4">
        <v>0</v>
      </c>
      <c r="X229" s="4">
        <v>0</v>
      </c>
    </row>
    <row r="230" spans="1:24" x14ac:dyDescent="0.25">
      <c r="A230" s="1" t="s">
        <v>76</v>
      </c>
      <c r="B230" s="1">
        <v>202103</v>
      </c>
      <c r="C230" s="2">
        <v>1</v>
      </c>
      <c r="D230" s="1" t="str">
        <f>INDEX(Codigos_Bens[Segmentação],MATCH(Base[[#This Row],[Código_do_segmento]],Codigos_Bens[Cod.],0))</f>
        <v>Imóveis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s="4">
        <v>0</v>
      </c>
      <c r="X230" s="4">
        <v>0</v>
      </c>
    </row>
    <row r="231" spans="1:24" x14ac:dyDescent="0.25">
      <c r="A231" s="1" t="s">
        <v>76</v>
      </c>
      <c r="B231" s="1">
        <v>202103</v>
      </c>
      <c r="C231" s="2">
        <v>2</v>
      </c>
      <c r="D231" s="1" t="str">
        <f>INDEX(Codigos_Bens[Segmentação],MATCH(Base[[#This Row],[Código_do_segmento]],Codigos_Bens[Cod.],0))</f>
        <v>Veículos Pesados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s="4">
        <v>0</v>
      </c>
      <c r="X231" s="4">
        <v>0</v>
      </c>
    </row>
    <row r="232" spans="1:24" x14ac:dyDescent="0.25">
      <c r="A232" s="1" t="s">
        <v>76</v>
      </c>
      <c r="B232" s="1">
        <v>202103</v>
      </c>
      <c r="C232" s="2">
        <v>3</v>
      </c>
      <c r="D232" s="1" t="str">
        <f>INDEX(Codigos_Bens[Segmentação],MATCH(Base[[#This Row],[Código_do_segmento]],Codigos_Bens[Cod.],0))</f>
        <v>Veículos Leves</v>
      </c>
      <c r="E232">
        <v>14.26276</v>
      </c>
      <c r="F232">
        <v>1</v>
      </c>
      <c r="G232">
        <v>0</v>
      </c>
      <c r="H232">
        <v>0</v>
      </c>
      <c r="I232">
        <v>0</v>
      </c>
      <c r="J232">
        <v>8</v>
      </c>
      <c r="K232">
        <v>363</v>
      </c>
      <c r="L232">
        <v>29</v>
      </c>
      <c r="M232">
        <v>3</v>
      </c>
      <c r="N232">
        <v>356</v>
      </c>
      <c r="O232">
        <v>24</v>
      </c>
      <c r="P232">
        <v>10</v>
      </c>
      <c r="Q232">
        <v>287</v>
      </c>
      <c r="R232">
        <v>265</v>
      </c>
      <c r="S232">
        <v>18</v>
      </c>
      <c r="T232">
        <v>390</v>
      </c>
      <c r="U232">
        <v>287</v>
      </c>
      <c r="V232">
        <v>677</v>
      </c>
      <c r="W232" s="4">
        <v>0.4239290989660266</v>
      </c>
      <c r="X232" s="4">
        <v>0.5760709010339734</v>
      </c>
    </row>
    <row r="233" spans="1:24" x14ac:dyDescent="0.25">
      <c r="A233" s="1" t="s">
        <v>76</v>
      </c>
      <c r="B233" s="1">
        <v>202103</v>
      </c>
      <c r="C233" s="2">
        <v>4</v>
      </c>
      <c r="D233" s="1" t="str">
        <f>INDEX(Codigos_Bens[Segmentação],MATCH(Base[[#This Row],[Código_do_segmento]],Codigos_Bens[Cod.],0))</f>
        <v>Motocicletas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s="4">
        <v>0</v>
      </c>
      <c r="X233" s="4">
        <v>0</v>
      </c>
    </row>
    <row r="234" spans="1:24" x14ac:dyDescent="0.25">
      <c r="A234" s="1" t="s">
        <v>76</v>
      </c>
      <c r="B234" s="1">
        <v>202103</v>
      </c>
      <c r="C234" s="2">
        <v>5</v>
      </c>
      <c r="D234" s="1" t="str">
        <f>INDEX(Codigos_Bens[Segmentação],MATCH(Base[[#This Row],[Código_do_segmento]],Codigos_Bens[Cod.],0))</f>
        <v>Outros bens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s="4">
        <v>0</v>
      </c>
      <c r="X234" s="4">
        <v>0</v>
      </c>
    </row>
    <row r="235" spans="1:24" x14ac:dyDescent="0.25">
      <c r="A235" s="1" t="s">
        <v>76</v>
      </c>
      <c r="B235" s="1">
        <v>202103</v>
      </c>
      <c r="C235" s="2">
        <v>6</v>
      </c>
      <c r="D235" s="1" t="str">
        <f>INDEX(Codigos_Bens[Segmentação],MATCH(Base[[#This Row],[Código_do_segmento]],Codigos_Bens[Cod.],0))</f>
        <v>Serviços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s="4">
        <v>0</v>
      </c>
      <c r="X235" s="4">
        <v>0</v>
      </c>
    </row>
    <row r="236" spans="1:24" x14ac:dyDescent="0.25">
      <c r="A236" s="1" t="s">
        <v>77</v>
      </c>
      <c r="B236" s="1">
        <v>202103</v>
      </c>
      <c r="C236" s="2">
        <v>1</v>
      </c>
      <c r="D236" s="1" t="str">
        <f>INDEX(Codigos_Bens[Segmentação],MATCH(Base[[#This Row],[Código_do_segmento]],Codigos_Bens[Cod.],0))</f>
        <v>Imóveis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s="4">
        <v>0</v>
      </c>
      <c r="X236" s="4">
        <v>0</v>
      </c>
    </row>
    <row r="237" spans="1:24" x14ac:dyDescent="0.25">
      <c r="A237" s="1" t="s">
        <v>77</v>
      </c>
      <c r="B237" s="1">
        <v>202103</v>
      </c>
      <c r="C237" s="2">
        <v>2</v>
      </c>
      <c r="D237" s="1" t="str">
        <f>INDEX(Codigos_Bens[Segmentação],MATCH(Base[[#This Row],[Código_do_segmento]],Codigos_Bens[Cod.],0))</f>
        <v>Veículos Pesados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s="4">
        <v>0</v>
      </c>
      <c r="X237" s="4">
        <v>0</v>
      </c>
    </row>
    <row r="238" spans="1:24" x14ac:dyDescent="0.25">
      <c r="A238" s="1" t="s">
        <v>77</v>
      </c>
      <c r="B238" s="1">
        <v>202103</v>
      </c>
      <c r="C238" s="2">
        <v>3</v>
      </c>
      <c r="D238" s="1" t="str">
        <f>INDEX(Codigos_Bens[Segmentação],MATCH(Base[[#This Row],[Código_do_segmento]],Codigos_Bens[Cod.],0))</f>
        <v>Veículos Leves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s="4">
        <v>0</v>
      </c>
      <c r="X238" s="4">
        <v>0</v>
      </c>
    </row>
    <row r="239" spans="1:24" x14ac:dyDescent="0.25">
      <c r="A239" s="1" t="s">
        <v>77</v>
      </c>
      <c r="B239" s="1">
        <v>202103</v>
      </c>
      <c r="C239" s="2">
        <v>4</v>
      </c>
      <c r="D239" s="1" t="str">
        <f>INDEX(Codigos_Bens[Segmentação],MATCH(Base[[#This Row],[Código_do_segmento]],Codigos_Bens[Cod.],0))</f>
        <v>Motocicletas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s="4">
        <v>0</v>
      </c>
      <c r="X239" s="4">
        <v>0</v>
      </c>
    </row>
    <row r="240" spans="1:24" x14ac:dyDescent="0.25">
      <c r="A240" s="1" t="s">
        <v>77</v>
      </c>
      <c r="B240" s="1">
        <v>202103</v>
      </c>
      <c r="C240" s="2">
        <v>5</v>
      </c>
      <c r="D240" s="1" t="str">
        <f>INDEX(Codigos_Bens[Segmentação],MATCH(Base[[#This Row],[Código_do_segmento]],Codigos_Bens[Cod.],0))</f>
        <v>Outros bens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4">
        <v>0</v>
      </c>
      <c r="X240" s="4">
        <v>0</v>
      </c>
    </row>
    <row r="241" spans="1:24" x14ac:dyDescent="0.25">
      <c r="A241" s="1" t="s">
        <v>77</v>
      </c>
      <c r="B241" s="1">
        <v>202103</v>
      </c>
      <c r="C241" s="2">
        <v>6</v>
      </c>
      <c r="D241" s="1" t="str">
        <f>INDEX(Codigos_Bens[Segmentação],MATCH(Base[[#This Row],[Código_do_segmento]],Codigos_Bens[Cod.],0))</f>
        <v>Serviços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s="4">
        <v>0</v>
      </c>
      <c r="X241" s="4">
        <v>0</v>
      </c>
    </row>
    <row r="242" spans="1:24" x14ac:dyDescent="0.25">
      <c r="A242" s="1" t="s">
        <v>78</v>
      </c>
      <c r="B242" s="1">
        <v>202103</v>
      </c>
      <c r="C242" s="2">
        <v>1</v>
      </c>
      <c r="D242" s="1" t="str">
        <f>INDEX(Codigos_Bens[Segmentação],MATCH(Base[[#This Row],[Código_do_segmento]],Codigos_Bens[Cod.],0))</f>
        <v>Imóveis</v>
      </c>
      <c r="E242">
        <v>17.948689999999999</v>
      </c>
      <c r="F242">
        <v>4</v>
      </c>
      <c r="G242">
        <v>0</v>
      </c>
      <c r="H242">
        <v>0</v>
      </c>
      <c r="I242">
        <v>13</v>
      </c>
      <c r="J242">
        <v>470</v>
      </c>
      <c r="K242">
        <v>858</v>
      </c>
      <c r="L242">
        <v>953</v>
      </c>
      <c r="M242">
        <v>11</v>
      </c>
      <c r="N242">
        <v>1530</v>
      </c>
      <c r="O242">
        <v>209</v>
      </c>
      <c r="P242">
        <v>72</v>
      </c>
      <c r="Q242">
        <v>1527</v>
      </c>
      <c r="R242">
        <v>253</v>
      </c>
      <c r="S242">
        <v>96</v>
      </c>
      <c r="T242">
        <v>1811</v>
      </c>
      <c r="U242">
        <v>1527</v>
      </c>
      <c r="V242">
        <v>3338</v>
      </c>
      <c r="W242" s="4">
        <v>0.45745955662073096</v>
      </c>
      <c r="X242" s="4">
        <v>0.54254044337926899</v>
      </c>
    </row>
    <row r="243" spans="1:24" x14ac:dyDescent="0.25">
      <c r="A243" s="1" t="s">
        <v>78</v>
      </c>
      <c r="B243" s="1">
        <v>202103</v>
      </c>
      <c r="C243" s="2">
        <v>2</v>
      </c>
      <c r="D243" s="1" t="str">
        <f>INDEX(Codigos_Bens[Segmentação],MATCH(Base[[#This Row],[Código_do_segmento]],Codigos_Bens[Cod.],0))</f>
        <v>Veículos Pesados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s="4">
        <v>0</v>
      </c>
      <c r="X243" s="4">
        <v>0</v>
      </c>
    </row>
    <row r="244" spans="1:24" x14ac:dyDescent="0.25">
      <c r="A244" s="1" t="s">
        <v>78</v>
      </c>
      <c r="B244" s="1">
        <v>202103</v>
      </c>
      <c r="C244" s="2">
        <v>3</v>
      </c>
      <c r="D244" s="1" t="str">
        <f>INDEX(Codigos_Bens[Segmentação],MATCH(Base[[#This Row],[Código_do_segmento]],Codigos_Bens[Cod.],0))</f>
        <v>Veículos Leves</v>
      </c>
      <c r="E244">
        <v>13.21645</v>
      </c>
      <c r="F244">
        <v>16</v>
      </c>
      <c r="G244">
        <v>0</v>
      </c>
      <c r="H244">
        <v>0</v>
      </c>
      <c r="I244">
        <v>62</v>
      </c>
      <c r="J244">
        <v>287</v>
      </c>
      <c r="K244">
        <v>3248</v>
      </c>
      <c r="L244">
        <v>2118</v>
      </c>
      <c r="M244">
        <v>59</v>
      </c>
      <c r="N244">
        <v>4708</v>
      </c>
      <c r="O244">
        <v>367</v>
      </c>
      <c r="P244">
        <v>291</v>
      </c>
      <c r="Q244">
        <v>2300</v>
      </c>
      <c r="R244">
        <v>1323</v>
      </c>
      <c r="S244">
        <v>257</v>
      </c>
      <c r="T244">
        <v>5366</v>
      </c>
      <c r="U244">
        <v>2300</v>
      </c>
      <c r="V244">
        <v>7666</v>
      </c>
      <c r="W244" s="4">
        <v>0.30002608922515001</v>
      </c>
      <c r="X244" s="4">
        <v>0.69997391077484994</v>
      </c>
    </row>
    <row r="245" spans="1:24" x14ac:dyDescent="0.25">
      <c r="A245" s="1" t="s">
        <v>78</v>
      </c>
      <c r="B245" s="1">
        <v>202103</v>
      </c>
      <c r="C245" s="2">
        <v>4</v>
      </c>
      <c r="D245" s="1" t="str">
        <f>INDEX(Codigos_Bens[Segmentação],MATCH(Base[[#This Row],[Código_do_segmento]],Codigos_Bens[Cod.],0))</f>
        <v>Motocicletas</v>
      </c>
      <c r="E245">
        <v>16.189419999999998</v>
      </c>
      <c r="F245">
        <v>4</v>
      </c>
      <c r="G245">
        <v>0</v>
      </c>
      <c r="H245">
        <v>0</v>
      </c>
      <c r="I245">
        <v>17</v>
      </c>
      <c r="J245">
        <v>104</v>
      </c>
      <c r="K245">
        <v>771</v>
      </c>
      <c r="L245">
        <v>628</v>
      </c>
      <c r="M245">
        <v>17</v>
      </c>
      <c r="N245">
        <v>1219</v>
      </c>
      <c r="O245">
        <v>76</v>
      </c>
      <c r="P245">
        <v>104</v>
      </c>
      <c r="Q245">
        <v>490</v>
      </c>
      <c r="R245">
        <v>272</v>
      </c>
      <c r="S245">
        <v>100</v>
      </c>
      <c r="T245">
        <v>1399</v>
      </c>
      <c r="U245">
        <v>490</v>
      </c>
      <c r="V245">
        <v>1889</v>
      </c>
      <c r="W245" s="4">
        <v>0.25939650608787718</v>
      </c>
      <c r="X245" s="4">
        <v>0.74060349391212277</v>
      </c>
    </row>
    <row r="246" spans="1:24" x14ac:dyDescent="0.25">
      <c r="A246" s="1" t="s">
        <v>78</v>
      </c>
      <c r="B246" s="1">
        <v>202103</v>
      </c>
      <c r="C246" s="2">
        <v>5</v>
      </c>
      <c r="D246" s="1" t="str">
        <f>INDEX(Codigos_Bens[Segmentação],MATCH(Base[[#This Row],[Código_do_segmento]],Codigos_Bens[Cod.],0))</f>
        <v>Outros bens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s="4">
        <v>0</v>
      </c>
      <c r="X246" s="4">
        <v>0</v>
      </c>
    </row>
    <row r="247" spans="1:24" x14ac:dyDescent="0.25">
      <c r="A247" s="1" t="s">
        <v>78</v>
      </c>
      <c r="B247" s="1">
        <v>202103</v>
      </c>
      <c r="C247" s="2">
        <v>6</v>
      </c>
      <c r="D247" s="1" t="str">
        <f>INDEX(Codigos_Bens[Segmentação],MATCH(Base[[#This Row],[Código_do_segmento]],Codigos_Bens[Cod.],0))</f>
        <v>Serviços</v>
      </c>
      <c r="E247">
        <v>19.015460000000001</v>
      </c>
      <c r="F247">
        <v>1</v>
      </c>
      <c r="G247">
        <v>0</v>
      </c>
      <c r="H247">
        <v>0</v>
      </c>
      <c r="I247">
        <v>16</v>
      </c>
      <c r="J247">
        <v>91</v>
      </c>
      <c r="K247">
        <v>214</v>
      </c>
      <c r="L247">
        <v>77</v>
      </c>
      <c r="M247">
        <v>4</v>
      </c>
      <c r="N247">
        <v>231</v>
      </c>
      <c r="O247">
        <v>39</v>
      </c>
      <c r="P247">
        <v>21</v>
      </c>
      <c r="Q247">
        <v>206</v>
      </c>
      <c r="R247">
        <v>67</v>
      </c>
      <c r="S247">
        <v>20</v>
      </c>
      <c r="T247">
        <v>291</v>
      </c>
      <c r="U247">
        <v>206</v>
      </c>
      <c r="V247">
        <v>497</v>
      </c>
      <c r="W247" s="4">
        <v>0.41448692152917505</v>
      </c>
      <c r="X247" s="4">
        <v>0.5855130784708249</v>
      </c>
    </row>
    <row r="248" spans="1:24" x14ac:dyDescent="0.25">
      <c r="A248" s="1" t="s">
        <v>79</v>
      </c>
      <c r="B248" s="1">
        <v>202103</v>
      </c>
      <c r="C248" s="2">
        <v>1</v>
      </c>
      <c r="D248" s="1" t="str">
        <f>INDEX(Codigos_Bens[Segmentação],MATCH(Base[[#This Row],[Código_do_segmento]],Codigos_Bens[Cod.],0))</f>
        <v>Imóveis</v>
      </c>
      <c r="E248">
        <v>19.92848</v>
      </c>
      <c r="F248">
        <v>5</v>
      </c>
      <c r="G248">
        <v>0</v>
      </c>
      <c r="H248">
        <v>0</v>
      </c>
      <c r="I248">
        <v>21</v>
      </c>
      <c r="J248">
        <v>687</v>
      </c>
      <c r="K248">
        <v>1285</v>
      </c>
      <c r="L248">
        <v>982</v>
      </c>
      <c r="M248">
        <v>9</v>
      </c>
      <c r="N248">
        <v>2111</v>
      </c>
      <c r="O248">
        <v>80</v>
      </c>
      <c r="P248">
        <v>76</v>
      </c>
      <c r="Q248">
        <v>9249</v>
      </c>
      <c r="R248">
        <v>518</v>
      </c>
      <c r="S248">
        <v>232</v>
      </c>
      <c r="T248">
        <v>2267</v>
      </c>
      <c r="U248">
        <v>9249</v>
      </c>
      <c r="V248">
        <v>11516</v>
      </c>
      <c r="W248" s="4">
        <v>0.80314345258770403</v>
      </c>
      <c r="X248" s="4">
        <v>0.19685654741229594</v>
      </c>
    </row>
    <row r="249" spans="1:24" x14ac:dyDescent="0.25">
      <c r="A249" s="1" t="s">
        <v>79</v>
      </c>
      <c r="B249" s="1">
        <v>202103</v>
      </c>
      <c r="C249" s="2">
        <v>2</v>
      </c>
      <c r="D249" s="1" t="str">
        <f>INDEX(Codigos_Bens[Segmentação],MATCH(Base[[#This Row],[Código_do_segmento]],Codigos_Bens[Cod.],0))</f>
        <v>Veículos Pesados</v>
      </c>
      <c r="E249">
        <v>16.693069999999999</v>
      </c>
      <c r="F249">
        <v>0</v>
      </c>
      <c r="G249">
        <v>0</v>
      </c>
      <c r="H249">
        <v>0</v>
      </c>
      <c r="I249">
        <v>0</v>
      </c>
      <c r="J249">
        <v>170</v>
      </c>
      <c r="K249">
        <v>90</v>
      </c>
      <c r="L249">
        <v>112</v>
      </c>
      <c r="M249">
        <v>2</v>
      </c>
      <c r="N249">
        <v>175</v>
      </c>
      <c r="O249">
        <v>12</v>
      </c>
      <c r="P249">
        <v>15</v>
      </c>
      <c r="Q249">
        <v>205</v>
      </c>
      <c r="R249">
        <v>18</v>
      </c>
      <c r="S249">
        <v>16</v>
      </c>
      <c r="T249">
        <v>202</v>
      </c>
      <c r="U249">
        <v>205</v>
      </c>
      <c r="V249">
        <v>407</v>
      </c>
      <c r="W249" s="4">
        <v>0.50368550368550369</v>
      </c>
      <c r="X249" s="4">
        <v>0.49631449631449631</v>
      </c>
    </row>
    <row r="250" spans="1:24" x14ac:dyDescent="0.25">
      <c r="A250" s="1" t="s">
        <v>79</v>
      </c>
      <c r="B250" s="1">
        <v>202103</v>
      </c>
      <c r="C250" s="2">
        <v>3</v>
      </c>
      <c r="D250" s="1" t="str">
        <f>INDEX(Codigos_Bens[Segmentação],MATCH(Base[[#This Row],[Código_do_segmento]],Codigos_Bens[Cod.],0))</f>
        <v>Veículos Leves</v>
      </c>
      <c r="E250">
        <v>14.58881</v>
      </c>
      <c r="F250">
        <v>58</v>
      </c>
      <c r="G250">
        <v>0</v>
      </c>
      <c r="H250">
        <v>0</v>
      </c>
      <c r="I250">
        <v>139</v>
      </c>
      <c r="J250">
        <v>1231</v>
      </c>
      <c r="K250">
        <v>13340</v>
      </c>
      <c r="L250">
        <v>2462</v>
      </c>
      <c r="M250">
        <v>86</v>
      </c>
      <c r="N250">
        <v>14518</v>
      </c>
      <c r="O250">
        <v>979</v>
      </c>
      <c r="P250">
        <v>305</v>
      </c>
      <c r="Q250">
        <v>14002</v>
      </c>
      <c r="R250">
        <v>9091</v>
      </c>
      <c r="S250">
        <v>675</v>
      </c>
      <c r="T250">
        <v>15802</v>
      </c>
      <c r="U250">
        <v>14002</v>
      </c>
      <c r="V250">
        <v>29804</v>
      </c>
      <c r="W250" s="4">
        <v>0.46980271104549726</v>
      </c>
      <c r="X250" s="4">
        <v>0.5301972889545028</v>
      </c>
    </row>
    <row r="251" spans="1:24" x14ac:dyDescent="0.25">
      <c r="A251" s="1" t="s">
        <v>79</v>
      </c>
      <c r="B251" s="1">
        <v>202103</v>
      </c>
      <c r="C251" s="2">
        <v>4</v>
      </c>
      <c r="D251" s="1" t="str">
        <f>INDEX(Codigos_Bens[Segmentação],MATCH(Base[[#This Row],[Código_do_segmento]],Codigos_Bens[Cod.],0))</f>
        <v>Motocicletas</v>
      </c>
      <c r="E251">
        <v>20.534030000000001</v>
      </c>
      <c r="F251">
        <v>1</v>
      </c>
      <c r="G251">
        <v>0</v>
      </c>
      <c r="H251">
        <v>0</v>
      </c>
      <c r="I251">
        <v>0</v>
      </c>
      <c r="J251">
        <v>122</v>
      </c>
      <c r="K251">
        <v>362</v>
      </c>
      <c r="L251">
        <v>20</v>
      </c>
      <c r="M251">
        <v>2</v>
      </c>
      <c r="N251">
        <v>356</v>
      </c>
      <c r="O251">
        <v>24</v>
      </c>
      <c r="P251">
        <v>2</v>
      </c>
      <c r="Q251">
        <v>510</v>
      </c>
      <c r="R251">
        <v>275</v>
      </c>
      <c r="S251">
        <v>22</v>
      </c>
      <c r="T251">
        <v>382</v>
      </c>
      <c r="U251">
        <v>510</v>
      </c>
      <c r="V251">
        <v>892</v>
      </c>
      <c r="W251" s="4">
        <v>0.5717488789237668</v>
      </c>
      <c r="X251" s="4">
        <v>0.4282511210762332</v>
      </c>
    </row>
    <row r="252" spans="1:24" x14ac:dyDescent="0.25">
      <c r="A252" s="1" t="s">
        <v>79</v>
      </c>
      <c r="B252" s="1">
        <v>202103</v>
      </c>
      <c r="C252" s="2">
        <v>5</v>
      </c>
      <c r="D252" s="1" t="str">
        <f>INDEX(Codigos_Bens[Segmentação],MATCH(Base[[#This Row],[Código_do_segmento]],Codigos_Bens[Cod.],0))</f>
        <v>Outros bens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s="4">
        <v>0</v>
      </c>
      <c r="X252" s="4">
        <v>0</v>
      </c>
    </row>
    <row r="253" spans="1:24" x14ac:dyDescent="0.25">
      <c r="A253" s="1" t="s">
        <v>79</v>
      </c>
      <c r="B253" s="1">
        <v>202103</v>
      </c>
      <c r="C253" s="2">
        <v>6</v>
      </c>
      <c r="D253" s="1" t="str">
        <f>INDEX(Codigos_Bens[Segmentação],MATCH(Base[[#This Row],[Código_do_segmento]],Codigos_Bens[Cod.],0))</f>
        <v>Serviços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s="4">
        <v>0</v>
      </c>
      <c r="X253" s="4">
        <v>0</v>
      </c>
    </row>
    <row r="254" spans="1:24" x14ac:dyDescent="0.25">
      <c r="A254" s="1" t="s">
        <v>80</v>
      </c>
      <c r="B254" s="1">
        <v>202103</v>
      </c>
      <c r="C254" s="2">
        <v>1</v>
      </c>
      <c r="D254" s="1" t="str">
        <f>INDEX(Codigos_Bens[Segmentação],MATCH(Base[[#This Row],[Código_do_segmento]],Codigos_Bens[Cod.],0))</f>
        <v>Imóveis</v>
      </c>
      <c r="E254">
        <v>24.164729999999999</v>
      </c>
      <c r="F254">
        <v>4</v>
      </c>
      <c r="G254">
        <v>0</v>
      </c>
      <c r="H254">
        <v>0</v>
      </c>
      <c r="I254">
        <v>296</v>
      </c>
      <c r="J254">
        <v>2756</v>
      </c>
      <c r="K254">
        <v>147</v>
      </c>
      <c r="L254">
        <v>2031</v>
      </c>
      <c r="M254">
        <v>10</v>
      </c>
      <c r="N254">
        <v>2060</v>
      </c>
      <c r="O254">
        <v>17</v>
      </c>
      <c r="P254">
        <v>101</v>
      </c>
      <c r="Q254">
        <v>10926</v>
      </c>
      <c r="R254">
        <v>3</v>
      </c>
      <c r="S254">
        <v>104</v>
      </c>
      <c r="T254">
        <v>2178</v>
      </c>
      <c r="U254">
        <v>10926</v>
      </c>
      <c r="V254">
        <v>13104</v>
      </c>
      <c r="W254" s="4">
        <v>0.83379120879120883</v>
      </c>
      <c r="X254" s="4">
        <v>0.1662087912087912</v>
      </c>
    </row>
    <row r="255" spans="1:24" x14ac:dyDescent="0.25">
      <c r="A255" s="1" t="s">
        <v>80</v>
      </c>
      <c r="B255" s="1">
        <v>202103</v>
      </c>
      <c r="C255" s="2">
        <v>2</v>
      </c>
      <c r="D255" s="1" t="str">
        <f>INDEX(Codigos_Bens[Segmentação],MATCH(Base[[#This Row],[Código_do_segmento]],Codigos_Bens[Cod.],0))</f>
        <v>Veículos Pesados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s="4">
        <v>0</v>
      </c>
      <c r="X255" s="4">
        <v>0</v>
      </c>
    </row>
    <row r="256" spans="1:24" x14ac:dyDescent="0.25">
      <c r="A256" s="1" t="s">
        <v>80</v>
      </c>
      <c r="B256" s="1">
        <v>202103</v>
      </c>
      <c r="C256" s="2">
        <v>3</v>
      </c>
      <c r="D256" s="1" t="str">
        <f>INDEX(Codigos_Bens[Segmentação],MATCH(Base[[#This Row],[Código_do_segmento]],Codigos_Bens[Cod.],0))</f>
        <v>Veículos Leves</v>
      </c>
      <c r="E256">
        <v>18.899999999999999</v>
      </c>
      <c r="F256">
        <v>9</v>
      </c>
      <c r="G256">
        <v>0</v>
      </c>
      <c r="H256">
        <v>0</v>
      </c>
      <c r="I256">
        <v>1868</v>
      </c>
      <c r="J256">
        <v>5074</v>
      </c>
      <c r="K256">
        <v>813</v>
      </c>
      <c r="L256">
        <v>4263</v>
      </c>
      <c r="M256">
        <v>77</v>
      </c>
      <c r="N256">
        <v>4416</v>
      </c>
      <c r="O256">
        <v>80</v>
      </c>
      <c r="P256">
        <v>580</v>
      </c>
      <c r="Q256">
        <v>27217</v>
      </c>
      <c r="R256">
        <v>171</v>
      </c>
      <c r="S256">
        <v>429</v>
      </c>
      <c r="T256">
        <v>5076</v>
      </c>
      <c r="U256">
        <v>27217</v>
      </c>
      <c r="V256">
        <v>32293</v>
      </c>
      <c r="W256" s="4">
        <v>0.84281423218654195</v>
      </c>
      <c r="X256" s="4">
        <v>0.15718576781345803</v>
      </c>
    </row>
    <row r="257" spans="1:24" x14ac:dyDescent="0.25">
      <c r="A257" s="1" t="s">
        <v>80</v>
      </c>
      <c r="B257" s="1">
        <v>202103</v>
      </c>
      <c r="C257" s="2">
        <v>4</v>
      </c>
      <c r="D257" s="1" t="str">
        <f>INDEX(Codigos_Bens[Segmentação],MATCH(Base[[#This Row],[Código_do_segmento]],Codigos_Bens[Cod.],0))</f>
        <v>Motocicletas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s="4">
        <v>0</v>
      </c>
      <c r="X257" s="4">
        <v>0</v>
      </c>
    </row>
    <row r="258" spans="1:24" x14ac:dyDescent="0.25">
      <c r="A258" s="1" t="s">
        <v>80</v>
      </c>
      <c r="B258" s="1">
        <v>202103</v>
      </c>
      <c r="C258" s="2">
        <v>5</v>
      </c>
      <c r="D258" s="1" t="str">
        <f>INDEX(Codigos_Bens[Segmentação],MATCH(Base[[#This Row],[Código_do_segmento]],Codigos_Bens[Cod.],0))</f>
        <v>Outros bens</v>
      </c>
      <c r="E258">
        <v>23.27</v>
      </c>
      <c r="F258">
        <v>4</v>
      </c>
      <c r="G258">
        <v>0</v>
      </c>
      <c r="H258">
        <v>0</v>
      </c>
      <c r="I258">
        <v>488</v>
      </c>
      <c r="J258">
        <v>1111</v>
      </c>
      <c r="K258">
        <v>184</v>
      </c>
      <c r="L258">
        <v>1842</v>
      </c>
      <c r="M258">
        <v>8</v>
      </c>
      <c r="N258">
        <v>1910</v>
      </c>
      <c r="O258">
        <v>30</v>
      </c>
      <c r="P258">
        <v>86</v>
      </c>
      <c r="Q258">
        <v>11393</v>
      </c>
      <c r="R258">
        <v>3</v>
      </c>
      <c r="S258">
        <v>57</v>
      </c>
      <c r="T258">
        <v>2026</v>
      </c>
      <c r="U258">
        <v>11393</v>
      </c>
      <c r="V258">
        <v>13419</v>
      </c>
      <c r="W258" s="4">
        <v>0.84902004620314475</v>
      </c>
      <c r="X258" s="4">
        <v>0.15097995379685519</v>
      </c>
    </row>
    <row r="259" spans="1:24" x14ac:dyDescent="0.25">
      <c r="A259" s="1" t="s">
        <v>80</v>
      </c>
      <c r="B259" s="1">
        <v>202103</v>
      </c>
      <c r="C259" s="2">
        <v>6</v>
      </c>
      <c r="D259" s="1" t="str">
        <f>INDEX(Codigos_Bens[Segmentação],MATCH(Base[[#This Row],[Código_do_segmento]],Codigos_Bens[Cod.],0))</f>
        <v>Serviços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s="4">
        <v>0</v>
      </c>
      <c r="X259" s="4">
        <v>0</v>
      </c>
    </row>
    <row r="260" spans="1:24" x14ac:dyDescent="0.25">
      <c r="A260" s="1" t="s">
        <v>144</v>
      </c>
      <c r="B260" s="1">
        <v>202103</v>
      </c>
      <c r="C260" s="2">
        <v>1</v>
      </c>
      <c r="D260" s="1" t="str">
        <f>INDEX(Codigos_Bens[Segmentação],MATCH(Base[[#This Row],[Código_do_segmento]],Codigos_Bens[Cod.],0))</f>
        <v>Imóveis</v>
      </c>
      <c r="E260">
        <v>16.961020000000001</v>
      </c>
      <c r="F260">
        <v>3</v>
      </c>
      <c r="G260">
        <v>0</v>
      </c>
      <c r="H260">
        <v>0</v>
      </c>
      <c r="I260">
        <v>0</v>
      </c>
      <c r="J260">
        <v>875</v>
      </c>
      <c r="K260">
        <v>591</v>
      </c>
      <c r="L260">
        <v>34</v>
      </c>
      <c r="M260">
        <v>2</v>
      </c>
      <c r="N260">
        <v>564</v>
      </c>
      <c r="O260">
        <v>58</v>
      </c>
      <c r="P260">
        <v>3</v>
      </c>
      <c r="Q260">
        <v>2780</v>
      </c>
      <c r="R260">
        <v>339</v>
      </c>
      <c r="S260">
        <v>41</v>
      </c>
      <c r="T260">
        <v>625</v>
      </c>
      <c r="U260">
        <v>2780</v>
      </c>
      <c r="V260">
        <v>3405</v>
      </c>
      <c r="W260" s="4">
        <v>0.81644640234948607</v>
      </c>
      <c r="X260" s="4">
        <v>0.18355359765051396</v>
      </c>
    </row>
    <row r="261" spans="1:24" x14ac:dyDescent="0.25">
      <c r="A261" s="1" t="s">
        <v>144</v>
      </c>
      <c r="B261" s="1">
        <v>202103</v>
      </c>
      <c r="C261" s="2">
        <v>2</v>
      </c>
      <c r="D261" s="1" t="str">
        <f>INDEX(Codigos_Bens[Segmentação],MATCH(Base[[#This Row],[Código_do_segmento]],Codigos_Bens[Cod.],0))</f>
        <v>Veículos Pesados</v>
      </c>
      <c r="E261">
        <v>12.86171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11</v>
      </c>
      <c r="L261">
        <v>1</v>
      </c>
      <c r="M261">
        <v>0</v>
      </c>
      <c r="N261">
        <v>11</v>
      </c>
      <c r="O261">
        <v>1</v>
      </c>
      <c r="P261">
        <v>0</v>
      </c>
      <c r="Q261">
        <v>27</v>
      </c>
      <c r="R261">
        <v>7</v>
      </c>
      <c r="S261">
        <v>1</v>
      </c>
      <c r="T261">
        <v>12</v>
      </c>
      <c r="U261">
        <v>27</v>
      </c>
      <c r="V261">
        <v>39</v>
      </c>
      <c r="W261" s="4">
        <v>0.69230769230769229</v>
      </c>
      <c r="X261" s="4">
        <v>0.30769230769230771</v>
      </c>
    </row>
    <row r="262" spans="1:24" x14ac:dyDescent="0.25">
      <c r="A262" s="1" t="s">
        <v>144</v>
      </c>
      <c r="B262" s="1">
        <v>202103</v>
      </c>
      <c r="C262" s="2">
        <v>3</v>
      </c>
      <c r="D262" s="1" t="str">
        <f>INDEX(Codigos_Bens[Segmentação],MATCH(Base[[#This Row],[Código_do_segmento]],Codigos_Bens[Cod.],0))</f>
        <v>Veículos Leves</v>
      </c>
      <c r="E262">
        <v>18.28528</v>
      </c>
      <c r="F262">
        <v>493</v>
      </c>
      <c r="G262">
        <v>6</v>
      </c>
      <c r="H262">
        <v>6</v>
      </c>
      <c r="I262">
        <v>5912</v>
      </c>
      <c r="J262">
        <v>168236</v>
      </c>
      <c r="K262">
        <v>95885</v>
      </c>
      <c r="L262">
        <v>90244</v>
      </c>
      <c r="M262">
        <v>1425</v>
      </c>
      <c r="N262">
        <v>153403</v>
      </c>
      <c r="O262">
        <v>10481</v>
      </c>
      <c r="P262">
        <v>22245</v>
      </c>
      <c r="Q262">
        <v>308175</v>
      </c>
      <c r="R262">
        <v>29162</v>
      </c>
      <c r="S262">
        <v>12346</v>
      </c>
      <c r="T262">
        <v>186129</v>
      </c>
      <c r="U262">
        <v>308175</v>
      </c>
      <c r="V262">
        <v>494304</v>
      </c>
      <c r="W262" s="4">
        <v>0.62345236939211501</v>
      </c>
      <c r="X262" s="4">
        <v>0.37654763060788504</v>
      </c>
    </row>
    <row r="263" spans="1:24" x14ac:dyDescent="0.25">
      <c r="A263" s="1" t="s">
        <v>144</v>
      </c>
      <c r="B263" s="1">
        <v>202103</v>
      </c>
      <c r="C263" s="2">
        <v>4</v>
      </c>
      <c r="D263" s="1" t="str">
        <f>INDEX(Codigos_Bens[Segmentação],MATCH(Base[[#This Row],[Código_do_segmento]],Codigos_Bens[Cod.],0))</f>
        <v>Motocicletas</v>
      </c>
      <c r="E263">
        <v>19.286570000000001</v>
      </c>
      <c r="F263">
        <v>17</v>
      </c>
      <c r="G263">
        <v>0</v>
      </c>
      <c r="H263">
        <v>0</v>
      </c>
      <c r="I263">
        <v>412</v>
      </c>
      <c r="J263">
        <v>7606</v>
      </c>
      <c r="K263">
        <v>491</v>
      </c>
      <c r="L263">
        <v>3995</v>
      </c>
      <c r="M263">
        <v>38</v>
      </c>
      <c r="N263">
        <v>3260</v>
      </c>
      <c r="O263">
        <v>40</v>
      </c>
      <c r="P263">
        <v>1186</v>
      </c>
      <c r="Q263">
        <v>2937</v>
      </c>
      <c r="R263">
        <v>60</v>
      </c>
      <c r="S263">
        <v>147</v>
      </c>
      <c r="T263">
        <v>4486</v>
      </c>
      <c r="U263">
        <v>2937</v>
      </c>
      <c r="V263">
        <v>7423</v>
      </c>
      <c r="W263" s="4">
        <v>0.39566213121379495</v>
      </c>
      <c r="X263" s="4">
        <v>0.60433786878620499</v>
      </c>
    </row>
    <row r="264" spans="1:24" x14ac:dyDescent="0.25">
      <c r="A264" s="1" t="s">
        <v>144</v>
      </c>
      <c r="B264" s="1">
        <v>202103</v>
      </c>
      <c r="C264" s="2">
        <v>5</v>
      </c>
      <c r="D264" s="1" t="str">
        <f>INDEX(Codigos_Bens[Segmentação],MATCH(Base[[#This Row],[Código_do_segmento]],Codigos_Bens[Cod.],0))</f>
        <v>Outros bens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s="4">
        <v>0</v>
      </c>
      <c r="X264" s="4">
        <v>0</v>
      </c>
    </row>
    <row r="265" spans="1:24" x14ac:dyDescent="0.25">
      <c r="A265" s="1" t="s">
        <v>144</v>
      </c>
      <c r="B265" s="1">
        <v>202103</v>
      </c>
      <c r="C265" s="2">
        <v>6</v>
      </c>
      <c r="D265" s="1" t="str">
        <f>INDEX(Codigos_Bens[Segmentação],MATCH(Base[[#This Row],[Código_do_segmento]],Codigos_Bens[Cod.],0))</f>
        <v>Serviços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s="4">
        <v>0</v>
      </c>
      <c r="X265" s="4">
        <v>0</v>
      </c>
    </row>
    <row r="266" spans="1:24" x14ac:dyDescent="0.25">
      <c r="A266" s="1" t="s">
        <v>153</v>
      </c>
      <c r="B266" s="1">
        <v>202103</v>
      </c>
      <c r="C266" s="2">
        <v>1</v>
      </c>
      <c r="D266" s="1" t="str">
        <f>INDEX(Codigos_Bens[Segmentação],MATCH(Base[[#This Row],[Código_do_segmento]],Codigos_Bens[Cod.],0))</f>
        <v>Imóveis</v>
      </c>
      <c r="E266">
        <v>20.301549999999999</v>
      </c>
      <c r="F266">
        <v>7</v>
      </c>
      <c r="G266">
        <v>0</v>
      </c>
      <c r="H266">
        <v>0</v>
      </c>
      <c r="I266">
        <v>89</v>
      </c>
      <c r="J266">
        <v>966</v>
      </c>
      <c r="K266">
        <v>647</v>
      </c>
      <c r="L266">
        <v>2050</v>
      </c>
      <c r="M266">
        <v>7</v>
      </c>
      <c r="N266">
        <v>2428</v>
      </c>
      <c r="O266">
        <v>123</v>
      </c>
      <c r="P266">
        <v>146</v>
      </c>
      <c r="Q266">
        <v>13839</v>
      </c>
      <c r="R266">
        <v>285</v>
      </c>
      <c r="S266">
        <v>41</v>
      </c>
      <c r="T266">
        <v>2697</v>
      </c>
      <c r="U266">
        <v>13839</v>
      </c>
      <c r="V266">
        <v>16536</v>
      </c>
      <c r="W266" s="4">
        <v>0.83690130624092884</v>
      </c>
      <c r="X266" s="4">
        <v>0.16309869375907113</v>
      </c>
    </row>
    <row r="267" spans="1:24" x14ac:dyDescent="0.25">
      <c r="A267" s="1" t="s">
        <v>153</v>
      </c>
      <c r="B267" s="1">
        <v>202103</v>
      </c>
      <c r="C267" s="2">
        <v>2</v>
      </c>
      <c r="D267" s="1" t="str">
        <f>INDEX(Codigos_Bens[Segmentação],MATCH(Base[[#This Row],[Código_do_segmento]],Codigos_Bens[Cod.],0))</f>
        <v>Veículos Pesados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s="4">
        <v>0</v>
      </c>
      <c r="X267" s="4">
        <v>0</v>
      </c>
    </row>
    <row r="268" spans="1:24" x14ac:dyDescent="0.25">
      <c r="A268" s="1" t="s">
        <v>153</v>
      </c>
      <c r="B268" s="1">
        <v>202103</v>
      </c>
      <c r="C268" s="2">
        <v>3</v>
      </c>
      <c r="D268" s="1" t="str">
        <f>INDEX(Codigos_Bens[Segmentação],MATCH(Base[[#This Row],[Código_do_segmento]],Codigos_Bens[Cod.],0))</f>
        <v>Veículos Leves</v>
      </c>
      <c r="E268">
        <v>17.965520000000001</v>
      </c>
      <c r="F268">
        <v>12</v>
      </c>
      <c r="G268">
        <v>0</v>
      </c>
      <c r="H268">
        <v>0</v>
      </c>
      <c r="I268">
        <v>178</v>
      </c>
      <c r="J268">
        <v>4298</v>
      </c>
      <c r="K268">
        <v>3113</v>
      </c>
      <c r="L268">
        <v>2112</v>
      </c>
      <c r="M268">
        <v>25</v>
      </c>
      <c r="N268">
        <v>3947</v>
      </c>
      <c r="O268">
        <v>939</v>
      </c>
      <c r="P268">
        <v>339</v>
      </c>
      <c r="Q268">
        <v>30163</v>
      </c>
      <c r="R268">
        <v>1756</v>
      </c>
      <c r="S268">
        <v>150</v>
      </c>
      <c r="T268">
        <v>5225</v>
      </c>
      <c r="U268">
        <v>30163</v>
      </c>
      <c r="V268">
        <v>35388</v>
      </c>
      <c r="W268" s="4">
        <v>0.85235107946196453</v>
      </c>
      <c r="X268" s="4">
        <v>0.14764892053803549</v>
      </c>
    </row>
    <row r="269" spans="1:24" x14ac:dyDescent="0.25">
      <c r="A269" s="1" t="s">
        <v>153</v>
      </c>
      <c r="B269" s="1">
        <v>202103</v>
      </c>
      <c r="C269" s="2">
        <v>4</v>
      </c>
      <c r="D269" s="1" t="str">
        <f>INDEX(Codigos_Bens[Segmentação],MATCH(Base[[#This Row],[Código_do_segmento]],Codigos_Bens[Cod.],0))</f>
        <v>Motocicletas</v>
      </c>
      <c r="E269">
        <v>24.046050000000001</v>
      </c>
      <c r="F269">
        <v>1</v>
      </c>
      <c r="G269">
        <v>0</v>
      </c>
      <c r="H269">
        <v>0</v>
      </c>
      <c r="I269">
        <v>6</v>
      </c>
      <c r="J269">
        <v>632</v>
      </c>
      <c r="K269">
        <v>403</v>
      </c>
      <c r="L269">
        <v>965</v>
      </c>
      <c r="M269">
        <v>3</v>
      </c>
      <c r="N269">
        <v>823</v>
      </c>
      <c r="O269">
        <v>197</v>
      </c>
      <c r="P269">
        <v>348</v>
      </c>
      <c r="Q269">
        <v>25666</v>
      </c>
      <c r="R269">
        <v>70</v>
      </c>
      <c r="S269">
        <v>69</v>
      </c>
      <c r="T269">
        <v>1368</v>
      </c>
      <c r="U269">
        <v>25666</v>
      </c>
      <c r="V269">
        <v>27034</v>
      </c>
      <c r="W269" s="4">
        <v>0.94939705555966558</v>
      </c>
      <c r="X269" s="4">
        <v>5.0602944440334391E-2</v>
      </c>
    </row>
    <row r="270" spans="1:24" x14ac:dyDescent="0.25">
      <c r="A270" s="1" t="s">
        <v>153</v>
      </c>
      <c r="B270" s="1">
        <v>202103</v>
      </c>
      <c r="C270" s="2">
        <v>5</v>
      </c>
      <c r="D270" s="1" t="str">
        <f>INDEX(Codigos_Bens[Segmentação],MATCH(Base[[#This Row],[Código_do_segmento]],Codigos_Bens[Cod.],0))</f>
        <v>Outros bens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s="4">
        <v>0</v>
      </c>
      <c r="X270" s="4">
        <v>0</v>
      </c>
    </row>
    <row r="271" spans="1:24" x14ac:dyDescent="0.25">
      <c r="A271" s="1" t="s">
        <v>153</v>
      </c>
      <c r="B271" s="1">
        <v>202103</v>
      </c>
      <c r="C271" s="2">
        <v>6</v>
      </c>
      <c r="D271" s="1" t="str">
        <f>INDEX(Codigos_Bens[Segmentação],MATCH(Base[[#This Row],[Código_do_segmento]],Codigos_Bens[Cod.],0))</f>
        <v>Serviços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s="4">
        <v>0</v>
      </c>
      <c r="X271" s="4">
        <v>0</v>
      </c>
    </row>
    <row r="272" spans="1:24" x14ac:dyDescent="0.25">
      <c r="A272" s="1" t="s">
        <v>81</v>
      </c>
      <c r="B272" s="1">
        <v>202103</v>
      </c>
      <c r="C272" s="2">
        <v>1</v>
      </c>
      <c r="D272" s="1" t="str">
        <f>INDEX(Codigos_Bens[Segmentação],MATCH(Base[[#This Row],[Código_do_segmento]],Codigos_Bens[Cod.],0))</f>
        <v>Imóveis</v>
      </c>
      <c r="E272">
        <v>18.480419999999999</v>
      </c>
      <c r="F272">
        <v>3</v>
      </c>
      <c r="G272">
        <v>0</v>
      </c>
      <c r="H272">
        <v>0</v>
      </c>
      <c r="I272">
        <v>30</v>
      </c>
      <c r="J272">
        <v>113</v>
      </c>
      <c r="K272">
        <v>297</v>
      </c>
      <c r="L272">
        <v>298</v>
      </c>
      <c r="M272">
        <v>6</v>
      </c>
      <c r="N272">
        <v>476</v>
      </c>
      <c r="O272">
        <v>71</v>
      </c>
      <c r="P272">
        <v>48</v>
      </c>
      <c r="Q272">
        <v>804</v>
      </c>
      <c r="R272">
        <v>124</v>
      </c>
      <c r="S272">
        <v>43</v>
      </c>
      <c r="T272">
        <v>595</v>
      </c>
      <c r="U272">
        <v>804</v>
      </c>
      <c r="V272">
        <v>1399</v>
      </c>
      <c r="W272" s="4">
        <v>0.57469621157969975</v>
      </c>
      <c r="X272" s="4">
        <v>0.4253037884203002</v>
      </c>
    </row>
    <row r="273" spans="1:24" x14ac:dyDescent="0.25">
      <c r="A273" s="1" t="s">
        <v>81</v>
      </c>
      <c r="B273" s="1">
        <v>202103</v>
      </c>
      <c r="C273" s="2">
        <v>2</v>
      </c>
      <c r="D273" s="1" t="str">
        <f>INDEX(Codigos_Bens[Segmentação],MATCH(Base[[#This Row],[Código_do_segmento]],Codigos_Bens[Cod.],0))</f>
        <v>Veículos Pesados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s="4">
        <v>0</v>
      </c>
      <c r="X273" s="4">
        <v>0</v>
      </c>
    </row>
    <row r="274" spans="1:24" x14ac:dyDescent="0.25">
      <c r="A274" s="1" t="s">
        <v>81</v>
      </c>
      <c r="B274" s="1">
        <v>202103</v>
      </c>
      <c r="C274" s="2">
        <v>3</v>
      </c>
      <c r="D274" s="1" t="str">
        <f>INDEX(Codigos_Bens[Segmentação],MATCH(Base[[#This Row],[Código_do_segmento]],Codigos_Bens[Cod.],0))</f>
        <v>Veículos Leves</v>
      </c>
      <c r="E274">
        <v>15.342420000000001</v>
      </c>
      <c r="F274">
        <v>19</v>
      </c>
      <c r="G274">
        <v>0</v>
      </c>
      <c r="H274">
        <v>0</v>
      </c>
      <c r="I274">
        <v>67</v>
      </c>
      <c r="J274">
        <v>1853</v>
      </c>
      <c r="K274">
        <v>3445</v>
      </c>
      <c r="L274">
        <v>1362</v>
      </c>
      <c r="M274">
        <v>35</v>
      </c>
      <c r="N274">
        <v>4125</v>
      </c>
      <c r="O274">
        <v>452</v>
      </c>
      <c r="P274">
        <v>230</v>
      </c>
      <c r="Q274">
        <v>4955</v>
      </c>
      <c r="R274">
        <v>1933</v>
      </c>
      <c r="S274">
        <v>225</v>
      </c>
      <c r="T274">
        <v>4807</v>
      </c>
      <c r="U274">
        <v>4955</v>
      </c>
      <c r="V274">
        <v>9762</v>
      </c>
      <c r="W274" s="4">
        <v>0.50758041384962094</v>
      </c>
      <c r="X274" s="4">
        <v>0.49241958615037901</v>
      </c>
    </row>
    <row r="275" spans="1:24" x14ac:dyDescent="0.25">
      <c r="A275" s="1" t="s">
        <v>81</v>
      </c>
      <c r="B275" s="1">
        <v>202103</v>
      </c>
      <c r="C275" s="2">
        <v>4</v>
      </c>
      <c r="D275" s="1" t="str">
        <f>INDEX(Codigos_Bens[Segmentação],MATCH(Base[[#This Row],[Código_do_segmento]],Codigos_Bens[Cod.],0))</f>
        <v>Motocicletas</v>
      </c>
      <c r="E275">
        <v>17.804349999999999</v>
      </c>
      <c r="F275">
        <v>8</v>
      </c>
      <c r="G275">
        <v>0</v>
      </c>
      <c r="H275">
        <v>0</v>
      </c>
      <c r="I275">
        <v>84</v>
      </c>
      <c r="J275">
        <v>997</v>
      </c>
      <c r="K275">
        <v>954</v>
      </c>
      <c r="L275">
        <v>1208</v>
      </c>
      <c r="M275">
        <v>33</v>
      </c>
      <c r="N275">
        <v>1665</v>
      </c>
      <c r="O275">
        <v>171</v>
      </c>
      <c r="P275">
        <v>326</v>
      </c>
      <c r="Q275">
        <v>2254</v>
      </c>
      <c r="R275">
        <v>359</v>
      </c>
      <c r="S275">
        <v>156</v>
      </c>
      <c r="T275">
        <v>2162</v>
      </c>
      <c r="U275">
        <v>2254</v>
      </c>
      <c r="V275">
        <v>4416</v>
      </c>
      <c r="W275" s="4">
        <v>0.51041666666666663</v>
      </c>
      <c r="X275" s="4">
        <v>0.48958333333333331</v>
      </c>
    </row>
    <row r="276" spans="1:24" x14ac:dyDescent="0.25">
      <c r="A276" s="1" t="s">
        <v>81</v>
      </c>
      <c r="B276" s="1">
        <v>202103</v>
      </c>
      <c r="C276" s="2">
        <v>5</v>
      </c>
      <c r="D276" s="1" t="str">
        <f>INDEX(Codigos_Bens[Segmentação],MATCH(Base[[#This Row],[Código_do_segmento]],Codigos_Bens[Cod.],0))</f>
        <v>Outros bens</v>
      </c>
      <c r="E276">
        <v>15.71429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3</v>
      </c>
      <c r="L276">
        <v>4</v>
      </c>
      <c r="M276">
        <v>0</v>
      </c>
      <c r="N276">
        <v>7</v>
      </c>
      <c r="O276">
        <v>0</v>
      </c>
      <c r="P276">
        <v>0</v>
      </c>
      <c r="Q276">
        <v>16</v>
      </c>
      <c r="R276">
        <v>1</v>
      </c>
      <c r="S276">
        <v>1</v>
      </c>
      <c r="T276">
        <v>7</v>
      </c>
      <c r="U276">
        <v>16</v>
      </c>
      <c r="V276">
        <v>23</v>
      </c>
      <c r="W276" s="4">
        <v>0.69565217391304346</v>
      </c>
      <c r="X276" s="4">
        <v>0.30434782608695654</v>
      </c>
    </row>
    <row r="277" spans="1:24" x14ac:dyDescent="0.25">
      <c r="A277" s="1" t="s">
        <v>81</v>
      </c>
      <c r="B277" s="1">
        <v>202103</v>
      </c>
      <c r="C277" s="2">
        <v>6</v>
      </c>
      <c r="D277" s="1" t="str">
        <f>INDEX(Codigos_Bens[Segmentação],MATCH(Base[[#This Row],[Código_do_segmento]],Codigos_Bens[Cod.],0))</f>
        <v>Serviços</v>
      </c>
      <c r="E277">
        <v>23.94624</v>
      </c>
      <c r="F277">
        <v>1</v>
      </c>
      <c r="G277">
        <v>0</v>
      </c>
      <c r="H277">
        <v>0</v>
      </c>
      <c r="I277">
        <v>0</v>
      </c>
      <c r="J277">
        <v>47</v>
      </c>
      <c r="K277">
        <v>78</v>
      </c>
      <c r="L277">
        <v>15</v>
      </c>
      <c r="M277">
        <v>1</v>
      </c>
      <c r="N277">
        <v>67</v>
      </c>
      <c r="O277">
        <v>23</v>
      </c>
      <c r="P277">
        <v>3</v>
      </c>
      <c r="Q277">
        <v>144</v>
      </c>
      <c r="R277">
        <v>24</v>
      </c>
      <c r="S277">
        <v>10</v>
      </c>
      <c r="T277">
        <v>93</v>
      </c>
      <c r="U277">
        <v>144</v>
      </c>
      <c r="V277">
        <v>237</v>
      </c>
      <c r="W277" s="4">
        <v>0.60759493670886078</v>
      </c>
      <c r="X277" s="4">
        <v>0.39240506329113922</v>
      </c>
    </row>
    <row r="278" spans="1:24" x14ac:dyDescent="0.25">
      <c r="A278" s="1" t="s">
        <v>82</v>
      </c>
      <c r="B278" s="1">
        <v>202103</v>
      </c>
      <c r="C278" s="2">
        <v>1</v>
      </c>
      <c r="D278" s="1" t="str">
        <f>INDEX(Codigos_Bens[Segmentação],MATCH(Base[[#This Row],[Código_do_segmento]],Codigos_Bens[Cod.],0))</f>
        <v>Imóveis</v>
      </c>
      <c r="E278">
        <v>18.625109999999999</v>
      </c>
      <c r="F278">
        <v>91</v>
      </c>
      <c r="G278">
        <v>1</v>
      </c>
      <c r="H278">
        <v>0</v>
      </c>
      <c r="I278">
        <v>2351</v>
      </c>
      <c r="J278">
        <v>7744</v>
      </c>
      <c r="K278">
        <v>34618</v>
      </c>
      <c r="L278">
        <v>33011</v>
      </c>
      <c r="M278">
        <v>589</v>
      </c>
      <c r="N278">
        <v>61298</v>
      </c>
      <c r="O278">
        <v>2991</v>
      </c>
      <c r="P278">
        <v>3340</v>
      </c>
      <c r="Q278">
        <v>212347</v>
      </c>
      <c r="R278">
        <v>11606</v>
      </c>
      <c r="S278">
        <v>7749</v>
      </c>
      <c r="T278">
        <v>67629</v>
      </c>
      <c r="U278">
        <v>212347</v>
      </c>
      <c r="V278">
        <v>279976</v>
      </c>
      <c r="W278" s="4">
        <v>0.75844715261308115</v>
      </c>
      <c r="X278" s="4">
        <v>0.24155284738691887</v>
      </c>
    </row>
    <row r="279" spans="1:24" x14ac:dyDescent="0.25">
      <c r="A279" s="1" t="s">
        <v>82</v>
      </c>
      <c r="B279" s="1">
        <v>202103</v>
      </c>
      <c r="C279" s="2">
        <v>2</v>
      </c>
      <c r="D279" s="1" t="str">
        <f>INDEX(Codigos_Bens[Segmentação],MATCH(Base[[#This Row],[Código_do_segmento]],Codigos_Bens[Cod.],0))</f>
        <v>Veículos Pesados</v>
      </c>
      <c r="E279">
        <v>12.98512</v>
      </c>
      <c r="F279">
        <v>6</v>
      </c>
      <c r="G279">
        <v>0</v>
      </c>
      <c r="H279">
        <v>0</v>
      </c>
      <c r="I279">
        <v>109</v>
      </c>
      <c r="J279">
        <v>131</v>
      </c>
      <c r="K279">
        <v>498</v>
      </c>
      <c r="L279">
        <v>1609</v>
      </c>
      <c r="M279">
        <v>32</v>
      </c>
      <c r="N279">
        <v>1908</v>
      </c>
      <c r="O279">
        <v>32</v>
      </c>
      <c r="P279">
        <v>167</v>
      </c>
      <c r="Q279">
        <v>258</v>
      </c>
      <c r="R279">
        <v>17</v>
      </c>
      <c r="S279">
        <v>208</v>
      </c>
      <c r="T279">
        <v>2107</v>
      </c>
      <c r="U279">
        <v>258</v>
      </c>
      <c r="V279">
        <v>2365</v>
      </c>
      <c r="W279" s="4">
        <v>0.10909090909090909</v>
      </c>
      <c r="X279" s="4">
        <v>0.89090909090909087</v>
      </c>
    </row>
    <row r="280" spans="1:24" x14ac:dyDescent="0.25">
      <c r="A280" s="1" t="s">
        <v>82</v>
      </c>
      <c r="B280" s="1">
        <v>202103</v>
      </c>
      <c r="C280" s="2">
        <v>3</v>
      </c>
      <c r="D280" s="1" t="str">
        <f>INDEX(Codigos_Bens[Segmentação],MATCH(Base[[#This Row],[Código_do_segmento]],Codigos_Bens[Cod.],0))</f>
        <v>Veículos Leves</v>
      </c>
      <c r="E280">
        <v>15.902340000000001</v>
      </c>
      <c r="F280">
        <v>124</v>
      </c>
      <c r="G280">
        <v>1</v>
      </c>
      <c r="H280">
        <v>3</v>
      </c>
      <c r="I280">
        <v>2481</v>
      </c>
      <c r="J280">
        <v>5753</v>
      </c>
      <c r="K280">
        <v>55954</v>
      </c>
      <c r="L280">
        <v>33048</v>
      </c>
      <c r="M280">
        <v>1536</v>
      </c>
      <c r="N280">
        <v>79125</v>
      </c>
      <c r="O280">
        <v>5282</v>
      </c>
      <c r="P280">
        <v>4595</v>
      </c>
      <c r="Q280">
        <v>172951</v>
      </c>
      <c r="R280">
        <v>29220</v>
      </c>
      <c r="S280">
        <v>6500</v>
      </c>
      <c r="T280">
        <v>89002</v>
      </c>
      <c r="U280">
        <v>172951</v>
      </c>
      <c r="V280">
        <v>261953</v>
      </c>
      <c r="W280" s="4">
        <v>0.66023676002947096</v>
      </c>
      <c r="X280" s="4">
        <v>0.33976323997052904</v>
      </c>
    </row>
    <row r="281" spans="1:24" x14ac:dyDescent="0.25">
      <c r="A281" s="1" t="s">
        <v>82</v>
      </c>
      <c r="B281" s="1">
        <v>202103</v>
      </c>
      <c r="C281" s="2">
        <v>4</v>
      </c>
      <c r="D281" s="1" t="str">
        <f>INDEX(Codigos_Bens[Segmentação],MATCH(Base[[#This Row],[Código_do_segmento]],Codigos_Bens[Cod.],0))</f>
        <v>Motocicletas</v>
      </c>
      <c r="E281">
        <v>19.5335</v>
      </c>
      <c r="F281">
        <v>22</v>
      </c>
      <c r="G281">
        <v>0</v>
      </c>
      <c r="H281">
        <v>0</v>
      </c>
      <c r="I281">
        <v>331</v>
      </c>
      <c r="J281">
        <v>2647</v>
      </c>
      <c r="K281">
        <v>10957</v>
      </c>
      <c r="L281">
        <v>3704</v>
      </c>
      <c r="M281">
        <v>239</v>
      </c>
      <c r="N281">
        <v>12930</v>
      </c>
      <c r="O281">
        <v>1098</v>
      </c>
      <c r="P281">
        <v>633</v>
      </c>
      <c r="Q281">
        <v>27053</v>
      </c>
      <c r="R281">
        <v>6787</v>
      </c>
      <c r="S281">
        <v>1356</v>
      </c>
      <c r="T281">
        <v>14661</v>
      </c>
      <c r="U281">
        <v>27053</v>
      </c>
      <c r="V281">
        <v>41714</v>
      </c>
      <c r="W281" s="4">
        <v>0.64853526394016392</v>
      </c>
      <c r="X281" s="4">
        <v>0.35146473605983602</v>
      </c>
    </row>
    <row r="282" spans="1:24" x14ac:dyDescent="0.25">
      <c r="A282" s="1" t="s">
        <v>82</v>
      </c>
      <c r="B282" s="1">
        <v>202103</v>
      </c>
      <c r="C282" s="2">
        <v>5</v>
      </c>
      <c r="D282" s="1" t="str">
        <f>INDEX(Codigos_Bens[Segmentação],MATCH(Base[[#This Row],[Código_do_segmento]],Codigos_Bens[Cod.],0))</f>
        <v>Outros bens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4">
        <v>0</v>
      </c>
      <c r="X282" s="4">
        <v>0</v>
      </c>
    </row>
    <row r="283" spans="1:24" x14ac:dyDescent="0.25">
      <c r="A283" s="1" t="s">
        <v>82</v>
      </c>
      <c r="B283" s="1">
        <v>202103</v>
      </c>
      <c r="C283" s="2">
        <v>6</v>
      </c>
      <c r="D283" s="1" t="str">
        <f>INDEX(Codigos_Bens[Segmentação],MATCH(Base[[#This Row],[Código_do_segmento]],Codigos_Bens[Cod.],0))</f>
        <v>Serviços</v>
      </c>
      <c r="E283">
        <v>13.11495</v>
      </c>
      <c r="F283">
        <v>4</v>
      </c>
      <c r="G283">
        <v>0</v>
      </c>
      <c r="H283">
        <v>0</v>
      </c>
      <c r="I283">
        <v>79</v>
      </c>
      <c r="J283">
        <v>333</v>
      </c>
      <c r="K283">
        <v>779</v>
      </c>
      <c r="L283">
        <v>699</v>
      </c>
      <c r="M283">
        <v>50</v>
      </c>
      <c r="N283">
        <v>1234</v>
      </c>
      <c r="O283">
        <v>151</v>
      </c>
      <c r="P283">
        <v>93</v>
      </c>
      <c r="Q283">
        <v>1426</v>
      </c>
      <c r="R283">
        <v>216</v>
      </c>
      <c r="S283">
        <v>207</v>
      </c>
      <c r="T283">
        <v>1478</v>
      </c>
      <c r="U283">
        <v>1426</v>
      </c>
      <c r="V283">
        <v>2904</v>
      </c>
      <c r="W283" s="4">
        <v>0.49104683195592286</v>
      </c>
      <c r="X283" s="4">
        <v>0.50895316804407709</v>
      </c>
    </row>
    <row r="284" spans="1:24" x14ac:dyDescent="0.25">
      <c r="A284" s="1" t="s">
        <v>145</v>
      </c>
      <c r="B284" s="1">
        <v>202103</v>
      </c>
      <c r="C284" s="2">
        <v>1</v>
      </c>
      <c r="D284" s="1" t="str">
        <f>INDEX(Codigos_Bens[Segmentação],MATCH(Base[[#This Row],[Código_do_segmento]],Codigos_Bens[Cod.],0))</f>
        <v>Imóveis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s="4">
        <v>0</v>
      </c>
      <c r="X284" s="4">
        <v>0</v>
      </c>
    </row>
    <row r="285" spans="1:24" x14ac:dyDescent="0.25">
      <c r="A285" s="1" t="s">
        <v>145</v>
      </c>
      <c r="B285" s="1">
        <v>202103</v>
      </c>
      <c r="C285" s="2">
        <v>2</v>
      </c>
      <c r="D285" s="1" t="str">
        <f>INDEX(Codigos_Bens[Segmentação],MATCH(Base[[#This Row],[Código_do_segmento]],Codigos_Bens[Cod.],0))</f>
        <v>Veículos Pesados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4">
        <v>0</v>
      </c>
      <c r="X285" s="4">
        <v>0</v>
      </c>
    </row>
    <row r="286" spans="1:24" x14ac:dyDescent="0.25">
      <c r="A286" s="1" t="s">
        <v>145</v>
      </c>
      <c r="B286" s="1">
        <v>202103</v>
      </c>
      <c r="C286" s="2">
        <v>3</v>
      </c>
      <c r="D286" s="1" t="str">
        <f>INDEX(Codigos_Bens[Segmentação],MATCH(Base[[#This Row],[Código_do_segmento]],Codigos_Bens[Cod.],0))</f>
        <v>Veículos Leves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s="4">
        <v>0</v>
      </c>
      <c r="X286" s="4">
        <v>0</v>
      </c>
    </row>
    <row r="287" spans="1:24" x14ac:dyDescent="0.25">
      <c r="A287" s="1" t="s">
        <v>145</v>
      </c>
      <c r="B287" s="1">
        <v>202103</v>
      </c>
      <c r="C287" s="2">
        <v>4</v>
      </c>
      <c r="D287" s="1" t="str">
        <f>INDEX(Codigos_Bens[Segmentação],MATCH(Base[[#This Row],[Código_do_segmento]],Codigos_Bens[Cod.],0))</f>
        <v>Motocicletas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s="4">
        <v>0</v>
      </c>
      <c r="X287" s="4">
        <v>0</v>
      </c>
    </row>
    <row r="288" spans="1:24" x14ac:dyDescent="0.25">
      <c r="A288" s="1" t="s">
        <v>145</v>
      </c>
      <c r="B288" s="1">
        <v>202103</v>
      </c>
      <c r="C288" s="2">
        <v>5</v>
      </c>
      <c r="D288" s="1" t="str">
        <f>INDEX(Codigos_Bens[Segmentação],MATCH(Base[[#This Row],[Código_do_segmento]],Codigos_Bens[Cod.],0))</f>
        <v>Outros bens</v>
      </c>
      <c r="E288">
        <v>0</v>
      </c>
      <c r="F288">
        <v>0</v>
      </c>
      <c r="G288">
        <v>0</v>
      </c>
      <c r="H288">
        <v>0</v>
      </c>
      <c r="I288">
        <v>6</v>
      </c>
      <c r="J288">
        <v>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6</v>
      </c>
      <c r="R288">
        <v>0</v>
      </c>
      <c r="S288">
        <v>0</v>
      </c>
      <c r="T288">
        <v>0</v>
      </c>
      <c r="U288">
        <v>6</v>
      </c>
      <c r="V288">
        <v>6</v>
      </c>
      <c r="W288" s="4">
        <v>1</v>
      </c>
      <c r="X288" s="4">
        <v>0</v>
      </c>
    </row>
    <row r="289" spans="1:24" x14ac:dyDescent="0.25">
      <c r="A289" s="1" t="s">
        <v>145</v>
      </c>
      <c r="B289" s="1">
        <v>202103</v>
      </c>
      <c r="C289" s="2">
        <v>6</v>
      </c>
      <c r="D289" s="1" t="str">
        <f>INDEX(Codigos_Bens[Segmentação],MATCH(Base[[#This Row],[Código_do_segmento]],Codigos_Bens[Cod.],0))</f>
        <v>Serviços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s="4">
        <v>0</v>
      </c>
      <c r="X289" s="4">
        <v>0</v>
      </c>
    </row>
    <row r="290" spans="1:24" x14ac:dyDescent="0.25">
      <c r="A290" s="1" t="s">
        <v>83</v>
      </c>
      <c r="B290" s="1">
        <v>202103</v>
      </c>
      <c r="C290" s="2">
        <v>1</v>
      </c>
      <c r="D290" s="1" t="str">
        <f>INDEX(Codigos_Bens[Segmentação],MATCH(Base[[#This Row],[Código_do_segmento]],Codigos_Bens[Cod.],0))</f>
        <v>Imóveis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s="4">
        <v>0</v>
      </c>
      <c r="X290" s="4">
        <v>0</v>
      </c>
    </row>
    <row r="291" spans="1:24" x14ac:dyDescent="0.25">
      <c r="A291" s="1" t="s">
        <v>83</v>
      </c>
      <c r="B291" s="1">
        <v>202103</v>
      </c>
      <c r="C291" s="2">
        <v>2</v>
      </c>
      <c r="D291" s="1" t="str">
        <f>INDEX(Codigos_Bens[Segmentação],MATCH(Base[[#This Row],[Código_do_segmento]],Codigos_Bens[Cod.],0))</f>
        <v>Veículos Pesados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s="4">
        <v>0</v>
      </c>
      <c r="X291" s="4">
        <v>0</v>
      </c>
    </row>
    <row r="292" spans="1:24" x14ac:dyDescent="0.25">
      <c r="A292" s="1" t="s">
        <v>83</v>
      </c>
      <c r="B292" s="1">
        <v>202103</v>
      </c>
      <c r="C292" s="2">
        <v>3</v>
      </c>
      <c r="D292" s="1" t="str">
        <f>INDEX(Codigos_Bens[Segmentação],MATCH(Base[[#This Row],[Código_do_segmento]],Codigos_Bens[Cod.],0))</f>
        <v>Veículos Leves</v>
      </c>
      <c r="E292">
        <v>12.235390000000001</v>
      </c>
      <c r="F292">
        <v>27</v>
      </c>
      <c r="G292">
        <v>0</v>
      </c>
      <c r="H292">
        <v>3</v>
      </c>
      <c r="I292">
        <v>54</v>
      </c>
      <c r="J292">
        <v>536</v>
      </c>
      <c r="K292">
        <v>1582</v>
      </c>
      <c r="L292">
        <v>1057</v>
      </c>
      <c r="M292">
        <v>47</v>
      </c>
      <c r="N292">
        <v>2380</v>
      </c>
      <c r="O292">
        <v>158</v>
      </c>
      <c r="P292">
        <v>101</v>
      </c>
      <c r="Q292">
        <v>1474</v>
      </c>
      <c r="R292">
        <v>639</v>
      </c>
      <c r="S292">
        <v>217</v>
      </c>
      <c r="T292">
        <v>2639</v>
      </c>
      <c r="U292">
        <v>1474</v>
      </c>
      <c r="V292">
        <v>4113</v>
      </c>
      <c r="W292" s="4">
        <v>0.35837588135181131</v>
      </c>
      <c r="X292" s="4">
        <v>0.64162411864818869</v>
      </c>
    </row>
    <row r="293" spans="1:24" x14ac:dyDescent="0.25">
      <c r="A293" s="1" t="s">
        <v>83</v>
      </c>
      <c r="B293" s="1">
        <v>202103</v>
      </c>
      <c r="C293" s="2">
        <v>4</v>
      </c>
      <c r="D293" s="1" t="str">
        <f>INDEX(Codigos_Bens[Segmentação],MATCH(Base[[#This Row],[Código_do_segmento]],Codigos_Bens[Cod.],0))</f>
        <v>Motocicletas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s="4">
        <v>0</v>
      </c>
      <c r="X293" s="4">
        <v>0</v>
      </c>
    </row>
    <row r="294" spans="1:24" x14ac:dyDescent="0.25">
      <c r="A294" s="1" t="s">
        <v>83</v>
      </c>
      <c r="B294" s="1">
        <v>202103</v>
      </c>
      <c r="C294" s="2">
        <v>5</v>
      </c>
      <c r="D294" s="1" t="str">
        <f>INDEX(Codigos_Bens[Segmentação],MATCH(Base[[#This Row],[Código_do_segmento]],Codigos_Bens[Cod.],0))</f>
        <v>Outros bens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s="4">
        <v>0</v>
      </c>
      <c r="X294" s="4">
        <v>0</v>
      </c>
    </row>
    <row r="295" spans="1:24" x14ac:dyDescent="0.25">
      <c r="A295" s="1" t="s">
        <v>83</v>
      </c>
      <c r="B295" s="1">
        <v>202103</v>
      </c>
      <c r="C295" s="2">
        <v>6</v>
      </c>
      <c r="D295" s="1" t="str">
        <f>INDEX(Codigos_Bens[Segmentação],MATCH(Base[[#This Row],[Código_do_segmento]],Codigos_Bens[Cod.],0))</f>
        <v>Serviços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s="4">
        <v>0</v>
      </c>
      <c r="X295" s="4">
        <v>0</v>
      </c>
    </row>
    <row r="296" spans="1:24" x14ac:dyDescent="0.25">
      <c r="A296" s="1" t="s">
        <v>84</v>
      </c>
      <c r="B296" s="1">
        <v>202103</v>
      </c>
      <c r="C296" s="2">
        <v>1</v>
      </c>
      <c r="D296" s="1" t="str">
        <f>INDEX(Codigos_Bens[Segmentação],MATCH(Base[[#This Row],[Código_do_segmento]],Codigos_Bens[Cod.],0))</f>
        <v>Imóveis</v>
      </c>
      <c r="E296">
        <v>24.697839999999999</v>
      </c>
      <c r="F296">
        <v>5</v>
      </c>
      <c r="G296">
        <v>0</v>
      </c>
      <c r="H296">
        <v>0</v>
      </c>
      <c r="I296">
        <v>222</v>
      </c>
      <c r="J296">
        <v>13289</v>
      </c>
      <c r="K296">
        <v>1834</v>
      </c>
      <c r="L296">
        <v>1790</v>
      </c>
      <c r="M296">
        <v>10</v>
      </c>
      <c r="N296">
        <v>2861</v>
      </c>
      <c r="O296">
        <v>265</v>
      </c>
      <c r="P296">
        <v>498</v>
      </c>
      <c r="Q296">
        <v>23704</v>
      </c>
      <c r="R296">
        <v>779</v>
      </c>
      <c r="S296">
        <v>275</v>
      </c>
      <c r="T296">
        <v>3624</v>
      </c>
      <c r="U296">
        <v>23704</v>
      </c>
      <c r="V296">
        <v>27328</v>
      </c>
      <c r="W296" s="4">
        <v>0.86738875878220145</v>
      </c>
      <c r="X296" s="4">
        <v>0.1326112412177986</v>
      </c>
    </row>
    <row r="297" spans="1:24" x14ac:dyDescent="0.25">
      <c r="A297" s="1" t="s">
        <v>84</v>
      </c>
      <c r="B297" s="1">
        <v>202103</v>
      </c>
      <c r="C297" s="2">
        <v>2</v>
      </c>
      <c r="D297" s="1" t="str">
        <f>INDEX(Codigos_Bens[Segmentação],MATCH(Base[[#This Row],[Código_do_segmento]],Codigos_Bens[Cod.],0))</f>
        <v>Veículos Pesados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s="4">
        <v>0</v>
      </c>
      <c r="X297" s="4">
        <v>0</v>
      </c>
    </row>
    <row r="298" spans="1:24" x14ac:dyDescent="0.25">
      <c r="A298" s="1" t="s">
        <v>84</v>
      </c>
      <c r="B298" s="1">
        <v>202103</v>
      </c>
      <c r="C298" s="2">
        <v>3</v>
      </c>
      <c r="D298" s="1" t="str">
        <f>INDEX(Codigos_Bens[Segmentação],MATCH(Base[[#This Row],[Código_do_segmento]],Codigos_Bens[Cod.],0))</f>
        <v>Veículos Leves</v>
      </c>
      <c r="E298">
        <v>19.594519999999999</v>
      </c>
      <c r="F298">
        <v>8</v>
      </c>
      <c r="G298">
        <v>0</v>
      </c>
      <c r="H298">
        <v>0</v>
      </c>
      <c r="I298">
        <v>157</v>
      </c>
      <c r="J298">
        <v>884</v>
      </c>
      <c r="K298">
        <v>211</v>
      </c>
      <c r="L298">
        <v>1249</v>
      </c>
      <c r="M298">
        <v>15</v>
      </c>
      <c r="N298">
        <v>1100</v>
      </c>
      <c r="O298">
        <v>28</v>
      </c>
      <c r="P298">
        <v>332</v>
      </c>
      <c r="Q298">
        <v>1362</v>
      </c>
      <c r="R298">
        <v>7</v>
      </c>
      <c r="S298">
        <v>65</v>
      </c>
      <c r="T298">
        <v>1460</v>
      </c>
      <c r="U298">
        <v>1362</v>
      </c>
      <c r="V298">
        <v>2822</v>
      </c>
      <c r="W298" s="4">
        <v>0.48263642806520196</v>
      </c>
      <c r="X298" s="4">
        <v>0.51736357193479798</v>
      </c>
    </row>
    <row r="299" spans="1:24" x14ac:dyDescent="0.25">
      <c r="A299" s="1" t="s">
        <v>84</v>
      </c>
      <c r="B299" s="1">
        <v>202103</v>
      </c>
      <c r="C299" s="2">
        <v>4</v>
      </c>
      <c r="D299" s="1" t="str">
        <f>INDEX(Codigos_Bens[Segmentação],MATCH(Base[[#This Row],[Código_do_segmento]],Codigos_Bens[Cod.],0))</f>
        <v>Motocicletas</v>
      </c>
      <c r="E299">
        <v>13.628769999999999</v>
      </c>
      <c r="F299">
        <v>377</v>
      </c>
      <c r="G299">
        <v>0</v>
      </c>
      <c r="H299">
        <v>0</v>
      </c>
      <c r="I299">
        <v>18</v>
      </c>
      <c r="J299">
        <v>2238</v>
      </c>
      <c r="K299">
        <v>44625</v>
      </c>
      <c r="L299">
        <v>5403</v>
      </c>
      <c r="M299">
        <v>128</v>
      </c>
      <c r="N299">
        <v>41978</v>
      </c>
      <c r="O299">
        <v>7805</v>
      </c>
      <c r="P299">
        <v>231</v>
      </c>
      <c r="Q299">
        <v>3527</v>
      </c>
      <c r="R299">
        <v>33015</v>
      </c>
      <c r="S299">
        <v>427</v>
      </c>
      <c r="T299">
        <v>50014</v>
      </c>
      <c r="U299">
        <v>3527</v>
      </c>
      <c r="V299">
        <v>53541</v>
      </c>
      <c r="W299" s="4">
        <v>6.5874750191442066E-2</v>
      </c>
      <c r="X299" s="4">
        <v>0.93412524980855793</v>
      </c>
    </row>
    <row r="300" spans="1:24" x14ac:dyDescent="0.25">
      <c r="A300" s="1" t="s">
        <v>84</v>
      </c>
      <c r="B300" s="1">
        <v>202103</v>
      </c>
      <c r="C300" s="2">
        <v>5</v>
      </c>
      <c r="D300" s="1" t="str">
        <f>INDEX(Codigos_Bens[Segmentação],MATCH(Base[[#This Row],[Código_do_segmento]],Codigos_Bens[Cod.],0))</f>
        <v>Outros bens</v>
      </c>
      <c r="E300">
        <v>22.389990000000001</v>
      </c>
      <c r="F300">
        <v>22</v>
      </c>
      <c r="G300">
        <v>0</v>
      </c>
      <c r="H300">
        <v>2</v>
      </c>
      <c r="I300">
        <v>217</v>
      </c>
      <c r="J300">
        <v>3588</v>
      </c>
      <c r="K300">
        <v>2193</v>
      </c>
      <c r="L300">
        <v>2643</v>
      </c>
      <c r="M300">
        <v>89</v>
      </c>
      <c r="N300">
        <v>3806</v>
      </c>
      <c r="O300">
        <v>404</v>
      </c>
      <c r="P300">
        <v>625</v>
      </c>
      <c r="Q300">
        <v>5250</v>
      </c>
      <c r="R300">
        <v>715</v>
      </c>
      <c r="S300">
        <v>653</v>
      </c>
      <c r="T300">
        <v>4835</v>
      </c>
      <c r="U300">
        <v>5250</v>
      </c>
      <c r="V300">
        <v>10085</v>
      </c>
      <c r="W300" s="4">
        <v>0.52057511155180958</v>
      </c>
      <c r="X300" s="4">
        <v>0.47942488844819037</v>
      </c>
    </row>
    <row r="301" spans="1:24" x14ac:dyDescent="0.25">
      <c r="A301" s="1" t="s">
        <v>84</v>
      </c>
      <c r="B301" s="1">
        <v>202103</v>
      </c>
      <c r="C301" s="2">
        <v>6</v>
      </c>
      <c r="D301" s="1" t="str">
        <f>INDEX(Codigos_Bens[Segmentação],MATCH(Base[[#This Row],[Código_do_segmento]],Codigos_Bens[Cod.],0))</f>
        <v>Serviços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s="4">
        <v>0</v>
      </c>
      <c r="X301" s="4">
        <v>0</v>
      </c>
    </row>
    <row r="302" spans="1:24" x14ac:dyDescent="0.25">
      <c r="A302" s="1" t="s">
        <v>85</v>
      </c>
      <c r="B302" s="1">
        <v>202103</v>
      </c>
      <c r="C302" s="2">
        <v>1</v>
      </c>
      <c r="D302" s="1" t="str">
        <f>INDEX(Codigos_Bens[Segmentação],MATCH(Base[[#This Row],[Código_do_segmento]],Codigos_Bens[Cod.],0))</f>
        <v>Imóveis</v>
      </c>
      <c r="E302">
        <v>13.47917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288</v>
      </c>
      <c r="L302">
        <v>0</v>
      </c>
      <c r="M302">
        <v>0</v>
      </c>
      <c r="N302">
        <v>273</v>
      </c>
      <c r="O302">
        <v>15</v>
      </c>
      <c r="P302">
        <v>0</v>
      </c>
      <c r="Q302">
        <v>125</v>
      </c>
      <c r="R302">
        <v>273</v>
      </c>
      <c r="S302">
        <v>1</v>
      </c>
      <c r="T302">
        <v>288</v>
      </c>
      <c r="U302">
        <v>125</v>
      </c>
      <c r="V302">
        <v>413</v>
      </c>
      <c r="W302" s="4">
        <v>0.30266343825665859</v>
      </c>
      <c r="X302" s="4">
        <v>0.69733656174334135</v>
      </c>
    </row>
    <row r="303" spans="1:24" x14ac:dyDescent="0.25">
      <c r="A303" s="1" t="s">
        <v>85</v>
      </c>
      <c r="B303" s="1">
        <v>202103</v>
      </c>
      <c r="C303" s="2">
        <v>2</v>
      </c>
      <c r="D303" s="1" t="str">
        <f>INDEX(Codigos_Bens[Segmentação],MATCH(Base[[#This Row],[Código_do_segmento]],Codigos_Bens[Cod.],0))</f>
        <v>Veículos Pesados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s="4">
        <v>0</v>
      </c>
      <c r="X303" s="4">
        <v>0</v>
      </c>
    </row>
    <row r="304" spans="1:24" x14ac:dyDescent="0.25">
      <c r="A304" s="1" t="s">
        <v>85</v>
      </c>
      <c r="B304" s="1">
        <v>202103</v>
      </c>
      <c r="C304" s="2">
        <v>3</v>
      </c>
      <c r="D304" s="1" t="str">
        <f>INDEX(Codigos_Bens[Segmentação],MATCH(Base[[#This Row],[Código_do_segmento]],Codigos_Bens[Cod.],0))</f>
        <v>Veículos Leves</v>
      </c>
      <c r="E304">
        <v>12.33333</v>
      </c>
      <c r="F304">
        <v>7</v>
      </c>
      <c r="G304">
        <v>0</v>
      </c>
      <c r="H304">
        <v>0</v>
      </c>
      <c r="I304">
        <v>10</v>
      </c>
      <c r="J304">
        <v>3</v>
      </c>
      <c r="K304">
        <v>887</v>
      </c>
      <c r="L304">
        <v>409</v>
      </c>
      <c r="M304">
        <v>19</v>
      </c>
      <c r="N304">
        <v>1151</v>
      </c>
      <c r="O304">
        <v>109</v>
      </c>
      <c r="P304">
        <v>36</v>
      </c>
      <c r="Q304">
        <v>513</v>
      </c>
      <c r="R304">
        <v>393</v>
      </c>
      <c r="S304">
        <v>81</v>
      </c>
      <c r="T304">
        <v>1296</v>
      </c>
      <c r="U304">
        <v>513</v>
      </c>
      <c r="V304">
        <v>1809</v>
      </c>
      <c r="W304" s="4">
        <v>0.28358208955223879</v>
      </c>
      <c r="X304" s="4">
        <v>0.71641791044776115</v>
      </c>
    </row>
    <row r="305" spans="1:24" x14ac:dyDescent="0.25">
      <c r="A305" s="1" t="s">
        <v>85</v>
      </c>
      <c r="B305" s="1">
        <v>202103</v>
      </c>
      <c r="C305" s="2">
        <v>4</v>
      </c>
      <c r="D305" s="1" t="str">
        <f>INDEX(Codigos_Bens[Segmentação],MATCH(Base[[#This Row],[Código_do_segmento]],Codigos_Bens[Cod.],0))</f>
        <v>Motocicletas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s="4">
        <v>0</v>
      </c>
      <c r="X305" s="4">
        <v>0</v>
      </c>
    </row>
    <row r="306" spans="1:24" x14ac:dyDescent="0.25">
      <c r="A306" s="1" t="s">
        <v>85</v>
      </c>
      <c r="B306" s="1">
        <v>202103</v>
      </c>
      <c r="C306" s="2">
        <v>5</v>
      </c>
      <c r="D306" s="1" t="str">
        <f>INDEX(Codigos_Bens[Segmentação],MATCH(Base[[#This Row],[Código_do_segmento]],Codigos_Bens[Cod.],0))</f>
        <v>Outros bens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s="4">
        <v>0</v>
      </c>
      <c r="X306" s="4">
        <v>0</v>
      </c>
    </row>
    <row r="307" spans="1:24" x14ac:dyDescent="0.25">
      <c r="A307" s="1" t="s">
        <v>85</v>
      </c>
      <c r="B307" s="1">
        <v>202103</v>
      </c>
      <c r="C307" s="2">
        <v>6</v>
      </c>
      <c r="D307" s="1" t="str">
        <f>INDEX(Codigos_Bens[Segmentação],MATCH(Base[[#This Row],[Código_do_segmento]],Codigos_Bens[Cod.],0))</f>
        <v>Serviços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s="4">
        <v>0</v>
      </c>
      <c r="X307" s="4">
        <v>0</v>
      </c>
    </row>
    <row r="308" spans="1:24" x14ac:dyDescent="0.25">
      <c r="A308" s="1" t="s">
        <v>28</v>
      </c>
      <c r="B308" s="1">
        <v>202103</v>
      </c>
      <c r="C308" s="2">
        <v>1</v>
      </c>
      <c r="D308" s="1" t="str">
        <f>INDEX(Codigos_Bens[Segmentação],MATCH(Base[[#This Row],[Código_do_segmento]],Codigos_Bens[Cod.],0))</f>
        <v>Imóveis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s="4">
        <v>0</v>
      </c>
      <c r="X308" s="4">
        <v>0</v>
      </c>
    </row>
    <row r="309" spans="1:24" x14ac:dyDescent="0.25">
      <c r="A309" s="1" t="s">
        <v>28</v>
      </c>
      <c r="B309" s="1">
        <v>202103</v>
      </c>
      <c r="C309" s="2">
        <v>2</v>
      </c>
      <c r="D309" s="1" t="str">
        <f>INDEX(Codigos_Bens[Segmentação],MATCH(Base[[#This Row],[Código_do_segmento]],Codigos_Bens[Cod.],0))</f>
        <v>Veículos Pesados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s="4">
        <v>0</v>
      </c>
      <c r="X309" s="4">
        <v>0</v>
      </c>
    </row>
    <row r="310" spans="1:24" x14ac:dyDescent="0.25">
      <c r="A310" s="1" t="s">
        <v>28</v>
      </c>
      <c r="B310" s="1">
        <v>202103</v>
      </c>
      <c r="C310" s="2">
        <v>3</v>
      </c>
      <c r="D310" s="1" t="str">
        <f>INDEX(Codigos_Bens[Segmentação],MATCH(Base[[#This Row],[Código_do_segmento]],Codigos_Bens[Cod.],0))</f>
        <v>Veículos Leves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s="4">
        <v>0</v>
      </c>
      <c r="X310" s="4">
        <v>0</v>
      </c>
    </row>
    <row r="311" spans="1:24" x14ac:dyDescent="0.25">
      <c r="A311" s="1" t="s">
        <v>28</v>
      </c>
      <c r="B311" s="1">
        <v>202103</v>
      </c>
      <c r="C311" s="2">
        <v>4</v>
      </c>
      <c r="D311" s="1" t="str">
        <f>INDEX(Codigos_Bens[Segmentação],MATCH(Base[[#This Row],[Código_do_segmento]],Codigos_Bens[Cod.],0))</f>
        <v>Motocicletas</v>
      </c>
      <c r="E311">
        <v>21.004740000000002</v>
      </c>
      <c r="F311">
        <v>23</v>
      </c>
      <c r="G311">
        <v>1</v>
      </c>
      <c r="H311">
        <v>0</v>
      </c>
      <c r="I311">
        <v>124</v>
      </c>
      <c r="J311">
        <v>558</v>
      </c>
      <c r="K311">
        <v>3149</v>
      </c>
      <c r="L311">
        <v>1070</v>
      </c>
      <c r="M311">
        <v>34</v>
      </c>
      <c r="N311">
        <v>3870</v>
      </c>
      <c r="O311">
        <v>247</v>
      </c>
      <c r="P311">
        <v>102</v>
      </c>
      <c r="Q311">
        <v>6064</v>
      </c>
      <c r="R311">
        <v>2381</v>
      </c>
      <c r="S311">
        <v>209</v>
      </c>
      <c r="T311">
        <v>4219</v>
      </c>
      <c r="U311">
        <v>6064</v>
      </c>
      <c r="V311">
        <v>10283</v>
      </c>
      <c r="W311" s="4">
        <v>0.58971117378197024</v>
      </c>
      <c r="X311" s="4">
        <v>0.41028882621802976</v>
      </c>
    </row>
    <row r="312" spans="1:24" x14ac:dyDescent="0.25">
      <c r="A312" s="1" t="s">
        <v>28</v>
      </c>
      <c r="B312" s="1">
        <v>202103</v>
      </c>
      <c r="C312" s="2">
        <v>5</v>
      </c>
      <c r="D312" s="1" t="str">
        <f>INDEX(Codigos_Bens[Segmentação],MATCH(Base[[#This Row],[Código_do_segmento]],Codigos_Bens[Cod.],0))</f>
        <v>Outros bens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s="4">
        <v>0</v>
      </c>
      <c r="X312" s="4">
        <v>0</v>
      </c>
    </row>
    <row r="313" spans="1:24" x14ac:dyDescent="0.25">
      <c r="A313" s="1" t="s">
        <v>28</v>
      </c>
      <c r="B313" s="1">
        <v>202103</v>
      </c>
      <c r="C313" s="2">
        <v>6</v>
      </c>
      <c r="D313" s="1" t="str">
        <f>INDEX(Codigos_Bens[Segmentação],MATCH(Base[[#This Row],[Código_do_segmento]],Codigos_Bens[Cod.],0))</f>
        <v>Serviços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s="4">
        <v>0</v>
      </c>
      <c r="X313" s="4">
        <v>0</v>
      </c>
    </row>
    <row r="314" spans="1:24" x14ac:dyDescent="0.25">
      <c r="A314" s="1" t="s">
        <v>29</v>
      </c>
      <c r="B314" s="1">
        <v>202103</v>
      </c>
      <c r="C314" s="2">
        <v>1</v>
      </c>
      <c r="D314" s="1" t="str">
        <f>INDEX(Codigos_Bens[Segmentação],MATCH(Base[[#This Row],[Código_do_segmento]],Codigos_Bens[Cod.],0))</f>
        <v>Imóveis</v>
      </c>
      <c r="E314">
        <v>15.881119999999999</v>
      </c>
      <c r="F314">
        <v>1</v>
      </c>
      <c r="G314">
        <v>0</v>
      </c>
      <c r="H314">
        <v>0</v>
      </c>
      <c r="I314">
        <v>0</v>
      </c>
      <c r="J314">
        <v>69</v>
      </c>
      <c r="K314">
        <v>243</v>
      </c>
      <c r="L314">
        <v>43</v>
      </c>
      <c r="M314">
        <v>2</v>
      </c>
      <c r="N314">
        <v>247</v>
      </c>
      <c r="O314">
        <v>31</v>
      </c>
      <c r="P314">
        <v>8</v>
      </c>
      <c r="Q314">
        <v>802</v>
      </c>
      <c r="R314">
        <v>108</v>
      </c>
      <c r="S314">
        <v>56</v>
      </c>
      <c r="T314">
        <v>286</v>
      </c>
      <c r="U314">
        <v>802</v>
      </c>
      <c r="V314">
        <v>1088</v>
      </c>
      <c r="W314" s="4">
        <v>0.73713235294117652</v>
      </c>
      <c r="X314" s="4">
        <v>0.26286764705882354</v>
      </c>
    </row>
    <row r="315" spans="1:24" x14ac:dyDescent="0.25">
      <c r="A315" s="1" t="s">
        <v>29</v>
      </c>
      <c r="B315" s="1">
        <v>202103</v>
      </c>
      <c r="C315" s="2">
        <v>2</v>
      </c>
      <c r="D315" s="1" t="str">
        <f>INDEX(Codigos_Bens[Segmentação],MATCH(Base[[#This Row],[Código_do_segmento]],Codigos_Bens[Cod.],0))</f>
        <v>Veículos Pesados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s="4">
        <v>0</v>
      </c>
      <c r="X315" s="4">
        <v>0</v>
      </c>
    </row>
    <row r="316" spans="1:24" x14ac:dyDescent="0.25">
      <c r="A316" s="1" t="s">
        <v>29</v>
      </c>
      <c r="B316" s="1">
        <v>202103</v>
      </c>
      <c r="C316" s="2">
        <v>3</v>
      </c>
      <c r="D316" s="1" t="str">
        <f>INDEX(Codigos_Bens[Segmentação],MATCH(Base[[#This Row],[Código_do_segmento]],Codigos_Bens[Cod.],0))</f>
        <v>Veículos Leves</v>
      </c>
      <c r="E316">
        <v>15.196389999999999</v>
      </c>
      <c r="F316">
        <v>7</v>
      </c>
      <c r="G316">
        <v>0</v>
      </c>
      <c r="H316">
        <v>0</v>
      </c>
      <c r="I316">
        <v>4</v>
      </c>
      <c r="J316">
        <v>632</v>
      </c>
      <c r="K316">
        <v>804</v>
      </c>
      <c r="L316">
        <v>194</v>
      </c>
      <c r="M316">
        <v>7</v>
      </c>
      <c r="N316">
        <v>890</v>
      </c>
      <c r="O316">
        <v>71</v>
      </c>
      <c r="P316">
        <v>37</v>
      </c>
      <c r="Q316">
        <v>1788</v>
      </c>
      <c r="R316">
        <v>513</v>
      </c>
      <c r="S316">
        <v>57</v>
      </c>
      <c r="T316">
        <v>998</v>
      </c>
      <c r="U316">
        <v>1788</v>
      </c>
      <c r="V316">
        <v>2786</v>
      </c>
      <c r="W316" s="4">
        <v>0.64178033022254133</v>
      </c>
      <c r="X316" s="4">
        <v>0.35821966977745873</v>
      </c>
    </row>
    <row r="317" spans="1:24" x14ac:dyDescent="0.25">
      <c r="A317" s="1" t="s">
        <v>29</v>
      </c>
      <c r="B317" s="1">
        <v>202103</v>
      </c>
      <c r="C317" s="2">
        <v>4</v>
      </c>
      <c r="D317" s="1" t="str">
        <f>INDEX(Codigos_Bens[Segmentação],MATCH(Base[[#This Row],[Código_do_segmento]],Codigos_Bens[Cod.],0))</f>
        <v>Motocicletas</v>
      </c>
      <c r="E317">
        <v>17.659929999999999</v>
      </c>
      <c r="F317">
        <v>37</v>
      </c>
      <c r="G317">
        <v>1</v>
      </c>
      <c r="H317">
        <v>0</v>
      </c>
      <c r="I317">
        <v>101</v>
      </c>
      <c r="J317">
        <v>1867</v>
      </c>
      <c r="K317">
        <v>3821</v>
      </c>
      <c r="L317">
        <v>2063</v>
      </c>
      <c r="M317">
        <v>62</v>
      </c>
      <c r="N317">
        <v>4973</v>
      </c>
      <c r="O317">
        <v>419</v>
      </c>
      <c r="P317">
        <v>492</v>
      </c>
      <c r="Q317">
        <v>7696</v>
      </c>
      <c r="R317">
        <v>1839</v>
      </c>
      <c r="S317">
        <v>501</v>
      </c>
      <c r="T317">
        <v>5884</v>
      </c>
      <c r="U317">
        <v>7696</v>
      </c>
      <c r="V317">
        <v>13580</v>
      </c>
      <c r="W317" s="4">
        <v>0.56671575846833577</v>
      </c>
      <c r="X317" s="4">
        <v>0.43328424153166423</v>
      </c>
    </row>
    <row r="318" spans="1:24" x14ac:dyDescent="0.25">
      <c r="A318" s="1" t="s">
        <v>29</v>
      </c>
      <c r="B318" s="1">
        <v>202103</v>
      </c>
      <c r="C318" s="2">
        <v>5</v>
      </c>
      <c r="D318" s="1" t="str">
        <f>INDEX(Codigos_Bens[Segmentação],MATCH(Base[[#This Row],[Código_do_segmento]],Codigos_Bens[Cod.],0))</f>
        <v>Outros bens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s="4">
        <v>0</v>
      </c>
      <c r="X318" s="4">
        <v>0</v>
      </c>
    </row>
    <row r="319" spans="1:24" x14ac:dyDescent="0.25">
      <c r="A319" s="1" t="s">
        <v>29</v>
      </c>
      <c r="B319" s="1">
        <v>202103</v>
      </c>
      <c r="C319" s="2">
        <v>6</v>
      </c>
      <c r="D319" s="1" t="str">
        <f>INDEX(Codigos_Bens[Segmentação],MATCH(Base[[#This Row],[Código_do_segmento]],Codigos_Bens[Cod.],0))</f>
        <v>Serviços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s="4">
        <v>0</v>
      </c>
      <c r="X319" s="4">
        <v>0</v>
      </c>
    </row>
    <row r="320" spans="1:24" x14ac:dyDescent="0.25">
      <c r="A320" s="1" t="s">
        <v>30</v>
      </c>
      <c r="B320" s="1">
        <v>202103</v>
      </c>
      <c r="C320" s="2">
        <v>1</v>
      </c>
      <c r="D320" s="1" t="str">
        <f>INDEX(Codigos_Bens[Segmentação],MATCH(Base[[#This Row],[Código_do_segmento]],Codigos_Bens[Cod.],0))</f>
        <v>Imóveis</v>
      </c>
      <c r="E320">
        <v>19.88195</v>
      </c>
      <c r="F320">
        <v>3</v>
      </c>
      <c r="G320">
        <v>0</v>
      </c>
      <c r="H320">
        <v>0</v>
      </c>
      <c r="I320">
        <v>15</v>
      </c>
      <c r="J320">
        <v>329</v>
      </c>
      <c r="K320">
        <v>536</v>
      </c>
      <c r="L320">
        <v>552</v>
      </c>
      <c r="M320">
        <v>8</v>
      </c>
      <c r="N320">
        <v>967</v>
      </c>
      <c r="O320">
        <v>67</v>
      </c>
      <c r="P320">
        <v>54</v>
      </c>
      <c r="Q320">
        <v>822</v>
      </c>
      <c r="R320">
        <v>162</v>
      </c>
      <c r="S320">
        <v>112</v>
      </c>
      <c r="T320">
        <v>1088</v>
      </c>
      <c r="U320">
        <v>822</v>
      </c>
      <c r="V320">
        <v>1910</v>
      </c>
      <c r="W320" s="4">
        <v>0.43036649214659684</v>
      </c>
      <c r="X320" s="4">
        <v>0.56963350785340316</v>
      </c>
    </row>
    <row r="321" spans="1:24" x14ac:dyDescent="0.25">
      <c r="A321" s="1" t="s">
        <v>30</v>
      </c>
      <c r="B321" s="1">
        <v>202103</v>
      </c>
      <c r="C321" s="2">
        <v>2</v>
      </c>
      <c r="D321" s="1" t="str">
        <f>INDEX(Codigos_Bens[Segmentação],MATCH(Base[[#This Row],[Código_do_segmento]],Codigos_Bens[Cod.],0))</f>
        <v>Veículos Pesados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s="4">
        <v>0</v>
      </c>
      <c r="X321" s="4">
        <v>0</v>
      </c>
    </row>
    <row r="322" spans="1:24" x14ac:dyDescent="0.25">
      <c r="A322" s="1" t="s">
        <v>30</v>
      </c>
      <c r="B322" s="1">
        <v>202103</v>
      </c>
      <c r="C322" s="2">
        <v>3</v>
      </c>
      <c r="D322" s="1" t="str">
        <f>INDEX(Codigos_Bens[Segmentação],MATCH(Base[[#This Row],[Código_do_segmento]],Codigos_Bens[Cod.],0))</f>
        <v>Veículos Leves</v>
      </c>
      <c r="E322">
        <v>12.98626</v>
      </c>
      <c r="F322">
        <v>17</v>
      </c>
      <c r="G322">
        <v>0</v>
      </c>
      <c r="H322">
        <v>0</v>
      </c>
      <c r="I322">
        <v>60</v>
      </c>
      <c r="J322">
        <v>256</v>
      </c>
      <c r="K322">
        <v>2053</v>
      </c>
      <c r="L322">
        <v>895</v>
      </c>
      <c r="M322">
        <v>40</v>
      </c>
      <c r="N322">
        <v>2578</v>
      </c>
      <c r="O322">
        <v>242</v>
      </c>
      <c r="P322">
        <v>128</v>
      </c>
      <c r="Q322">
        <v>818</v>
      </c>
      <c r="R322">
        <v>978</v>
      </c>
      <c r="S322">
        <v>242</v>
      </c>
      <c r="T322">
        <v>2948</v>
      </c>
      <c r="U322">
        <v>818</v>
      </c>
      <c r="V322">
        <v>3766</v>
      </c>
      <c r="W322" s="4">
        <v>0.21720658523632502</v>
      </c>
      <c r="X322" s="4">
        <v>0.78279341476367503</v>
      </c>
    </row>
    <row r="323" spans="1:24" x14ac:dyDescent="0.25">
      <c r="A323" s="1" t="s">
        <v>30</v>
      </c>
      <c r="B323" s="1">
        <v>202103</v>
      </c>
      <c r="C323" s="2">
        <v>4</v>
      </c>
      <c r="D323" s="1" t="str">
        <f>INDEX(Codigos_Bens[Segmentação],MATCH(Base[[#This Row],[Código_do_segmento]],Codigos_Bens[Cod.],0))</f>
        <v>Motocicletas</v>
      </c>
      <c r="E323">
        <v>14.481400000000001</v>
      </c>
      <c r="F323">
        <v>7</v>
      </c>
      <c r="G323">
        <v>0</v>
      </c>
      <c r="H323">
        <v>0</v>
      </c>
      <c r="I323">
        <v>15</v>
      </c>
      <c r="J323">
        <v>180</v>
      </c>
      <c r="K323">
        <v>2434</v>
      </c>
      <c r="L323">
        <v>1172</v>
      </c>
      <c r="M323">
        <v>62</v>
      </c>
      <c r="N323">
        <v>3169</v>
      </c>
      <c r="O323">
        <v>262</v>
      </c>
      <c r="P323">
        <v>175</v>
      </c>
      <c r="Q323">
        <v>1617</v>
      </c>
      <c r="R323">
        <v>1075</v>
      </c>
      <c r="S323">
        <v>365</v>
      </c>
      <c r="T323">
        <v>3606</v>
      </c>
      <c r="U323">
        <v>1617</v>
      </c>
      <c r="V323">
        <v>5223</v>
      </c>
      <c r="W323" s="4">
        <v>0.30959218839747271</v>
      </c>
      <c r="X323" s="4">
        <v>0.69040781160252729</v>
      </c>
    </row>
    <row r="324" spans="1:24" x14ac:dyDescent="0.25">
      <c r="A324" s="1" t="s">
        <v>30</v>
      </c>
      <c r="B324" s="1">
        <v>202103</v>
      </c>
      <c r="C324" s="2">
        <v>5</v>
      </c>
      <c r="D324" s="1" t="str">
        <f>INDEX(Codigos_Bens[Segmentação],MATCH(Base[[#This Row],[Código_do_segmento]],Codigos_Bens[Cod.],0))</f>
        <v>Outros bens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s="4">
        <v>0</v>
      </c>
      <c r="X324" s="4">
        <v>0</v>
      </c>
    </row>
    <row r="325" spans="1:24" x14ac:dyDescent="0.25">
      <c r="A325" s="1" t="s">
        <v>30</v>
      </c>
      <c r="B325" s="1">
        <v>202103</v>
      </c>
      <c r="C325" s="2">
        <v>6</v>
      </c>
      <c r="D325" s="1" t="str">
        <f>INDEX(Codigos_Bens[Segmentação],MATCH(Base[[#This Row],[Código_do_segmento]],Codigos_Bens[Cod.],0))</f>
        <v>Serviços</v>
      </c>
      <c r="E325">
        <v>19.954499999999999</v>
      </c>
      <c r="F325">
        <v>2</v>
      </c>
      <c r="G325">
        <v>0</v>
      </c>
      <c r="H325">
        <v>0</v>
      </c>
      <c r="I325">
        <v>1</v>
      </c>
      <c r="J325">
        <v>109</v>
      </c>
      <c r="K325">
        <v>210</v>
      </c>
      <c r="L325">
        <v>98</v>
      </c>
      <c r="M325">
        <v>7</v>
      </c>
      <c r="N325">
        <v>226</v>
      </c>
      <c r="O325">
        <v>46</v>
      </c>
      <c r="P325">
        <v>36</v>
      </c>
      <c r="Q325">
        <v>221</v>
      </c>
      <c r="R325">
        <v>74</v>
      </c>
      <c r="S325">
        <v>50</v>
      </c>
      <c r="T325">
        <v>308</v>
      </c>
      <c r="U325">
        <v>221</v>
      </c>
      <c r="V325">
        <v>529</v>
      </c>
      <c r="W325" s="4">
        <v>0.41776937618147447</v>
      </c>
      <c r="X325" s="4">
        <v>0.58223062381852553</v>
      </c>
    </row>
    <row r="326" spans="1:24" x14ac:dyDescent="0.25">
      <c r="A326" s="1" t="s">
        <v>86</v>
      </c>
      <c r="B326" s="1">
        <v>202103</v>
      </c>
      <c r="C326" s="2">
        <v>1</v>
      </c>
      <c r="D326" s="1" t="str">
        <f>INDEX(Codigos_Bens[Segmentação],MATCH(Base[[#This Row],[Código_do_segmento]],Codigos_Bens[Cod.],0))</f>
        <v>Imóveis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s="4">
        <v>0</v>
      </c>
      <c r="X326" s="4">
        <v>0</v>
      </c>
    </row>
    <row r="327" spans="1:24" x14ac:dyDescent="0.25">
      <c r="A327" s="1" t="s">
        <v>86</v>
      </c>
      <c r="B327" s="1">
        <v>202103</v>
      </c>
      <c r="C327" s="2">
        <v>2</v>
      </c>
      <c r="D327" s="1" t="str">
        <f>INDEX(Codigos_Bens[Segmentação],MATCH(Base[[#This Row],[Código_do_segmento]],Codigos_Bens[Cod.],0))</f>
        <v>Veículos Pesados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s="4">
        <v>0</v>
      </c>
      <c r="X327" s="4">
        <v>0</v>
      </c>
    </row>
    <row r="328" spans="1:24" x14ac:dyDescent="0.25">
      <c r="A328" s="1" t="s">
        <v>86</v>
      </c>
      <c r="B328" s="1">
        <v>202103</v>
      </c>
      <c r="C328" s="2">
        <v>3</v>
      </c>
      <c r="D328" s="1" t="str">
        <f>INDEX(Codigos_Bens[Segmentação],MATCH(Base[[#This Row],[Código_do_segmento]],Codigos_Bens[Cod.],0))</f>
        <v>Veículos Leves</v>
      </c>
      <c r="E328">
        <v>5.8081100000000001</v>
      </c>
      <c r="F328">
        <v>13</v>
      </c>
      <c r="G328">
        <v>0</v>
      </c>
      <c r="H328">
        <v>0</v>
      </c>
      <c r="I328">
        <v>27</v>
      </c>
      <c r="J328">
        <v>565</v>
      </c>
      <c r="K328">
        <v>1314</v>
      </c>
      <c r="L328">
        <v>708</v>
      </c>
      <c r="M328">
        <v>17</v>
      </c>
      <c r="N328">
        <v>1709</v>
      </c>
      <c r="O328">
        <v>153</v>
      </c>
      <c r="P328">
        <v>160</v>
      </c>
      <c r="Q328">
        <v>1653</v>
      </c>
      <c r="R328">
        <v>511</v>
      </c>
      <c r="S328">
        <v>117</v>
      </c>
      <c r="T328">
        <v>2022</v>
      </c>
      <c r="U328">
        <v>1653</v>
      </c>
      <c r="V328">
        <v>3675</v>
      </c>
      <c r="W328" s="4">
        <v>0.44979591836734695</v>
      </c>
      <c r="X328" s="4">
        <v>0.55020408163265311</v>
      </c>
    </row>
    <row r="329" spans="1:24" x14ac:dyDescent="0.25">
      <c r="A329" s="1" t="s">
        <v>86</v>
      </c>
      <c r="B329" s="1">
        <v>202103</v>
      </c>
      <c r="C329" s="2">
        <v>4</v>
      </c>
      <c r="D329" s="1" t="str">
        <f>INDEX(Codigos_Bens[Segmentação],MATCH(Base[[#This Row],[Código_do_segmento]],Codigos_Bens[Cod.],0))</f>
        <v>Motocicletas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s="4">
        <v>0</v>
      </c>
      <c r="X329" s="4">
        <v>0</v>
      </c>
    </row>
    <row r="330" spans="1:24" x14ac:dyDescent="0.25">
      <c r="A330" s="1" t="s">
        <v>86</v>
      </c>
      <c r="B330" s="1">
        <v>202103</v>
      </c>
      <c r="C330" s="2">
        <v>5</v>
      </c>
      <c r="D330" s="1" t="str">
        <f>INDEX(Codigos_Bens[Segmentação],MATCH(Base[[#This Row],[Código_do_segmento]],Codigos_Bens[Cod.],0))</f>
        <v>Outros bens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s="4">
        <v>0</v>
      </c>
      <c r="X330" s="4">
        <v>0</v>
      </c>
    </row>
    <row r="331" spans="1:24" x14ac:dyDescent="0.25">
      <c r="A331" s="1" t="s">
        <v>86</v>
      </c>
      <c r="B331" s="1">
        <v>202103</v>
      </c>
      <c r="C331" s="2">
        <v>6</v>
      </c>
      <c r="D331" s="1" t="str">
        <f>INDEX(Codigos_Bens[Segmentação],MATCH(Base[[#This Row],[Código_do_segmento]],Codigos_Bens[Cod.],0))</f>
        <v>Serviços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s="4">
        <v>0</v>
      </c>
      <c r="X331" s="4">
        <v>0</v>
      </c>
    </row>
    <row r="332" spans="1:24" x14ac:dyDescent="0.25">
      <c r="A332" s="1" t="s">
        <v>87</v>
      </c>
      <c r="B332" s="1">
        <v>202103</v>
      </c>
      <c r="C332" s="2">
        <v>1</v>
      </c>
      <c r="D332" s="1" t="str">
        <f>INDEX(Codigos_Bens[Segmentação],MATCH(Base[[#This Row],[Código_do_segmento]],Codigos_Bens[Cod.],0))</f>
        <v>Imóveis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s="4">
        <v>0</v>
      </c>
      <c r="X332" s="4">
        <v>0</v>
      </c>
    </row>
    <row r="333" spans="1:24" x14ac:dyDescent="0.25">
      <c r="A333" s="1" t="s">
        <v>87</v>
      </c>
      <c r="B333" s="1">
        <v>202103</v>
      </c>
      <c r="C333" s="2">
        <v>2</v>
      </c>
      <c r="D333" s="1" t="str">
        <f>INDEX(Codigos_Bens[Segmentação],MATCH(Base[[#This Row],[Código_do_segmento]],Codigos_Bens[Cod.],0))</f>
        <v>Veículos Pesados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s="4">
        <v>0</v>
      </c>
      <c r="X333" s="4">
        <v>0</v>
      </c>
    </row>
    <row r="334" spans="1:24" x14ac:dyDescent="0.25">
      <c r="A334" s="1" t="s">
        <v>87</v>
      </c>
      <c r="B334" s="1">
        <v>202103</v>
      </c>
      <c r="C334" s="2">
        <v>3</v>
      </c>
      <c r="D334" s="1" t="str">
        <f>INDEX(Codigos_Bens[Segmentação],MATCH(Base[[#This Row],[Código_do_segmento]],Codigos_Bens[Cod.],0))</f>
        <v>Veículos Leves</v>
      </c>
      <c r="E334">
        <v>15</v>
      </c>
      <c r="F334">
        <v>2</v>
      </c>
      <c r="G334">
        <v>0</v>
      </c>
      <c r="H334">
        <v>0</v>
      </c>
      <c r="I334">
        <v>0</v>
      </c>
      <c r="J334">
        <v>18</v>
      </c>
      <c r="K334">
        <v>191</v>
      </c>
      <c r="L334">
        <v>31</v>
      </c>
      <c r="M334">
        <v>2</v>
      </c>
      <c r="N334">
        <v>206</v>
      </c>
      <c r="O334">
        <v>13</v>
      </c>
      <c r="P334">
        <v>3</v>
      </c>
      <c r="Q334">
        <v>92</v>
      </c>
      <c r="R334">
        <v>107</v>
      </c>
      <c r="S334">
        <v>35</v>
      </c>
      <c r="T334">
        <v>222</v>
      </c>
      <c r="U334">
        <v>92</v>
      </c>
      <c r="V334">
        <v>314</v>
      </c>
      <c r="W334" s="4">
        <v>0.2929936305732484</v>
      </c>
      <c r="X334" s="4">
        <v>0.70700636942675155</v>
      </c>
    </row>
    <row r="335" spans="1:24" x14ac:dyDescent="0.25">
      <c r="A335" s="1" t="s">
        <v>87</v>
      </c>
      <c r="B335" s="1">
        <v>202103</v>
      </c>
      <c r="C335" s="2">
        <v>4</v>
      </c>
      <c r="D335" s="1" t="str">
        <f>INDEX(Codigos_Bens[Segmentação],MATCH(Base[[#This Row],[Código_do_segmento]],Codigos_Bens[Cod.],0))</f>
        <v>Motocicletas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s="4">
        <v>0</v>
      </c>
      <c r="X335" s="4">
        <v>0</v>
      </c>
    </row>
    <row r="336" spans="1:24" x14ac:dyDescent="0.25">
      <c r="A336" s="1" t="s">
        <v>87</v>
      </c>
      <c r="B336" s="1">
        <v>202103</v>
      </c>
      <c r="C336" s="2">
        <v>5</v>
      </c>
      <c r="D336" s="1" t="str">
        <f>INDEX(Codigos_Bens[Segmentação],MATCH(Base[[#This Row],[Código_do_segmento]],Codigos_Bens[Cod.],0))</f>
        <v>Outros bens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s="4">
        <v>0</v>
      </c>
      <c r="X336" s="4">
        <v>0</v>
      </c>
    </row>
    <row r="337" spans="1:24" x14ac:dyDescent="0.25">
      <c r="A337" s="1" t="s">
        <v>87</v>
      </c>
      <c r="B337" s="1">
        <v>202103</v>
      </c>
      <c r="C337" s="2">
        <v>6</v>
      </c>
      <c r="D337" s="1" t="str">
        <f>INDEX(Codigos_Bens[Segmentação],MATCH(Base[[#This Row],[Código_do_segmento]],Codigos_Bens[Cod.],0))</f>
        <v>Serviços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s="4">
        <v>0</v>
      </c>
      <c r="X337" s="4">
        <v>0</v>
      </c>
    </row>
    <row r="338" spans="1:24" x14ac:dyDescent="0.25">
      <c r="A338" s="1" t="s">
        <v>31</v>
      </c>
      <c r="B338" s="1">
        <v>202103</v>
      </c>
      <c r="C338" s="2">
        <v>1</v>
      </c>
      <c r="D338" s="1" t="str">
        <f>INDEX(Codigos_Bens[Segmentação],MATCH(Base[[#This Row],[Código_do_segmento]],Codigos_Bens[Cod.],0))</f>
        <v>Imóveis</v>
      </c>
      <c r="E338">
        <v>9.6487700000000007</v>
      </c>
      <c r="F338">
        <v>36</v>
      </c>
      <c r="G338">
        <v>0</v>
      </c>
      <c r="H338">
        <v>0</v>
      </c>
      <c r="I338">
        <v>35</v>
      </c>
      <c r="J338">
        <v>103</v>
      </c>
      <c r="K338">
        <v>12258</v>
      </c>
      <c r="L338">
        <v>6277</v>
      </c>
      <c r="M338">
        <v>78</v>
      </c>
      <c r="N338">
        <v>18018</v>
      </c>
      <c r="O338">
        <v>203</v>
      </c>
      <c r="P338">
        <v>314</v>
      </c>
      <c r="Q338">
        <v>6085</v>
      </c>
      <c r="R338">
        <v>7530</v>
      </c>
      <c r="S338">
        <v>2387</v>
      </c>
      <c r="T338">
        <v>18535</v>
      </c>
      <c r="U338">
        <v>6085</v>
      </c>
      <c r="V338">
        <v>24620</v>
      </c>
      <c r="W338" s="4">
        <v>0.24715678310316816</v>
      </c>
      <c r="X338" s="4">
        <v>0.75284321689683187</v>
      </c>
    </row>
    <row r="339" spans="1:24" x14ac:dyDescent="0.25">
      <c r="A339" s="1" t="s">
        <v>31</v>
      </c>
      <c r="B339" s="1">
        <v>202103</v>
      </c>
      <c r="C339" s="2">
        <v>2</v>
      </c>
      <c r="D339" s="1" t="str">
        <f>INDEX(Codigos_Bens[Segmentação],MATCH(Base[[#This Row],[Código_do_segmento]],Codigos_Bens[Cod.],0))</f>
        <v>Veículos Pesados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s="4">
        <v>0</v>
      </c>
      <c r="X339" s="4">
        <v>0</v>
      </c>
    </row>
    <row r="340" spans="1:24" x14ac:dyDescent="0.25">
      <c r="A340" s="1" t="s">
        <v>31</v>
      </c>
      <c r="B340" s="1">
        <v>202103</v>
      </c>
      <c r="C340" s="2">
        <v>3</v>
      </c>
      <c r="D340" s="1" t="str">
        <f>INDEX(Codigos_Bens[Segmentação],MATCH(Base[[#This Row],[Código_do_segmento]],Codigos_Bens[Cod.],0))</f>
        <v>Veículos Leves</v>
      </c>
      <c r="E340">
        <v>7.93527</v>
      </c>
      <c r="F340">
        <v>18</v>
      </c>
      <c r="G340">
        <v>0</v>
      </c>
      <c r="H340">
        <v>0</v>
      </c>
      <c r="I340">
        <v>11</v>
      </c>
      <c r="J340">
        <v>23</v>
      </c>
      <c r="K340">
        <v>2524</v>
      </c>
      <c r="L340">
        <v>1655</v>
      </c>
      <c r="M340">
        <v>62</v>
      </c>
      <c r="N340">
        <v>4038</v>
      </c>
      <c r="O340">
        <v>78</v>
      </c>
      <c r="P340">
        <v>63</v>
      </c>
      <c r="Q340">
        <v>467</v>
      </c>
      <c r="R340">
        <v>932</v>
      </c>
      <c r="S340">
        <v>510</v>
      </c>
      <c r="T340">
        <v>4179</v>
      </c>
      <c r="U340">
        <v>467</v>
      </c>
      <c r="V340">
        <v>4646</v>
      </c>
      <c r="W340" s="4">
        <v>0.10051657339647008</v>
      </c>
      <c r="X340" s="4">
        <v>0.89948342660352987</v>
      </c>
    </row>
    <row r="341" spans="1:24" x14ac:dyDescent="0.25">
      <c r="A341" s="1" t="s">
        <v>31</v>
      </c>
      <c r="B341" s="1">
        <v>202103</v>
      </c>
      <c r="C341" s="2">
        <v>4</v>
      </c>
      <c r="D341" s="1" t="str">
        <f>INDEX(Codigos_Bens[Segmentação],MATCH(Base[[#This Row],[Código_do_segmento]],Codigos_Bens[Cod.],0))</f>
        <v>Motocicletas</v>
      </c>
      <c r="E341">
        <v>7.8333700000000004</v>
      </c>
      <c r="F341">
        <v>20</v>
      </c>
      <c r="G341">
        <v>0</v>
      </c>
      <c r="H341">
        <v>0</v>
      </c>
      <c r="I341">
        <v>26</v>
      </c>
      <c r="J341">
        <v>34</v>
      </c>
      <c r="K341">
        <v>2917</v>
      </c>
      <c r="L341">
        <v>1989</v>
      </c>
      <c r="M341">
        <v>65</v>
      </c>
      <c r="N341">
        <v>4646</v>
      </c>
      <c r="O341">
        <v>123</v>
      </c>
      <c r="P341">
        <v>137</v>
      </c>
      <c r="Q341">
        <v>613</v>
      </c>
      <c r="R341">
        <v>1161</v>
      </c>
      <c r="S341">
        <v>833</v>
      </c>
      <c r="T341">
        <v>4906</v>
      </c>
      <c r="U341">
        <v>613</v>
      </c>
      <c r="V341">
        <v>5519</v>
      </c>
      <c r="W341" s="4">
        <v>0.11107084616778402</v>
      </c>
      <c r="X341" s="4">
        <v>0.88892915383221593</v>
      </c>
    </row>
    <row r="342" spans="1:24" x14ac:dyDescent="0.25">
      <c r="A342" s="1" t="s">
        <v>31</v>
      </c>
      <c r="B342" s="1">
        <v>202103</v>
      </c>
      <c r="C342" s="2">
        <v>5</v>
      </c>
      <c r="D342" s="1" t="str">
        <f>INDEX(Codigos_Bens[Segmentação],MATCH(Base[[#This Row],[Código_do_segmento]],Codigos_Bens[Cod.],0))</f>
        <v>Outros bens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s="4">
        <v>0</v>
      </c>
      <c r="X342" s="4">
        <v>0</v>
      </c>
    </row>
    <row r="343" spans="1:24" x14ac:dyDescent="0.25">
      <c r="A343" s="1" t="s">
        <v>31</v>
      </c>
      <c r="B343" s="1">
        <v>202103</v>
      </c>
      <c r="C343" s="2">
        <v>6</v>
      </c>
      <c r="D343" s="1" t="str">
        <f>INDEX(Codigos_Bens[Segmentação],MATCH(Base[[#This Row],[Código_do_segmento]],Codigos_Bens[Cod.],0))</f>
        <v>Serviços</v>
      </c>
      <c r="E343">
        <v>5.8368700000000002</v>
      </c>
      <c r="F343">
        <v>8</v>
      </c>
      <c r="G343">
        <v>0</v>
      </c>
      <c r="H343">
        <v>0</v>
      </c>
      <c r="I343">
        <v>2</v>
      </c>
      <c r="J343">
        <v>12</v>
      </c>
      <c r="K343">
        <v>1051</v>
      </c>
      <c r="L343">
        <v>549</v>
      </c>
      <c r="M343">
        <v>31</v>
      </c>
      <c r="N343">
        <v>1458</v>
      </c>
      <c r="O343">
        <v>102</v>
      </c>
      <c r="P343">
        <v>40</v>
      </c>
      <c r="Q343">
        <v>118</v>
      </c>
      <c r="R343">
        <v>339</v>
      </c>
      <c r="S343">
        <v>394</v>
      </c>
      <c r="T343">
        <v>1600</v>
      </c>
      <c r="U343">
        <v>118</v>
      </c>
      <c r="V343">
        <v>1718</v>
      </c>
      <c r="W343" s="4">
        <v>6.8684516880093138E-2</v>
      </c>
      <c r="X343" s="4">
        <v>0.93131548311990686</v>
      </c>
    </row>
    <row r="344" spans="1:24" x14ac:dyDescent="0.25">
      <c r="A344" s="1" t="s">
        <v>88</v>
      </c>
      <c r="B344" s="1">
        <v>202103</v>
      </c>
      <c r="C344" s="2">
        <v>1</v>
      </c>
      <c r="D344" s="1" t="str">
        <f>INDEX(Codigos_Bens[Segmentação],MATCH(Base[[#This Row],[Código_do_segmento]],Codigos_Bens[Cod.],0))</f>
        <v>Imóveis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s="4">
        <v>0</v>
      </c>
      <c r="X344" s="4">
        <v>0</v>
      </c>
    </row>
    <row r="345" spans="1:24" x14ac:dyDescent="0.25">
      <c r="A345" s="1" t="s">
        <v>88</v>
      </c>
      <c r="B345" s="1">
        <v>202103</v>
      </c>
      <c r="C345" s="2">
        <v>2</v>
      </c>
      <c r="D345" s="1" t="str">
        <f>INDEX(Codigos_Bens[Segmentação],MATCH(Base[[#This Row],[Código_do_segmento]],Codigos_Bens[Cod.],0))</f>
        <v>Veículos Pesados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s="4">
        <v>0</v>
      </c>
      <c r="X345" s="4">
        <v>0</v>
      </c>
    </row>
    <row r="346" spans="1:24" x14ac:dyDescent="0.25">
      <c r="A346" s="1" t="s">
        <v>88</v>
      </c>
      <c r="B346" s="1">
        <v>202103</v>
      </c>
      <c r="C346" s="2">
        <v>3</v>
      </c>
      <c r="D346" s="1" t="str">
        <f>INDEX(Codigos_Bens[Segmentação],MATCH(Base[[#This Row],[Código_do_segmento]],Codigos_Bens[Cod.],0))</f>
        <v>Veículos Leves</v>
      </c>
      <c r="E346">
        <v>0.77595999999999998</v>
      </c>
      <c r="F346">
        <v>25</v>
      </c>
      <c r="G346">
        <v>2</v>
      </c>
      <c r="H346">
        <v>0</v>
      </c>
      <c r="I346">
        <v>193</v>
      </c>
      <c r="J346">
        <v>285</v>
      </c>
      <c r="K346">
        <v>2347</v>
      </c>
      <c r="L346">
        <v>997</v>
      </c>
      <c r="M346">
        <v>46</v>
      </c>
      <c r="N346">
        <v>3067</v>
      </c>
      <c r="O346">
        <v>119</v>
      </c>
      <c r="P346">
        <v>158</v>
      </c>
      <c r="Q346">
        <v>312</v>
      </c>
      <c r="R346">
        <v>1343</v>
      </c>
      <c r="S346">
        <v>201</v>
      </c>
      <c r="T346">
        <v>3344</v>
      </c>
      <c r="U346">
        <v>312</v>
      </c>
      <c r="V346">
        <v>3656</v>
      </c>
      <c r="W346" s="4">
        <v>8.5339168490153175E-2</v>
      </c>
      <c r="X346" s="4">
        <v>0.91466083150984678</v>
      </c>
    </row>
    <row r="347" spans="1:24" x14ac:dyDescent="0.25">
      <c r="A347" s="1" t="s">
        <v>88</v>
      </c>
      <c r="B347" s="1">
        <v>202103</v>
      </c>
      <c r="C347" s="2">
        <v>4</v>
      </c>
      <c r="D347" s="1" t="str">
        <f>INDEX(Codigos_Bens[Segmentação],MATCH(Base[[#This Row],[Código_do_segmento]],Codigos_Bens[Cod.],0))</f>
        <v>Motocicletas</v>
      </c>
      <c r="E347">
        <v>6.5979999999999999</v>
      </c>
      <c r="F347">
        <v>23</v>
      </c>
      <c r="G347">
        <v>0</v>
      </c>
      <c r="H347">
        <v>0</v>
      </c>
      <c r="I347">
        <v>27</v>
      </c>
      <c r="J347">
        <v>372</v>
      </c>
      <c r="K347">
        <v>1350</v>
      </c>
      <c r="L347">
        <v>786</v>
      </c>
      <c r="M347">
        <v>41</v>
      </c>
      <c r="N347">
        <v>1819</v>
      </c>
      <c r="O347">
        <v>82</v>
      </c>
      <c r="P347">
        <v>235</v>
      </c>
      <c r="Q347">
        <v>457</v>
      </c>
      <c r="R347">
        <v>529</v>
      </c>
      <c r="S347">
        <v>135</v>
      </c>
      <c r="T347">
        <v>2136</v>
      </c>
      <c r="U347">
        <v>457</v>
      </c>
      <c r="V347">
        <v>2593</v>
      </c>
      <c r="W347" s="4">
        <v>0.17624373312765138</v>
      </c>
      <c r="X347" s="4">
        <v>0.8237562668723486</v>
      </c>
    </row>
    <row r="348" spans="1:24" x14ac:dyDescent="0.25">
      <c r="A348" s="1" t="s">
        <v>88</v>
      </c>
      <c r="B348" s="1">
        <v>202103</v>
      </c>
      <c r="C348" s="2">
        <v>5</v>
      </c>
      <c r="D348" s="1" t="str">
        <f>INDEX(Codigos_Bens[Segmentação],MATCH(Base[[#This Row],[Código_do_segmento]],Codigos_Bens[Cod.],0))</f>
        <v>Outros bens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s="4">
        <v>0</v>
      </c>
      <c r="X348" s="4">
        <v>0</v>
      </c>
    </row>
    <row r="349" spans="1:24" x14ac:dyDescent="0.25">
      <c r="A349" s="1" t="s">
        <v>88</v>
      </c>
      <c r="B349" s="1">
        <v>202103</v>
      </c>
      <c r="C349" s="2">
        <v>6</v>
      </c>
      <c r="D349" s="1" t="str">
        <f>INDEX(Codigos_Bens[Segmentação],MATCH(Base[[#This Row],[Código_do_segmento]],Codigos_Bens[Cod.],0))</f>
        <v>Serviços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s="4">
        <v>0</v>
      </c>
      <c r="X349" s="4">
        <v>0</v>
      </c>
    </row>
    <row r="350" spans="1:24" x14ac:dyDescent="0.25">
      <c r="A350" s="1" t="s">
        <v>89</v>
      </c>
      <c r="B350" s="1">
        <v>202103</v>
      </c>
      <c r="C350" s="2">
        <v>1</v>
      </c>
      <c r="D350" s="1" t="str">
        <f>INDEX(Codigos_Bens[Segmentação],MATCH(Base[[#This Row],[Código_do_segmento]],Codigos_Bens[Cod.],0))</f>
        <v>Imóveis</v>
      </c>
      <c r="E350">
        <v>11.30373</v>
      </c>
      <c r="F350">
        <v>11</v>
      </c>
      <c r="G350">
        <v>0</v>
      </c>
      <c r="H350">
        <v>0</v>
      </c>
      <c r="I350">
        <v>105</v>
      </c>
      <c r="J350">
        <v>15</v>
      </c>
      <c r="K350">
        <v>469</v>
      </c>
      <c r="L350">
        <v>736</v>
      </c>
      <c r="M350">
        <v>22</v>
      </c>
      <c r="N350">
        <v>935</v>
      </c>
      <c r="O350">
        <v>77</v>
      </c>
      <c r="P350">
        <v>193</v>
      </c>
      <c r="Q350">
        <v>27</v>
      </c>
      <c r="R350">
        <v>221</v>
      </c>
      <c r="S350">
        <v>7</v>
      </c>
      <c r="T350">
        <v>1205</v>
      </c>
      <c r="U350">
        <v>27</v>
      </c>
      <c r="V350">
        <v>1232</v>
      </c>
      <c r="W350" s="4">
        <v>2.1915584415584416E-2</v>
      </c>
      <c r="X350" s="4">
        <v>0.97808441558441561</v>
      </c>
    </row>
    <row r="351" spans="1:24" x14ac:dyDescent="0.25">
      <c r="A351" s="1" t="s">
        <v>89</v>
      </c>
      <c r="B351" s="1">
        <v>202103</v>
      </c>
      <c r="C351" s="2">
        <v>2</v>
      </c>
      <c r="D351" s="1" t="str">
        <f>INDEX(Codigos_Bens[Segmentação],MATCH(Base[[#This Row],[Código_do_segmento]],Codigos_Bens[Cod.],0))</f>
        <v>Veículos Pesados</v>
      </c>
      <c r="E351">
        <v>10.588839999999999</v>
      </c>
      <c r="F351">
        <v>176</v>
      </c>
      <c r="G351">
        <v>1</v>
      </c>
      <c r="H351">
        <v>0</v>
      </c>
      <c r="I351">
        <v>434</v>
      </c>
      <c r="J351">
        <v>446</v>
      </c>
      <c r="K351">
        <v>10155</v>
      </c>
      <c r="L351">
        <v>5525</v>
      </c>
      <c r="M351">
        <v>181</v>
      </c>
      <c r="N351">
        <v>14044</v>
      </c>
      <c r="O351">
        <v>1123</v>
      </c>
      <c r="P351">
        <v>513</v>
      </c>
      <c r="Q351">
        <v>793</v>
      </c>
      <c r="R351">
        <v>6111</v>
      </c>
      <c r="S351">
        <v>61</v>
      </c>
      <c r="T351">
        <v>15680</v>
      </c>
      <c r="U351">
        <v>793</v>
      </c>
      <c r="V351">
        <v>16473</v>
      </c>
      <c r="W351" s="4">
        <v>4.8139379590845625E-2</v>
      </c>
      <c r="X351" s="4">
        <v>0.95186062040915442</v>
      </c>
    </row>
    <row r="352" spans="1:24" x14ac:dyDescent="0.25">
      <c r="A352" s="1" t="s">
        <v>89</v>
      </c>
      <c r="B352" s="1">
        <v>202103</v>
      </c>
      <c r="C352" s="2">
        <v>3</v>
      </c>
      <c r="D352" s="1" t="str">
        <f>INDEX(Codigos_Bens[Segmentação],MATCH(Base[[#This Row],[Código_do_segmento]],Codigos_Bens[Cod.],0))</f>
        <v>Veículos Leves</v>
      </c>
      <c r="E352">
        <v>12.794320000000001</v>
      </c>
      <c r="F352">
        <v>27</v>
      </c>
      <c r="G352">
        <v>1</v>
      </c>
      <c r="H352">
        <v>0</v>
      </c>
      <c r="I352">
        <v>49</v>
      </c>
      <c r="J352">
        <v>91</v>
      </c>
      <c r="K352">
        <v>1342</v>
      </c>
      <c r="L352">
        <v>734</v>
      </c>
      <c r="M352">
        <v>21</v>
      </c>
      <c r="N352">
        <v>1842</v>
      </c>
      <c r="O352">
        <v>142</v>
      </c>
      <c r="P352">
        <v>92</v>
      </c>
      <c r="Q352">
        <v>158</v>
      </c>
      <c r="R352">
        <v>693</v>
      </c>
      <c r="S352">
        <v>1</v>
      </c>
      <c r="T352">
        <v>2076</v>
      </c>
      <c r="U352">
        <v>158</v>
      </c>
      <c r="V352">
        <v>2234</v>
      </c>
      <c r="W352" s="4">
        <v>7.0725156669650846E-2</v>
      </c>
      <c r="X352" s="4">
        <v>0.92927484333034915</v>
      </c>
    </row>
    <row r="353" spans="1:24" x14ac:dyDescent="0.25">
      <c r="A353" s="1" t="s">
        <v>89</v>
      </c>
      <c r="B353" s="1">
        <v>202103</v>
      </c>
      <c r="C353" s="2">
        <v>4</v>
      </c>
      <c r="D353" s="1" t="str">
        <f>INDEX(Codigos_Bens[Segmentação],MATCH(Base[[#This Row],[Código_do_segmento]],Codigos_Bens[Cod.],0))</f>
        <v>Motocicletas</v>
      </c>
      <c r="E353">
        <v>13.15789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50</v>
      </c>
      <c r="L353">
        <v>7</v>
      </c>
      <c r="M353">
        <v>0</v>
      </c>
      <c r="N353">
        <v>50</v>
      </c>
      <c r="O353">
        <v>5</v>
      </c>
      <c r="P353">
        <v>2</v>
      </c>
      <c r="Q353">
        <v>10</v>
      </c>
      <c r="R353">
        <v>41</v>
      </c>
      <c r="S353">
        <v>0</v>
      </c>
      <c r="T353">
        <v>57</v>
      </c>
      <c r="U353">
        <v>10</v>
      </c>
      <c r="V353">
        <v>67</v>
      </c>
      <c r="W353" s="4">
        <v>0.14925373134328357</v>
      </c>
      <c r="X353" s="4">
        <v>0.85074626865671643</v>
      </c>
    </row>
    <row r="354" spans="1:24" x14ac:dyDescent="0.25">
      <c r="A354" s="1" t="s">
        <v>89</v>
      </c>
      <c r="B354" s="1">
        <v>202103</v>
      </c>
      <c r="C354" s="2">
        <v>5</v>
      </c>
      <c r="D354" s="1" t="str">
        <f>INDEX(Codigos_Bens[Segmentação],MATCH(Base[[#This Row],[Código_do_segmento]],Codigos_Bens[Cod.],0))</f>
        <v>Outros bens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s="4">
        <v>0</v>
      </c>
      <c r="X354" s="4">
        <v>0</v>
      </c>
    </row>
    <row r="355" spans="1:24" x14ac:dyDescent="0.25">
      <c r="A355" s="1" t="s">
        <v>89</v>
      </c>
      <c r="B355" s="1">
        <v>202103</v>
      </c>
      <c r="C355" s="2">
        <v>6</v>
      </c>
      <c r="D355" s="1" t="str">
        <f>INDEX(Codigos_Bens[Segmentação],MATCH(Base[[#This Row],[Código_do_segmento]],Codigos_Bens[Cod.],0))</f>
        <v>Serviços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s="4">
        <v>0</v>
      </c>
      <c r="X355" s="4">
        <v>0</v>
      </c>
    </row>
    <row r="356" spans="1:24" x14ac:dyDescent="0.25">
      <c r="A356" s="1" t="s">
        <v>90</v>
      </c>
      <c r="B356" s="1">
        <v>202103</v>
      </c>
      <c r="C356" s="2">
        <v>1</v>
      </c>
      <c r="D356" s="1" t="str">
        <f>INDEX(Codigos_Bens[Segmentação],MATCH(Base[[#This Row],[Código_do_segmento]],Codigos_Bens[Cod.],0))</f>
        <v>Imóveis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s="4">
        <v>0</v>
      </c>
      <c r="X356" s="4">
        <v>0</v>
      </c>
    </row>
    <row r="357" spans="1:24" x14ac:dyDescent="0.25">
      <c r="A357" s="1" t="s">
        <v>90</v>
      </c>
      <c r="B357" s="1">
        <v>202103</v>
      </c>
      <c r="C357" s="2">
        <v>2</v>
      </c>
      <c r="D357" s="1" t="str">
        <f>INDEX(Codigos_Bens[Segmentação],MATCH(Base[[#This Row],[Código_do_segmento]],Codigos_Bens[Cod.],0))</f>
        <v>Veículos Pesados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4">
        <v>0</v>
      </c>
      <c r="X357" s="4">
        <v>0</v>
      </c>
    </row>
    <row r="358" spans="1:24" x14ac:dyDescent="0.25">
      <c r="A358" s="1" t="s">
        <v>90</v>
      </c>
      <c r="B358" s="1">
        <v>202103</v>
      </c>
      <c r="C358" s="2">
        <v>3</v>
      </c>
      <c r="D358" s="1" t="str">
        <f>INDEX(Codigos_Bens[Segmentação],MATCH(Base[[#This Row],[Código_do_segmento]],Codigos_Bens[Cod.],0))</f>
        <v>Veículos Leves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s="4">
        <v>0</v>
      </c>
      <c r="X358" s="4">
        <v>0</v>
      </c>
    </row>
    <row r="359" spans="1:24" x14ac:dyDescent="0.25">
      <c r="A359" s="1" t="s">
        <v>90</v>
      </c>
      <c r="B359" s="1">
        <v>202103</v>
      </c>
      <c r="C359" s="2">
        <v>4</v>
      </c>
      <c r="D359" s="1" t="str">
        <f>INDEX(Codigos_Bens[Segmentação],MATCH(Base[[#This Row],[Código_do_segmento]],Codigos_Bens[Cod.],0))</f>
        <v>Motocicletas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s="4">
        <v>0</v>
      </c>
      <c r="X359" s="4">
        <v>0</v>
      </c>
    </row>
    <row r="360" spans="1:24" x14ac:dyDescent="0.25">
      <c r="A360" s="1" t="s">
        <v>90</v>
      </c>
      <c r="B360" s="1">
        <v>202103</v>
      </c>
      <c r="C360" s="2">
        <v>5</v>
      </c>
      <c r="D360" s="1" t="str">
        <f>INDEX(Codigos_Bens[Segmentação],MATCH(Base[[#This Row],[Código_do_segmento]],Codigos_Bens[Cod.],0))</f>
        <v>Outros bens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s="4">
        <v>0</v>
      </c>
      <c r="X360" s="4">
        <v>0</v>
      </c>
    </row>
    <row r="361" spans="1:24" x14ac:dyDescent="0.25">
      <c r="A361" s="1" t="s">
        <v>90</v>
      </c>
      <c r="B361" s="1">
        <v>202103</v>
      </c>
      <c r="C361" s="2">
        <v>6</v>
      </c>
      <c r="D361" s="1" t="str">
        <f>INDEX(Codigos_Bens[Segmentação],MATCH(Base[[#This Row],[Código_do_segmento]],Codigos_Bens[Cod.],0))</f>
        <v>Serviços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s="4">
        <v>0</v>
      </c>
      <c r="X361" s="4">
        <v>0</v>
      </c>
    </row>
    <row r="362" spans="1:24" x14ac:dyDescent="0.25">
      <c r="A362" s="1" t="s">
        <v>91</v>
      </c>
      <c r="B362" s="1">
        <v>202103</v>
      </c>
      <c r="C362" s="2">
        <v>1</v>
      </c>
      <c r="D362" s="1" t="str">
        <f>INDEX(Codigos_Bens[Segmentação],MATCH(Base[[#This Row],[Código_do_segmento]],Codigos_Bens[Cod.],0))</f>
        <v>Imóveis</v>
      </c>
      <c r="E362">
        <v>21.55884</v>
      </c>
      <c r="F362">
        <v>6</v>
      </c>
      <c r="G362">
        <v>1</v>
      </c>
      <c r="H362">
        <v>0</v>
      </c>
      <c r="I362">
        <v>123</v>
      </c>
      <c r="J362">
        <v>1721</v>
      </c>
      <c r="K362">
        <v>441</v>
      </c>
      <c r="L362">
        <v>876</v>
      </c>
      <c r="M362">
        <v>5</v>
      </c>
      <c r="N362">
        <v>1044</v>
      </c>
      <c r="O362">
        <v>89</v>
      </c>
      <c r="P362">
        <v>184</v>
      </c>
      <c r="Q362">
        <v>3103</v>
      </c>
      <c r="R362">
        <v>114</v>
      </c>
      <c r="S362">
        <v>77</v>
      </c>
      <c r="T362">
        <v>1317</v>
      </c>
      <c r="U362">
        <v>3103</v>
      </c>
      <c r="V362">
        <v>4420</v>
      </c>
      <c r="W362" s="4">
        <v>0.70203619909502257</v>
      </c>
      <c r="X362" s="4">
        <v>0.29796380090497737</v>
      </c>
    </row>
    <row r="363" spans="1:24" x14ac:dyDescent="0.25">
      <c r="A363" s="1" t="s">
        <v>91</v>
      </c>
      <c r="B363" s="1">
        <v>202103</v>
      </c>
      <c r="C363" s="2">
        <v>2</v>
      </c>
      <c r="D363" s="1" t="str">
        <f>INDEX(Codigos_Bens[Segmentação],MATCH(Base[[#This Row],[Código_do_segmento]],Codigos_Bens[Cod.],0))</f>
        <v>Veículos Pesados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s="4">
        <v>0</v>
      </c>
      <c r="X363" s="4">
        <v>0</v>
      </c>
    </row>
    <row r="364" spans="1:24" x14ac:dyDescent="0.25">
      <c r="A364" s="1" t="s">
        <v>91</v>
      </c>
      <c r="B364" s="1">
        <v>202103</v>
      </c>
      <c r="C364" s="2">
        <v>3</v>
      </c>
      <c r="D364" s="1" t="str">
        <f>INDEX(Codigos_Bens[Segmentação],MATCH(Base[[#This Row],[Código_do_segmento]],Codigos_Bens[Cod.],0))</f>
        <v>Veículos Leves</v>
      </c>
      <c r="E364">
        <v>18.913129999999999</v>
      </c>
      <c r="F364">
        <v>7</v>
      </c>
      <c r="G364">
        <v>0</v>
      </c>
      <c r="H364">
        <v>0</v>
      </c>
      <c r="I364">
        <v>44</v>
      </c>
      <c r="J364">
        <v>1868</v>
      </c>
      <c r="K364">
        <v>1538</v>
      </c>
      <c r="L364">
        <v>914</v>
      </c>
      <c r="M364">
        <v>1</v>
      </c>
      <c r="N364">
        <v>1981</v>
      </c>
      <c r="O364">
        <v>190</v>
      </c>
      <c r="P364">
        <v>281</v>
      </c>
      <c r="Q364">
        <v>2996</v>
      </c>
      <c r="R364">
        <v>794</v>
      </c>
      <c r="S364">
        <v>60</v>
      </c>
      <c r="T364">
        <v>2452</v>
      </c>
      <c r="U364">
        <v>2996</v>
      </c>
      <c r="V364">
        <v>5448</v>
      </c>
      <c r="W364" s="4">
        <v>0.54992657856093985</v>
      </c>
      <c r="X364" s="4">
        <v>0.45007342143906021</v>
      </c>
    </row>
    <row r="365" spans="1:24" x14ac:dyDescent="0.25">
      <c r="A365" s="1" t="s">
        <v>91</v>
      </c>
      <c r="B365" s="1">
        <v>202103</v>
      </c>
      <c r="C365" s="2">
        <v>4</v>
      </c>
      <c r="D365" s="1" t="str">
        <f>INDEX(Codigos_Bens[Segmentação],MATCH(Base[[#This Row],[Código_do_segmento]],Codigos_Bens[Cod.],0))</f>
        <v>Motocicletas</v>
      </c>
      <c r="E365">
        <v>18.780069999999998</v>
      </c>
      <c r="F365">
        <v>3</v>
      </c>
      <c r="G365">
        <v>0</v>
      </c>
      <c r="H365">
        <v>0</v>
      </c>
      <c r="I365">
        <v>0</v>
      </c>
      <c r="J365">
        <v>751</v>
      </c>
      <c r="K365">
        <v>952</v>
      </c>
      <c r="L365">
        <v>212</v>
      </c>
      <c r="M365">
        <v>0</v>
      </c>
      <c r="N365">
        <v>998</v>
      </c>
      <c r="O365">
        <v>89</v>
      </c>
      <c r="P365">
        <v>77</v>
      </c>
      <c r="Q365">
        <v>1616</v>
      </c>
      <c r="R365">
        <v>640</v>
      </c>
      <c r="S365">
        <v>50</v>
      </c>
      <c r="T365">
        <v>1164</v>
      </c>
      <c r="U365">
        <v>1616</v>
      </c>
      <c r="V365">
        <v>2780</v>
      </c>
      <c r="W365" s="4">
        <v>0.58129496402877701</v>
      </c>
      <c r="X365" s="4">
        <v>0.41870503597122299</v>
      </c>
    </row>
    <row r="366" spans="1:24" x14ac:dyDescent="0.25">
      <c r="A366" s="1" t="s">
        <v>91</v>
      </c>
      <c r="B366" s="1">
        <v>202103</v>
      </c>
      <c r="C366" s="2">
        <v>5</v>
      </c>
      <c r="D366" s="1" t="str">
        <f>INDEX(Codigos_Bens[Segmentação],MATCH(Base[[#This Row],[Código_do_segmento]],Codigos_Bens[Cod.],0))</f>
        <v>Outros bens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s="4">
        <v>0</v>
      </c>
      <c r="X366" s="4">
        <v>0</v>
      </c>
    </row>
    <row r="367" spans="1:24" x14ac:dyDescent="0.25">
      <c r="A367" s="1" t="s">
        <v>91</v>
      </c>
      <c r="B367" s="1">
        <v>202103</v>
      </c>
      <c r="C367" s="2">
        <v>6</v>
      </c>
      <c r="D367" s="1" t="str">
        <f>INDEX(Codigos_Bens[Segmentação],MATCH(Base[[#This Row],[Código_do_segmento]],Codigos_Bens[Cod.],0))</f>
        <v>Serviços</v>
      </c>
      <c r="E367">
        <v>20</v>
      </c>
      <c r="F367">
        <v>4</v>
      </c>
      <c r="G367">
        <v>0</v>
      </c>
      <c r="H367">
        <v>0</v>
      </c>
      <c r="I367">
        <v>36</v>
      </c>
      <c r="J367">
        <v>694</v>
      </c>
      <c r="K367">
        <v>632</v>
      </c>
      <c r="L367">
        <v>610</v>
      </c>
      <c r="M367">
        <v>0</v>
      </c>
      <c r="N367">
        <v>954</v>
      </c>
      <c r="O367">
        <v>110</v>
      </c>
      <c r="P367">
        <v>178</v>
      </c>
      <c r="Q367">
        <v>788</v>
      </c>
      <c r="R367">
        <v>224</v>
      </c>
      <c r="S367">
        <v>13</v>
      </c>
      <c r="T367">
        <v>1242</v>
      </c>
      <c r="U367">
        <v>788</v>
      </c>
      <c r="V367">
        <v>2030</v>
      </c>
      <c r="W367" s="4">
        <v>0.38817733990147785</v>
      </c>
      <c r="X367" s="4">
        <v>0.61182266009852215</v>
      </c>
    </row>
    <row r="368" spans="1:24" x14ac:dyDescent="0.25">
      <c r="A368" s="1" t="s">
        <v>92</v>
      </c>
      <c r="B368" s="1">
        <v>202103</v>
      </c>
      <c r="C368" s="2">
        <v>1</v>
      </c>
      <c r="D368" s="1" t="str">
        <f>INDEX(Codigos_Bens[Segmentação],MATCH(Base[[#This Row],[Código_do_segmento]],Codigos_Bens[Cod.],0))</f>
        <v>Imóveis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s="4">
        <v>0</v>
      </c>
      <c r="X368" s="4">
        <v>0</v>
      </c>
    </row>
    <row r="369" spans="1:24" x14ac:dyDescent="0.25">
      <c r="A369" s="1" t="s">
        <v>92</v>
      </c>
      <c r="B369" s="1">
        <v>202103</v>
      </c>
      <c r="C369" s="2">
        <v>2</v>
      </c>
      <c r="D369" s="1" t="str">
        <f>INDEX(Codigos_Bens[Segmentação],MATCH(Base[[#This Row],[Código_do_segmento]],Codigos_Bens[Cod.],0))</f>
        <v>Veículos Pesados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 s="4">
        <v>0</v>
      </c>
      <c r="X369" s="4">
        <v>0</v>
      </c>
    </row>
    <row r="370" spans="1:24" x14ac:dyDescent="0.25">
      <c r="A370" s="1" t="s">
        <v>92</v>
      </c>
      <c r="B370" s="1">
        <v>202103</v>
      </c>
      <c r="C370" s="2">
        <v>3</v>
      </c>
      <c r="D370" s="1" t="str">
        <f>INDEX(Codigos_Bens[Segmentação],MATCH(Base[[#This Row],[Código_do_segmento]],Codigos_Bens[Cod.],0))</f>
        <v>Veículos Leves</v>
      </c>
      <c r="E370">
        <v>18.773849999999999</v>
      </c>
      <c r="F370">
        <v>264</v>
      </c>
      <c r="G370">
        <v>3</v>
      </c>
      <c r="H370">
        <v>4</v>
      </c>
      <c r="I370">
        <v>5168</v>
      </c>
      <c r="J370">
        <v>38345</v>
      </c>
      <c r="K370">
        <v>46356</v>
      </c>
      <c r="L370">
        <v>59423</v>
      </c>
      <c r="M370">
        <v>947</v>
      </c>
      <c r="N370">
        <v>87138</v>
      </c>
      <c r="O370">
        <v>4714</v>
      </c>
      <c r="P370">
        <v>13927</v>
      </c>
      <c r="Q370">
        <v>194503</v>
      </c>
      <c r="R370">
        <v>11918</v>
      </c>
      <c r="S370">
        <v>5903</v>
      </c>
      <c r="T370">
        <v>105779</v>
      </c>
      <c r="U370">
        <v>194503</v>
      </c>
      <c r="V370">
        <v>300282</v>
      </c>
      <c r="W370" s="4">
        <v>0.6477344629381715</v>
      </c>
      <c r="X370" s="4">
        <v>0.35226553706182856</v>
      </c>
    </row>
    <row r="371" spans="1:24" x14ac:dyDescent="0.25">
      <c r="A371" s="1" t="s">
        <v>92</v>
      </c>
      <c r="B371" s="1">
        <v>202103</v>
      </c>
      <c r="C371" s="2">
        <v>4</v>
      </c>
      <c r="D371" s="1" t="str">
        <f>INDEX(Codigos_Bens[Segmentação],MATCH(Base[[#This Row],[Código_do_segmento]],Codigos_Bens[Cod.],0))</f>
        <v>Motocicletas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s="4">
        <v>0</v>
      </c>
      <c r="X371" s="4">
        <v>0</v>
      </c>
    </row>
    <row r="372" spans="1:24" x14ac:dyDescent="0.25">
      <c r="A372" s="1" t="s">
        <v>92</v>
      </c>
      <c r="B372" s="1">
        <v>202103</v>
      </c>
      <c r="C372" s="2">
        <v>5</v>
      </c>
      <c r="D372" s="1" t="str">
        <f>INDEX(Codigos_Bens[Segmentação],MATCH(Base[[#This Row],[Código_do_segmento]],Codigos_Bens[Cod.],0))</f>
        <v>Outros bens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s="4">
        <v>0</v>
      </c>
      <c r="X372" s="4">
        <v>0</v>
      </c>
    </row>
    <row r="373" spans="1:24" x14ac:dyDescent="0.25">
      <c r="A373" s="1" t="s">
        <v>92</v>
      </c>
      <c r="B373" s="1">
        <v>202103</v>
      </c>
      <c r="C373" s="2">
        <v>6</v>
      </c>
      <c r="D373" s="1" t="str">
        <f>INDEX(Codigos_Bens[Segmentação],MATCH(Base[[#This Row],[Código_do_segmento]],Codigos_Bens[Cod.],0))</f>
        <v>Serviços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 s="4">
        <v>0</v>
      </c>
      <c r="X373" s="4">
        <v>0</v>
      </c>
    </row>
    <row r="374" spans="1:24" x14ac:dyDescent="0.25">
      <c r="A374" s="1" t="s">
        <v>93</v>
      </c>
      <c r="B374" s="1">
        <v>202103</v>
      </c>
      <c r="C374" s="2">
        <v>1</v>
      </c>
      <c r="D374" s="1" t="str">
        <f>INDEX(Codigos_Bens[Segmentação],MATCH(Base[[#This Row],[Código_do_segmento]],Codigos_Bens[Cod.],0))</f>
        <v>Imóveis</v>
      </c>
      <c r="E374">
        <v>19.036090000000002</v>
      </c>
      <c r="F374">
        <v>6</v>
      </c>
      <c r="G374">
        <v>0</v>
      </c>
      <c r="H374">
        <v>0</v>
      </c>
      <c r="I374">
        <v>177</v>
      </c>
      <c r="J374">
        <v>63</v>
      </c>
      <c r="K374">
        <v>870</v>
      </c>
      <c r="L374">
        <v>1926</v>
      </c>
      <c r="M374">
        <v>9</v>
      </c>
      <c r="N374">
        <v>2555</v>
      </c>
      <c r="O374">
        <v>120</v>
      </c>
      <c r="P374">
        <v>121</v>
      </c>
      <c r="Q374">
        <v>5672</v>
      </c>
      <c r="R374">
        <v>256</v>
      </c>
      <c r="S374">
        <v>158</v>
      </c>
      <c r="T374">
        <v>2796</v>
      </c>
      <c r="U374">
        <v>5672</v>
      </c>
      <c r="V374">
        <v>8468</v>
      </c>
      <c r="W374" s="4">
        <v>0.66981577704298534</v>
      </c>
      <c r="X374" s="4">
        <v>0.33018422295701466</v>
      </c>
    </row>
    <row r="375" spans="1:24" x14ac:dyDescent="0.25">
      <c r="A375" s="1" t="s">
        <v>93</v>
      </c>
      <c r="B375" s="1">
        <v>202103</v>
      </c>
      <c r="C375" s="2">
        <v>2</v>
      </c>
      <c r="D375" s="1" t="str">
        <f>INDEX(Codigos_Bens[Segmentação],MATCH(Base[[#This Row],[Código_do_segmento]],Codigos_Bens[Cod.],0))</f>
        <v>Veículos Pesados</v>
      </c>
      <c r="E375">
        <v>21.778770000000002</v>
      </c>
      <c r="F375">
        <v>1</v>
      </c>
      <c r="G375">
        <v>0</v>
      </c>
      <c r="H375">
        <v>0</v>
      </c>
      <c r="I375">
        <v>97</v>
      </c>
      <c r="J375">
        <v>35</v>
      </c>
      <c r="K375">
        <v>133</v>
      </c>
      <c r="L375">
        <v>774</v>
      </c>
      <c r="M375">
        <v>4</v>
      </c>
      <c r="N375">
        <v>769</v>
      </c>
      <c r="O375">
        <v>23</v>
      </c>
      <c r="P375">
        <v>115</v>
      </c>
      <c r="Q375">
        <v>4388</v>
      </c>
      <c r="R375">
        <v>12</v>
      </c>
      <c r="S375">
        <v>34</v>
      </c>
      <c r="T375">
        <v>907</v>
      </c>
      <c r="U375">
        <v>4388</v>
      </c>
      <c r="V375">
        <v>5295</v>
      </c>
      <c r="W375" s="4">
        <v>0.82870632672332389</v>
      </c>
      <c r="X375" s="4">
        <v>0.17129367327667611</v>
      </c>
    </row>
    <row r="376" spans="1:24" x14ac:dyDescent="0.25">
      <c r="A376" s="1" t="s">
        <v>93</v>
      </c>
      <c r="B376" s="1">
        <v>202103</v>
      </c>
      <c r="C376" s="2">
        <v>3</v>
      </c>
      <c r="D376" s="1" t="str">
        <f>INDEX(Codigos_Bens[Segmentação],MATCH(Base[[#This Row],[Código_do_segmento]],Codigos_Bens[Cod.],0))</f>
        <v>Veículos Leves</v>
      </c>
      <c r="E376">
        <v>18.281659999999999</v>
      </c>
      <c r="F376">
        <v>17</v>
      </c>
      <c r="G376">
        <v>0</v>
      </c>
      <c r="H376">
        <v>0</v>
      </c>
      <c r="I376">
        <v>439</v>
      </c>
      <c r="J376">
        <v>760</v>
      </c>
      <c r="K376">
        <v>2269</v>
      </c>
      <c r="L376">
        <v>4639</v>
      </c>
      <c r="M376">
        <v>55</v>
      </c>
      <c r="N376">
        <v>5416</v>
      </c>
      <c r="O376">
        <v>314</v>
      </c>
      <c r="P376">
        <v>1178</v>
      </c>
      <c r="Q376">
        <v>5785</v>
      </c>
      <c r="R376">
        <v>703</v>
      </c>
      <c r="S376">
        <v>423</v>
      </c>
      <c r="T376">
        <v>6908</v>
      </c>
      <c r="U376">
        <v>5785</v>
      </c>
      <c r="V376">
        <v>12693</v>
      </c>
      <c r="W376" s="4">
        <v>0.45576301898684313</v>
      </c>
      <c r="X376" s="4">
        <v>0.54423698101315687</v>
      </c>
    </row>
    <row r="377" spans="1:24" x14ac:dyDescent="0.25">
      <c r="A377" s="1" t="s">
        <v>93</v>
      </c>
      <c r="B377" s="1">
        <v>202103</v>
      </c>
      <c r="C377" s="2">
        <v>4</v>
      </c>
      <c r="D377" s="1" t="str">
        <f>INDEX(Codigos_Bens[Segmentação],MATCH(Base[[#This Row],[Código_do_segmento]],Codigos_Bens[Cod.],0))</f>
        <v>Motocicletas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s="4">
        <v>0</v>
      </c>
      <c r="X377" s="4">
        <v>0</v>
      </c>
    </row>
    <row r="378" spans="1:24" x14ac:dyDescent="0.25">
      <c r="A378" s="1" t="s">
        <v>93</v>
      </c>
      <c r="B378" s="1">
        <v>202103</v>
      </c>
      <c r="C378" s="2">
        <v>5</v>
      </c>
      <c r="D378" s="1" t="str">
        <f>INDEX(Codigos_Bens[Segmentação],MATCH(Base[[#This Row],[Código_do_segmento]],Codigos_Bens[Cod.],0))</f>
        <v>Outros bens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s="4">
        <v>0</v>
      </c>
      <c r="X378" s="4">
        <v>0</v>
      </c>
    </row>
    <row r="379" spans="1:24" x14ac:dyDescent="0.25">
      <c r="A379" s="1" t="s">
        <v>93</v>
      </c>
      <c r="B379" s="1">
        <v>202103</v>
      </c>
      <c r="C379" s="2">
        <v>6</v>
      </c>
      <c r="D379" s="1" t="str">
        <f>INDEX(Codigos_Bens[Segmentação],MATCH(Base[[#This Row],[Código_do_segmento]],Codigos_Bens[Cod.],0))</f>
        <v>Serviços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s="4">
        <v>0</v>
      </c>
      <c r="X379" s="4">
        <v>0</v>
      </c>
    </row>
    <row r="380" spans="1:24" x14ac:dyDescent="0.25">
      <c r="A380" s="1" t="s">
        <v>94</v>
      </c>
      <c r="B380" s="1">
        <v>202103</v>
      </c>
      <c r="C380" s="2">
        <v>1</v>
      </c>
      <c r="D380" s="1" t="str">
        <f>INDEX(Codigos_Bens[Segmentação],MATCH(Base[[#This Row],[Código_do_segmento]],Codigos_Bens[Cod.],0))</f>
        <v>Imóveis</v>
      </c>
      <c r="E380">
        <v>21.702439999999999</v>
      </c>
      <c r="F380">
        <v>1</v>
      </c>
      <c r="G380">
        <v>0</v>
      </c>
      <c r="H380">
        <v>0</v>
      </c>
      <c r="I380">
        <v>5</v>
      </c>
      <c r="J380">
        <v>445</v>
      </c>
      <c r="K380">
        <v>238</v>
      </c>
      <c r="L380">
        <v>172</v>
      </c>
      <c r="M380">
        <v>1</v>
      </c>
      <c r="N380">
        <v>328</v>
      </c>
      <c r="O380">
        <v>31</v>
      </c>
      <c r="P380">
        <v>51</v>
      </c>
      <c r="Q380">
        <v>2828</v>
      </c>
      <c r="R380">
        <v>144</v>
      </c>
      <c r="S380">
        <v>28</v>
      </c>
      <c r="T380">
        <v>410</v>
      </c>
      <c r="U380">
        <v>2828</v>
      </c>
      <c r="V380">
        <v>3238</v>
      </c>
      <c r="W380" s="4">
        <v>0.8733786287831995</v>
      </c>
      <c r="X380" s="4">
        <v>0.1266213712168005</v>
      </c>
    </row>
    <row r="381" spans="1:24" x14ac:dyDescent="0.25">
      <c r="A381" s="1" t="s">
        <v>94</v>
      </c>
      <c r="B381" s="1">
        <v>202103</v>
      </c>
      <c r="C381" s="2">
        <v>2</v>
      </c>
      <c r="D381" s="1" t="str">
        <f>INDEX(Codigos_Bens[Segmentação],MATCH(Base[[#This Row],[Código_do_segmento]],Codigos_Bens[Cod.],0))</f>
        <v>Veículos Pesados</v>
      </c>
      <c r="E381">
        <v>20.786460000000002</v>
      </c>
      <c r="F381">
        <v>1</v>
      </c>
      <c r="G381">
        <v>0</v>
      </c>
      <c r="H381">
        <v>0</v>
      </c>
      <c r="I381">
        <v>2</v>
      </c>
      <c r="J381">
        <v>194</v>
      </c>
      <c r="K381">
        <v>70</v>
      </c>
      <c r="L381">
        <v>26</v>
      </c>
      <c r="M381">
        <v>1</v>
      </c>
      <c r="N381">
        <v>72</v>
      </c>
      <c r="O381">
        <v>16</v>
      </c>
      <c r="P381">
        <v>8</v>
      </c>
      <c r="Q381">
        <v>722</v>
      </c>
      <c r="R381">
        <v>30</v>
      </c>
      <c r="S381">
        <v>3</v>
      </c>
      <c r="T381">
        <v>96</v>
      </c>
      <c r="U381">
        <v>722</v>
      </c>
      <c r="V381">
        <v>818</v>
      </c>
      <c r="W381" s="4">
        <v>0.88264058679706603</v>
      </c>
      <c r="X381" s="4">
        <v>0.11735941320293398</v>
      </c>
    </row>
    <row r="382" spans="1:24" x14ac:dyDescent="0.25">
      <c r="A382" s="1" t="s">
        <v>94</v>
      </c>
      <c r="B382" s="1">
        <v>202103</v>
      </c>
      <c r="C382" s="2">
        <v>3</v>
      </c>
      <c r="D382" s="1" t="str">
        <f>INDEX(Codigos_Bens[Segmentação],MATCH(Base[[#This Row],[Código_do_segmento]],Codigos_Bens[Cod.],0))</f>
        <v>Veículos Leves</v>
      </c>
      <c r="E382">
        <v>18.005759999999999</v>
      </c>
      <c r="F382">
        <v>7</v>
      </c>
      <c r="G382">
        <v>0</v>
      </c>
      <c r="H382">
        <v>0</v>
      </c>
      <c r="I382">
        <v>26</v>
      </c>
      <c r="J382">
        <v>699</v>
      </c>
      <c r="K382">
        <v>1162</v>
      </c>
      <c r="L382">
        <v>547</v>
      </c>
      <c r="M382">
        <v>13</v>
      </c>
      <c r="N382">
        <v>1425</v>
      </c>
      <c r="O382">
        <v>191</v>
      </c>
      <c r="P382">
        <v>93</v>
      </c>
      <c r="Q382">
        <v>3520</v>
      </c>
      <c r="R382">
        <v>637</v>
      </c>
      <c r="S382">
        <v>61</v>
      </c>
      <c r="T382">
        <v>1709</v>
      </c>
      <c r="U382">
        <v>3520</v>
      </c>
      <c r="V382">
        <v>5229</v>
      </c>
      <c r="W382" s="4">
        <v>0.67316886593995029</v>
      </c>
      <c r="X382" s="4">
        <v>0.32683113406004971</v>
      </c>
    </row>
    <row r="383" spans="1:24" x14ac:dyDescent="0.25">
      <c r="A383" s="1" t="s">
        <v>94</v>
      </c>
      <c r="B383" s="1">
        <v>202103</v>
      </c>
      <c r="C383" s="2">
        <v>4</v>
      </c>
      <c r="D383" s="1" t="str">
        <f>INDEX(Codigos_Bens[Segmentação],MATCH(Base[[#This Row],[Código_do_segmento]],Codigos_Bens[Cod.],0))</f>
        <v>Motocicletas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 s="4">
        <v>0</v>
      </c>
      <c r="X383" s="4">
        <v>0</v>
      </c>
    </row>
    <row r="384" spans="1:24" x14ac:dyDescent="0.25">
      <c r="A384" s="1" t="s">
        <v>94</v>
      </c>
      <c r="B384" s="1">
        <v>202103</v>
      </c>
      <c r="C384" s="2">
        <v>5</v>
      </c>
      <c r="D384" s="1" t="str">
        <f>INDEX(Codigos_Bens[Segmentação],MATCH(Base[[#This Row],[Código_do_segmento]],Codigos_Bens[Cod.],0))</f>
        <v>Outros bens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s="4">
        <v>0</v>
      </c>
      <c r="X384" s="4">
        <v>0</v>
      </c>
    </row>
    <row r="385" spans="1:24" x14ac:dyDescent="0.25">
      <c r="A385" s="1" t="s">
        <v>94</v>
      </c>
      <c r="B385" s="1">
        <v>202103</v>
      </c>
      <c r="C385" s="2">
        <v>6</v>
      </c>
      <c r="D385" s="1" t="str">
        <f>INDEX(Codigos_Bens[Segmentação],MATCH(Base[[#This Row],[Código_do_segmento]],Codigos_Bens[Cod.],0))</f>
        <v>Serviços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s="4">
        <v>0</v>
      </c>
      <c r="X385" s="4">
        <v>0</v>
      </c>
    </row>
    <row r="386" spans="1:24" x14ac:dyDescent="0.25">
      <c r="A386" s="1" t="s">
        <v>95</v>
      </c>
      <c r="B386" s="1">
        <v>202103</v>
      </c>
      <c r="C386" s="2">
        <v>1</v>
      </c>
      <c r="D386" s="1" t="str">
        <f>INDEX(Codigos_Bens[Segmentação],MATCH(Base[[#This Row],[Código_do_segmento]],Codigos_Bens[Cod.],0))</f>
        <v>Imóveis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s="4">
        <v>0</v>
      </c>
      <c r="X386" s="4">
        <v>0</v>
      </c>
    </row>
    <row r="387" spans="1:24" x14ac:dyDescent="0.25">
      <c r="A387" s="1" t="s">
        <v>95</v>
      </c>
      <c r="B387" s="1">
        <v>202103</v>
      </c>
      <c r="C387" s="2">
        <v>2</v>
      </c>
      <c r="D387" s="1" t="str">
        <f>INDEX(Codigos_Bens[Segmentação],MATCH(Base[[#This Row],[Código_do_segmento]],Codigos_Bens[Cod.],0))</f>
        <v>Veículos Pesados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s="4">
        <v>0</v>
      </c>
      <c r="X387" s="4">
        <v>0</v>
      </c>
    </row>
    <row r="388" spans="1:24" x14ac:dyDescent="0.25">
      <c r="A388" s="1" t="s">
        <v>95</v>
      </c>
      <c r="B388" s="1">
        <v>202103</v>
      </c>
      <c r="C388" s="2">
        <v>3</v>
      </c>
      <c r="D388" s="1" t="str">
        <f>INDEX(Codigos_Bens[Segmentação],MATCH(Base[[#This Row],[Código_do_segmento]],Codigos_Bens[Cod.],0))</f>
        <v>Veículos Leves</v>
      </c>
      <c r="E388">
        <v>16.98</v>
      </c>
      <c r="F388">
        <v>9</v>
      </c>
      <c r="G388">
        <v>0</v>
      </c>
      <c r="H388">
        <v>0</v>
      </c>
      <c r="I388">
        <v>8</v>
      </c>
      <c r="J388">
        <v>747</v>
      </c>
      <c r="K388">
        <v>1778</v>
      </c>
      <c r="L388">
        <v>763</v>
      </c>
      <c r="M388">
        <v>30</v>
      </c>
      <c r="N388">
        <v>2366</v>
      </c>
      <c r="O388">
        <v>86</v>
      </c>
      <c r="P388">
        <v>89</v>
      </c>
      <c r="Q388">
        <v>1791</v>
      </c>
      <c r="R388">
        <v>967</v>
      </c>
      <c r="S388">
        <v>154</v>
      </c>
      <c r="T388">
        <v>2541</v>
      </c>
      <c r="U388">
        <v>1791</v>
      </c>
      <c r="V388">
        <v>4332</v>
      </c>
      <c r="W388" s="4">
        <v>0.41343490304709141</v>
      </c>
      <c r="X388" s="4">
        <v>0.58656509695290859</v>
      </c>
    </row>
    <row r="389" spans="1:24" x14ac:dyDescent="0.25">
      <c r="A389" s="1" t="s">
        <v>95</v>
      </c>
      <c r="B389" s="1">
        <v>202103</v>
      </c>
      <c r="C389" s="2">
        <v>4</v>
      </c>
      <c r="D389" s="1" t="str">
        <f>INDEX(Codigos_Bens[Segmentação],MATCH(Base[[#This Row],[Código_do_segmento]],Codigos_Bens[Cod.],0))</f>
        <v>Motocicletas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s="4">
        <v>0</v>
      </c>
      <c r="X389" s="4">
        <v>0</v>
      </c>
    </row>
    <row r="390" spans="1:24" x14ac:dyDescent="0.25">
      <c r="A390" s="1" t="s">
        <v>95</v>
      </c>
      <c r="B390" s="1">
        <v>202103</v>
      </c>
      <c r="C390" s="2">
        <v>5</v>
      </c>
      <c r="D390" s="1" t="str">
        <f>INDEX(Codigos_Bens[Segmentação],MATCH(Base[[#This Row],[Código_do_segmento]],Codigos_Bens[Cod.],0))</f>
        <v>Outros bens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 s="4">
        <v>0</v>
      </c>
      <c r="X390" s="4">
        <v>0</v>
      </c>
    </row>
    <row r="391" spans="1:24" x14ac:dyDescent="0.25">
      <c r="A391" s="1" t="s">
        <v>95</v>
      </c>
      <c r="B391" s="1">
        <v>202103</v>
      </c>
      <c r="C391" s="2">
        <v>6</v>
      </c>
      <c r="D391" s="1" t="str">
        <f>INDEX(Codigos_Bens[Segmentação],MATCH(Base[[#This Row],[Código_do_segmento]],Codigos_Bens[Cod.],0))</f>
        <v>Serviços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s="4">
        <v>0</v>
      </c>
      <c r="X391" s="4">
        <v>0</v>
      </c>
    </row>
    <row r="392" spans="1:24" x14ac:dyDescent="0.25">
      <c r="A392" s="1" t="s">
        <v>32</v>
      </c>
      <c r="B392" s="1">
        <v>202103</v>
      </c>
      <c r="C392" s="2">
        <v>1</v>
      </c>
      <c r="D392" s="1" t="str">
        <f>INDEX(Codigos_Bens[Segmentação],MATCH(Base[[#This Row],[Código_do_segmento]],Codigos_Bens[Cod.],0))</f>
        <v>Imóveis</v>
      </c>
      <c r="E392">
        <v>22.014610000000001</v>
      </c>
      <c r="F392">
        <v>2</v>
      </c>
      <c r="G392">
        <v>0</v>
      </c>
      <c r="H392">
        <v>0</v>
      </c>
      <c r="I392">
        <v>0</v>
      </c>
      <c r="J392">
        <v>358</v>
      </c>
      <c r="K392">
        <v>312</v>
      </c>
      <c r="L392">
        <v>30</v>
      </c>
      <c r="M392">
        <v>1</v>
      </c>
      <c r="N392">
        <v>320</v>
      </c>
      <c r="O392">
        <v>20</v>
      </c>
      <c r="P392">
        <v>2</v>
      </c>
      <c r="Q392">
        <v>1675</v>
      </c>
      <c r="R392">
        <v>189</v>
      </c>
      <c r="S392">
        <v>30</v>
      </c>
      <c r="T392">
        <v>342</v>
      </c>
      <c r="U392">
        <v>1675</v>
      </c>
      <c r="V392">
        <v>2017</v>
      </c>
      <c r="W392" s="4">
        <v>0.83044124938026775</v>
      </c>
      <c r="X392" s="4">
        <v>0.16955875061973227</v>
      </c>
    </row>
    <row r="393" spans="1:24" x14ac:dyDescent="0.25">
      <c r="A393" s="1" t="s">
        <v>32</v>
      </c>
      <c r="B393" s="1">
        <v>202103</v>
      </c>
      <c r="C393" s="2">
        <v>2</v>
      </c>
      <c r="D393" s="1" t="str">
        <f>INDEX(Codigos_Bens[Segmentação],MATCH(Base[[#This Row],[Código_do_segmento]],Codigos_Bens[Cod.],0))</f>
        <v>Veículos Pesados</v>
      </c>
      <c r="E393">
        <v>17.5</v>
      </c>
      <c r="F393">
        <v>1</v>
      </c>
      <c r="G393">
        <v>0</v>
      </c>
      <c r="H393">
        <v>0</v>
      </c>
      <c r="I393">
        <v>0</v>
      </c>
      <c r="J393">
        <v>224</v>
      </c>
      <c r="K393">
        <v>14</v>
      </c>
      <c r="L393">
        <v>2</v>
      </c>
      <c r="M393">
        <v>0</v>
      </c>
      <c r="N393">
        <v>12</v>
      </c>
      <c r="O393">
        <v>4</v>
      </c>
      <c r="P393">
        <v>0</v>
      </c>
      <c r="Q393">
        <v>247</v>
      </c>
      <c r="R393">
        <v>1</v>
      </c>
      <c r="S393">
        <v>2</v>
      </c>
      <c r="T393">
        <v>16</v>
      </c>
      <c r="U393">
        <v>247</v>
      </c>
      <c r="V393">
        <v>263</v>
      </c>
      <c r="W393" s="4">
        <v>0.93916349809885935</v>
      </c>
      <c r="X393" s="4">
        <v>6.0836501901140684E-2</v>
      </c>
    </row>
    <row r="394" spans="1:24" x14ac:dyDescent="0.25">
      <c r="A394" s="1" t="s">
        <v>32</v>
      </c>
      <c r="B394" s="1">
        <v>202103</v>
      </c>
      <c r="C394" s="2">
        <v>3</v>
      </c>
      <c r="D394" s="1" t="str">
        <f>INDEX(Codigos_Bens[Segmentação],MATCH(Base[[#This Row],[Código_do_segmento]],Codigos_Bens[Cod.],0))</f>
        <v>Veículos Leves</v>
      </c>
      <c r="E394">
        <v>13.48732</v>
      </c>
      <c r="F394">
        <v>6</v>
      </c>
      <c r="G394">
        <v>0</v>
      </c>
      <c r="H394">
        <v>0</v>
      </c>
      <c r="I394">
        <v>0</v>
      </c>
      <c r="J394">
        <v>190</v>
      </c>
      <c r="K394">
        <v>632</v>
      </c>
      <c r="L394">
        <v>78</v>
      </c>
      <c r="M394">
        <v>4</v>
      </c>
      <c r="N394">
        <v>524</v>
      </c>
      <c r="O394">
        <v>186</v>
      </c>
      <c r="P394">
        <v>0</v>
      </c>
      <c r="Q394">
        <v>770</v>
      </c>
      <c r="R394">
        <v>323</v>
      </c>
      <c r="S394">
        <v>35</v>
      </c>
      <c r="T394">
        <v>710</v>
      </c>
      <c r="U394">
        <v>770</v>
      </c>
      <c r="V394">
        <v>1480</v>
      </c>
      <c r="W394" s="4">
        <v>0.52027027027027029</v>
      </c>
      <c r="X394" s="4">
        <v>0.47972972972972971</v>
      </c>
    </row>
    <row r="395" spans="1:24" x14ac:dyDescent="0.25">
      <c r="A395" s="1" t="s">
        <v>32</v>
      </c>
      <c r="B395" s="1">
        <v>202103</v>
      </c>
      <c r="C395" s="2">
        <v>4</v>
      </c>
      <c r="D395" s="1" t="str">
        <f>INDEX(Codigos_Bens[Segmentação],MATCH(Base[[#This Row],[Código_do_segmento]],Codigos_Bens[Cod.],0))</f>
        <v>Motocicletas</v>
      </c>
      <c r="E395">
        <v>15</v>
      </c>
      <c r="F395">
        <v>2</v>
      </c>
      <c r="G395">
        <v>0</v>
      </c>
      <c r="H395">
        <v>0</v>
      </c>
      <c r="I395">
        <v>0</v>
      </c>
      <c r="J395">
        <v>62</v>
      </c>
      <c r="K395">
        <v>158</v>
      </c>
      <c r="L395">
        <v>0</v>
      </c>
      <c r="M395">
        <v>0</v>
      </c>
      <c r="N395">
        <v>84</v>
      </c>
      <c r="O395">
        <v>74</v>
      </c>
      <c r="P395">
        <v>0</v>
      </c>
      <c r="Q395">
        <v>181</v>
      </c>
      <c r="R395">
        <v>84</v>
      </c>
      <c r="S395">
        <v>0</v>
      </c>
      <c r="T395">
        <v>158</v>
      </c>
      <c r="U395">
        <v>181</v>
      </c>
      <c r="V395">
        <v>339</v>
      </c>
      <c r="W395" s="4">
        <v>0.53392330383480824</v>
      </c>
      <c r="X395" s="4">
        <v>0.46607669616519176</v>
      </c>
    </row>
    <row r="396" spans="1:24" x14ac:dyDescent="0.25">
      <c r="A396" s="1" t="s">
        <v>32</v>
      </c>
      <c r="B396" s="1">
        <v>202103</v>
      </c>
      <c r="C396" s="2">
        <v>5</v>
      </c>
      <c r="D396" s="1" t="str">
        <f>INDEX(Codigos_Bens[Segmentação],MATCH(Base[[#This Row],[Código_do_segmento]],Codigos_Bens[Cod.],0))</f>
        <v>Outros bens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 s="4">
        <v>0</v>
      </c>
      <c r="X396" s="4">
        <v>0</v>
      </c>
    </row>
    <row r="397" spans="1:24" x14ac:dyDescent="0.25">
      <c r="A397" s="1" t="s">
        <v>32</v>
      </c>
      <c r="B397" s="1">
        <v>202103</v>
      </c>
      <c r="C397" s="2">
        <v>6</v>
      </c>
      <c r="D397" s="1" t="str">
        <f>INDEX(Codigos_Bens[Segmentação],MATCH(Base[[#This Row],[Código_do_segmento]],Codigos_Bens[Cod.],0))</f>
        <v>Serviços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 s="4">
        <v>0</v>
      </c>
      <c r="X397" s="4">
        <v>0</v>
      </c>
    </row>
    <row r="398" spans="1:24" x14ac:dyDescent="0.25">
      <c r="A398" s="1" t="s">
        <v>96</v>
      </c>
      <c r="B398" s="1">
        <v>202103</v>
      </c>
      <c r="C398" s="2">
        <v>1</v>
      </c>
      <c r="D398" s="1" t="str">
        <f>INDEX(Codigos_Bens[Segmentação],MATCH(Base[[#This Row],[Código_do_segmento]],Codigos_Bens[Cod.],0))</f>
        <v>Imóveis</v>
      </c>
      <c r="E398">
        <v>21.933920000000001</v>
      </c>
      <c r="F398">
        <v>69</v>
      </c>
      <c r="G398">
        <v>2</v>
      </c>
      <c r="H398">
        <v>1</v>
      </c>
      <c r="I398">
        <v>4058</v>
      </c>
      <c r="J398">
        <v>10571</v>
      </c>
      <c r="K398">
        <v>11637</v>
      </c>
      <c r="L398">
        <v>66439</v>
      </c>
      <c r="M398">
        <v>302</v>
      </c>
      <c r="N398">
        <v>71353</v>
      </c>
      <c r="O398">
        <v>1073</v>
      </c>
      <c r="P398">
        <v>5650</v>
      </c>
      <c r="Q398">
        <v>58369</v>
      </c>
      <c r="R398">
        <v>3464</v>
      </c>
      <c r="S398">
        <v>3633</v>
      </c>
      <c r="T398">
        <v>78076</v>
      </c>
      <c r="U398">
        <v>58369</v>
      </c>
      <c r="V398">
        <v>136445</v>
      </c>
      <c r="W398" s="4">
        <v>0.42778408882699986</v>
      </c>
      <c r="X398" s="4">
        <v>0.57221591117300008</v>
      </c>
    </row>
    <row r="399" spans="1:24" x14ac:dyDescent="0.25">
      <c r="A399" s="1" t="s">
        <v>96</v>
      </c>
      <c r="B399" s="1">
        <v>202103</v>
      </c>
      <c r="C399" s="2">
        <v>2</v>
      </c>
      <c r="D399" s="1" t="str">
        <f>INDEX(Codigos_Bens[Segmentação],MATCH(Base[[#This Row],[Código_do_segmento]],Codigos_Bens[Cod.],0))</f>
        <v>Veículos Pesados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s="4">
        <v>0</v>
      </c>
      <c r="X399" s="4">
        <v>0</v>
      </c>
    </row>
    <row r="400" spans="1:24" x14ac:dyDescent="0.25">
      <c r="A400" s="1" t="s">
        <v>96</v>
      </c>
      <c r="B400" s="1">
        <v>202103</v>
      </c>
      <c r="C400" s="2">
        <v>3</v>
      </c>
      <c r="D400" s="1" t="str">
        <f>INDEX(Codigos_Bens[Segmentação],MATCH(Base[[#This Row],[Código_do_segmento]],Codigos_Bens[Cod.],0))</f>
        <v>Veículos Leves</v>
      </c>
      <c r="E400">
        <v>14.87158</v>
      </c>
      <c r="F400">
        <v>126</v>
      </c>
      <c r="G400">
        <v>1</v>
      </c>
      <c r="H400">
        <v>1</v>
      </c>
      <c r="I400">
        <v>3200</v>
      </c>
      <c r="J400">
        <v>4364</v>
      </c>
      <c r="K400">
        <v>17577</v>
      </c>
      <c r="L400">
        <v>54497</v>
      </c>
      <c r="M400">
        <v>597</v>
      </c>
      <c r="N400">
        <v>65646</v>
      </c>
      <c r="O400">
        <v>1661</v>
      </c>
      <c r="P400">
        <v>4767</v>
      </c>
      <c r="Q400">
        <v>38771</v>
      </c>
      <c r="R400">
        <v>4589</v>
      </c>
      <c r="S400">
        <v>2292</v>
      </c>
      <c r="T400">
        <v>72074</v>
      </c>
      <c r="U400">
        <v>38771</v>
      </c>
      <c r="V400">
        <v>110845</v>
      </c>
      <c r="W400" s="4">
        <v>0.34977671523298298</v>
      </c>
      <c r="X400" s="4">
        <v>0.65022328476701696</v>
      </c>
    </row>
    <row r="401" spans="1:24" x14ac:dyDescent="0.25">
      <c r="A401" s="1" t="s">
        <v>96</v>
      </c>
      <c r="B401" s="1">
        <v>202103</v>
      </c>
      <c r="C401" s="2">
        <v>4</v>
      </c>
      <c r="D401" s="1" t="str">
        <f>INDEX(Codigos_Bens[Segmentação],MATCH(Base[[#This Row],[Código_do_segmento]],Codigos_Bens[Cod.],0))</f>
        <v>Motocicletas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 s="4">
        <v>0</v>
      </c>
      <c r="X401" s="4">
        <v>0</v>
      </c>
    </row>
    <row r="402" spans="1:24" x14ac:dyDescent="0.25">
      <c r="A402" s="1" t="s">
        <v>96</v>
      </c>
      <c r="B402" s="1">
        <v>202103</v>
      </c>
      <c r="C402" s="2">
        <v>5</v>
      </c>
      <c r="D402" s="1" t="str">
        <f>INDEX(Codigos_Bens[Segmentação],MATCH(Base[[#This Row],[Código_do_segmento]],Codigos_Bens[Cod.],0))</f>
        <v>Outros bens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3</v>
      </c>
      <c r="L402">
        <v>32</v>
      </c>
      <c r="M402">
        <v>2</v>
      </c>
      <c r="N402">
        <v>34</v>
      </c>
      <c r="O402">
        <v>0</v>
      </c>
      <c r="P402">
        <v>1</v>
      </c>
      <c r="Q402">
        <v>0</v>
      </c>
      <c r="R402">
        <v>0</v>
      </c>
      <c r="S402">
        <v>3</v>
      </c>
      <c r="T402">
        <v>35</v>
      </c>
      <c r="U402">
        <v>0</v>
      </c>
      <c r="V402">
        <v>35</v>
      </c>
      <c r="W402" s="4">
        <v>0</v>
      </c>
      <c r="X402" s="4">
        <v>1</v>
      </c>
    </row>
    <row r="403" spans="1:24" x14ac:dyDescent="0.25">
      <c r="A403" s="1" t="s">
        <v>96</v>
      </c>
      <c r="B403" s="1">
        <v>202103</v>
      </c>
      <c r="C403" s="2">
        <v>6</v>
      </c>
      <c r="D403" s="1" t="str">
        <f>INDEX(Codigos_Bens[Segmentação],MATCH(Base[[#This Row],[Código_do_segmento]],Codigos_Bens[Cod.],0))</f>
        <v>Serviços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s="4">
        <v>0</v>
      </c>
      <c r="X403" s="4">
        <v>0</v>
      </c>
    </row>
    <row r="404" spans="1:24" x14ac:dyDescent="0.25">
      <c r="A404" s="1" t="s">
        <v>33</v>
      </c>
      <c r="B404" s="1">
        <v>202103</v>
      </c>
      <c r="C404" s="2">
        <v>1</v>
      </c>
      <c r="D404" s="1" t="str">
        <f>INDEX(Codigos_Bens[Segmentação],MATCH(Base[[#This Row],[Código_do_segmento]],Codigos_Bens[Cod.],0))</f>
        <v>Imóveis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s="4">
        <v>0</v>
      </c>
      <c r="X404" s="4">
        <v>0</v>
      </c>
    </row>
    <row r="405" spans="1:24" x14ac:dyDescent="0.25">
      <c r="A405" s="1" t="s">
        <v>33</v>
      </c>
      <c r="B405" s="1">
        <v>202103</v>
      </c>
      <c r="C405" s="2">
        <v>2</v>
      </c>
      <c r="D405" s="1" t="str">
        <f>INDEX(Codigos_Bens[Segmentação],MATCH(Base[[#This Row],[Código_do_segmento]],Codigos_Bens[Cod.],0))</f>
        <v>Veículos Pesados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 s="4">
        <v>0</v>
      </c>
      <c r="X405" s="4">
        <v>0</v>
      </c>
    </row>
    <row r="406" spans="1:24" x14ac:dyDescent="0.25">
      <c r="A406" s="1" t="s">
        <v>33</v>
      </c>
      <c r="B406" s="1">
        <v>202103</v>
      </c>
      <c r="C406" s="2">
        <v>3</v>
      </c>
      <c r="D406" s="1" t="str">
        <f>INDEX(Codigos_Bens[Segmentação],MATCH(Base[[#This Row],[Código_do_segmento]],Codigos_Bens[Cod.],0))</f>
        <v>Veículos Leves</v>
      </c>
      <c r="E406">
        <v>7</v>
      </c>
      <c r="F406">
        <v>2</v>
      </c>
      <c r="G406">
        <v>0</v>
      </c>
      <c r="H406">
        <v>0</v>
      </c>
      <c r="I406">
        <v>0</v>
      </c>
      <c r="J406">
        <v>9</v>
      </c>
      <c r="K406">
        <v>113</v>
      </c>
      <c r="L406">
        <v>37</v>
      </c>
      <c r="M406">
        <v>3</v>
      </c>
      <c r="N406">
        <v>142</v>
      </c>
      <c r="O406">
        <v>5</v>
      </c>
      <c r="P406">
        <v>3</v>
      </c>
      <c r="Q406">
        <v>10</v>
      </c>
      <c r="R406">
        <v>36</v>
      </c>
      <c r="S406">
        <v>35</v>
      </c>
      <c r="T406">
        <v>150</v>
      </c>
      <c r="U406">
        <v>10</v>
      </c>
      <c r="V406">
        <v>160</v>
      </c>
      <c r="W406" s="4">
        <v>6.25E-2</v>
      </c>
      <c r="X406" s="4">
        <v>0.9375</v>
      </c>
    </row>
    <row r="407" spans="1:24" x14ac:dyDescent="0.25">
      <c r="A407" s="1" t="s">
        <v>33</v>
      </c>
      <c r="B407" s="1">
        <v>202103</v>
      </c>
      <c r="C407" s="2">
        <v>4</v>
      </c>
      <c r="D407" s="1" t="str">
        <f>INDEX(Codigos_Bens[Segmentação],MATCH(Base[[#This Row],[Código_do_segmento]],Codigos_Bens[Cod.],0))</f>
        <v>Motocicletas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s="4">
        <v>0</v>
      </c>
      <c r="X407" s="4">
        <v>0</v>
      </c>
    </row>
    <row r="408" spans="1:24" x14ac:dyDescent="0.25">
      <c r="A408" s="1" t="s">
        <v>33</v>
      </c>
      <c r="B408" s="1">
        <v>202103</v>
      </c>
      <c r="C408" s="2">
        <v>5</v>
      </c>
      <c r="D408" s="1" t="str">
        <f>INDEX(Codigos_Bens[Segmentação],MATCH(Base[[#This Row],[Código_do_segmento]],Codigos_Bens[Cod.],0))</f>
        <v>Outros bens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 s="4">
        <v>0</v>
      </c>
      <c r="X408" s="4">
        <v>0</v>
      </c>
    </row>
    <row r="409" spans="1:24" x14ac:dyDescent="0.25">
      <c r="A409" s="1" t="s">
        <v>33</v>
      </c>
      <c r="B409" s="1">
        <v>202103</v>
      </c>
      <c r="C409" s="2">
        <v>6</v>
      </c>
      <c r="D409" s="1" t="str">
        <f>INDEX(Codigos_Bens[Segmentação],MATCH(Base[[#This Row],[Código_do_segmento]],Codigos_Bens[Cod.],0))</f>
        <v>Serviços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 s="4">
        <v>0</v>
      </c>
      <c r="X409" s="4">
        <v>0</v>
      </c>
    </row>
    <row r="410" spans="1:24" x14ac:dyDescent="0.25">
      <c r="A410" s="1" t="s">
        <v>97</v>
      </c>
      <c r="B410" s="1">
        <v>202103</v>
      </c>
      <c r="C410" s="2">
        <v>1</v>
      </c>
      <c r="D410" s="1" t="str">
        <f>INDEX(Codigos_Bens[Segmentação],MATCH(Base[[#This Row],[Código_do_segmento]],Codigos_Bens[Cod.],0))</f>
        <v>Imóveis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s="4">
        <v>0</v>
      </c>
      <c r="X410" s="4">
        <v>0</v>
      </c>
    </row>
    <row r="411" spans="1:24" x14ac:dyDescent="0.25">
      <c r="A411" s="1" t="s">
        <v>97</v>
      </c>
      <c r="B411" s="1">
        <v>202103</v>
      </c>
      <c r="C411" s="2">
        <v>2</v>
      </c>
      <c r="D411" s="1" t="str">
        <f>INDEX(Codigos_Bens[Segmentação],MATCH(Base[[#This Row],[Código_do_segmento]],Codigos_Bens[Cod.],0))</f>
        <v>Veículos Pesados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s="4">
        <v>0</v>
      </c>
      <c r="X411" s="4">
        <v>0</v>
      </c>
    </row>
    <row r="412" spans="1:24" x14ac:dyDescent="0.25">
      <c r="A412" s="1" t="s">
        <v>97</v>
      </c>
      <c r="B412" s="1">
        <v>202103</v>
      </c>
      <c r="C412" s="2">
        <v>3</v>
      </c>
      <c r="D412" s="1" t="str">
        <f>INDEX(Codigos_Bens[Segmentação],MATCH(Base[[#This Row],[Código_do_segmento]],Codigos_Bens[Cod.],0))</f>
        <v>Veículos Leves</v>
      </c>
      <c r="E412">
        <v>12.8909</v>
      </c>
      <c r="F412">
        <v>1</v>
      </c>
      <c r="G412">
        <v>0</v>
      </c>
      <c r="H412">
        <v>0</v>
      </c>
      <c r="I412">
        <v>0</v>
      </c>
      <c r="J412">
        <v>10</v>
      </c>
      <c r="K412">
        <v>76</v>
      </c>
      <c r="L412">
        <v>34</v>
      </c>
      <c r="M412">
        <v>3</v>
      </c>
      <c r="N412">
        <v>105</v>
      </c>
      <c r="O412">
        <v>2</v>
      </c>
      <c r="P412">
        <v>3</v>
      </c>
      <c r="Q412">
        <v>21</v>
      </c>
      <c r="R412">
        <v>22</v>
      </c>
      <c r="S412">
        <v>13</v>
      </c>
      <c r="T412">
        <v>110</v>
      </c>
      <c r="U412">
        <v>21</v>
      </c>
      <c r="V412">
        <v>131</v>
      </c>
      <c r="W412" s="4">
        <v>0.16030534351145037</v>
      </c>
      <c r="X412" s="4">
        <v>0.83969465648854957</v>
      </c>
    </row>
    <row r="413" spans="1:24" x14ac:dyDescent="0.25">
      <c r="A413" s="1" t="s">
        <v>97</v>
      </c>
      <c r="B413" s="1">
        <v>202103</v>
      </c>
      <c r="C413" s="2">
        <v>4</v>
      </c>
      <c r="D413" s="1" t="str">
        <f>INDEX(Codigos_Bens[Segmentação],MATCH(Base[[#This Row],[Código_do_segmento]],Codigos_Bens[Cod.],0))</f>
        <v>Motocicletas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s="4">
        <v>0</v>
      </c>
      <c r="X413" s="4">
        <v>0</v>
      </c>
    </row>
    <row r="414" spans="1:24" x14ac:dyDescent="0.25">
      <c r="A414" s="1" t="s">
        <v>97</v>
      </c>
      <c r="B414" s="1">
        <v>202103</v>
      </c>
      <c r="C414" s="2">
        <v>5</v>
      </c>
      <c r="D414" s="1" t="str">
        <f>INDEX(Codigos_Bens[Segmentação],MATCH(Base[[#This Row],[Código_do_segmento]],Codigos_Bens[Cod.],0))</f>
        <v>Outros bens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s="4">
        <v>0</v>
      </c>
      <c r="X414" s="4">
        <v>0</v>
      </c>
    </row>
    <row r="415" spans="1:24" x14ac:dyDescent="0.25">
      <c r="A415" s="1" t="s">
        <v>97</v>
      </c>
      <c r="B415" s="1">
        <v>202103</v>
      </c>
      <c r="C415" s="2">
        <v>6</v>
      </c>
      <c r="D415" s="1" t="str">
        <f>INDEX(Codigos_Bens[Segmentação],MATCH(Base[[#This Row],[Código_do_segmento]],Codigos_Bens[Cod.],0))</f>
        <v>Serviços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s="4">
        <v>0</v>
      </c>
      <c r="X415" s="4">
        <v>0</v>
      </c>
    </row>
    <row r="416" spans="1:24" x14ac:dyDescent="0.25">
      <c r="A416" s="1" t="s">
        <v>98</v>
      </c>
      <c r="B416" s="1">
        <v>202103</v>
      </c>
      <c r="C416" s="2">
        <v>1</v>
      </c>
      <c r="D416" s="1" t="str">
        <f>INDEX(Codigos_Bens[Segmentação],MATCH(Base[[#This Row],[Código_do_segmento]],Codigos_Bens[Cod.],0))</f>
        <v>Imóveis</v>
      </c>
      <c r="E416">
        <v>22.37566</v>
      </c>
      <c r="F416">
        <v>177</v>
      </c>
      <c r="G416">
        <v>5</v>
      </c>
      <c r="H416">
        <v>0</v>
      </c>
      <c r="I416">
        <v>5048</v>
      </c>
      <c r="J416">
        <v>44635</v>
      </c>
      <c r="K416">
        <v>35586</v>
      </c>
      <c r="L416">
        <v>54604</v>
      </c>
      <c r="M416">
        <v>733</v>
      </c>
      <c r="N416">
        <v>82472</v>
      </c>
      <c r="O416">
        <v>1986</v>
      </c>
      <c r="P416">
        <v>5732</v>
      </c>
      <c r="Q416">
        <v>266908</v>
      </c>
      <c r="R416">
        <v>8835</v>
      </c>
      <c r="S416">
        <v>8551</v>
      </c>
      <c r="T416">
        <v>90190</v>
      </c>
      <c r="U416">
        <v>266908</v>
      </c>
      <c r="V416">
        <v>357098</v>
      </c>
      <c r="W416" s="4">
        <v>0.74743627799651635</v>
      </c>
      <c r="X416" s="4">
        <v>0.25256372200348365</v>
      </c>
    </row>
    <row r="417" spans="1:24" x14ac:dyDescent="0.25">
      <c r="A417" s="1" t="s">
        <v>98</v>
      </c>
      <c r="B417" s="1">
        <v>202103</v>
      </c>
      <c r="C417" s="2">
        <v>2</v>
      </c>
      <c r="D417" s="1" t="str">
        <f>INDEX(Codigos_Bens[Segmentação],MATCH(Base[[#This Row],[Código_do_segmento]],Codigos_Bens[Cod.],0))</f>
        <v>Veículos Pesados</v>
      </c>
      <c r="E417">
        <v>9.9964499999999994</v>
      </c>
      <c r="F417">
        <v>1</v>
      </c>
      <c r="G417">
        <v>0</v>
      </c>
      <c r="H417">
        <v>0</v>
      </c>
      <c r="I417">
        <v>64</v>
      </c>
      <c r="J417">
        <v>3</v>
      </c>
      <c r="K417">
        <v>7</v>
      </c>
      <c r="L417">
        <v>275</v>
      </c>
      <c r="M417">
        <v>4</v>
      </c>
      <c r="N417">
        <v>268</v>
      </c>
      <c r="O417">
        <v>0</v>
      </c>
      <c r="P417">
        <v>14</v>
      </c>
      <c r="Q417">
        <v>10</v>
      </c>
      <c r="R417">
        <v>0</v>
      </c>
      <c r="S417">
        <v>6</v>
      </c>
      <c r="T417">
        <v>282</v>
      </c>
      <c r="U417">
        <v>10</v>
      </c>
      <c r="V417">
        <v>292</v>
      </c>
      <c r="W417" s="4">
        <v>3.4246575342465752E-2</v>
      </c>
      <c r="X417" s="4">
        <v>0.96575342465753422</v>
      </c>
    </row>
    <row r="418" spans="1:24" x14ac:dyDescent="0.25">
      <c r="A418" s="1" t="s">
        <v>98</v>
      </c>
      <c r="B418" s="1">
        <v>202103</v>
      </c>
      <c r="C418" s="2">
        <v>3</v>
      </c>
      <c r="D418" s="1" t="str">
        <f>INDEX(Codigos_Bens[Segmentação],MATCH(Base[[#This Row],[Código_do_segmento]],Codigos_Bens[Cod.],0))</f>
        <v>Veículos Leves</v>
      </c>
      <c r="E418">
        <v>17.397200000000002</v>
      </c>
      <c r="F418">
        <v>357</v>
      </c>
      <c r="G418">
        <v>7</v>
      </c>
      <c r="H418">
        <v>2</v>
      </c>
      <c r="I418">
        <v>7422</v>
      </c>
      <c r="J418">
        <v>10786</v>
      </c>
      <c r="K418">
        <v>124769</v>
      </c>
      <c r="L418">
        <v>124775</v>
      </c>
      <c r="M418">
        <v>4050</v>
      </c>
      <c r="N418">
        <v>225527</v>
      </c>
      <c r="O418">
        <v>11696</v>
      </c>
      <c r="P418">
        <v>12321</v>
      </c>
      <c r="Q418">
        <v>161282</v>
      </c>
      <c r="R418">
        <v>38013</v>
      </c>
      <c r="S418">
        <v>18006</v>
      </c>
      <c r="T418">
        <v>249544</v>
      </c>
      <c r="U418">
        <v>161282</v>
      </c>
      <c r="V418">
        <v>410826</v>
      </c>
      <c r="W418" s="4">
        <v>0.39257982698271288</v>
      </c>
      <c r="X418" s="4">
        <v>0.60742017301728712</v>
      </c>
    </row>
    <row r="419" spans="1:24" x14ac:dyDescent="0.25">
      <c r="A419" s="1" t="s">
        <v>98</v>
      </c>
      <c r="B419" s="1">
        <v>202103</v>
      </c>
      <c r="C419" s="2">
        <v>4</v>
      </c>
      <c r="D419" s="1" t="str">
        <f>INDEX(Codigos_Bens[Segmentação],MATCH(Base[[#This Row],[Código_do_segmento]],Codigos_Bens[Cod.],0))</f>
        <v>Motocicletas</v>
      </c>
      <c r="E419">
        <v>21.172280000000001</v>
      </c>
      <c r="F419">
        <v>4</v>
      </c>
      <c r="G419">
        <v>1</v>
      </c>
      <c r="H419">
        <v>0</v>
      </c>
      <c r="I419">
        <v>741</v>
      </c>
      <c r="J419">
        <v>543</v>
      </c>
      <c r="K419">
        <v>1389</v>
      </c>
      <c r="L419">
        <v>1537</v>
      </c>
      <c r="M419">
        <v>11</v>
      </c>
      <c r="N419">
        <v>2878</v>
      </c>
      <c r="O419">
        <v>28</v>
      </c>
      <c r="P419">
        <v>20</v>
      </c>
      <c r="Q419">
        <v>2471</v>
      </c>
      <c r="R419">
        <v>1303</v>
      </c>
      <c r="S419">
        <v>76</v>
      </c>
      <c r="T419">
        <v>2926</v>
      </c>
      <c r="U419">
        <v>2471</v>
      </c>
      <c r="V419">
        <v>5397</v>
      </c>
      <c r="W419" s="4">
        <v>0.45784695201037612</v>
      </c>
      <c r="X419" s="4">
        <v>0.54215304798962383</v>
      </c>
    </row>
    <row r="420" spans="1:24" x14ac:dyDescent="0.25">
      <c r="A420" s="1" t="s">
        <v>98</v>
      </c>
      <c r="B420" s="1">
        <v>202103</v>
      </c>
      <c r="C420" s="2">
        <v>5</v>
      </c>
      <c r="D420" s="1" t="str">
        <f>INDEX(Codigos_Bens[Segmentação],MATCH(Base[[#This Row],[Código_do_segmento]],Codigos_Bens[Cod.],0))</f>
        <v>Outros bens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s="4">
        <v>0</v>
      </c>
      <c r="X420" s="4">
        <v>0</v>
      </c>
    </row>
    <row r="421" spans="1:24" x14ac:dyDescent="0.25">
      <c r="A421" s="1" t="s">
        <v>98</v>
      </c>
      <c r="B421" s="1">
        <v>202103</v>
      </c>
      <c r="C421" s="2">
        <v>6</v>
      </c>
      <c r="D421" s="1" t="str">
        <f>INDEX(Codigos_Bens[Segmentação],MATCH(Base[[#This Row],[Código_do_segmento]],Codigos_Bens[Cod.],0))</f>
        <v>Serviços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s="4">
        <v>0</v>
      </c>
      <c r="X421" s="4">
        <v>0</v>
      </c>
    </row>
    <row r="422" spans="1:24" x14ac:dyDescent="0.25">
      <c r="A422" s="1" t="s">
        <v>99</v>
      </c>
      <c r="B422" s="1">
        <v>202103</v>
      </c>
      <c r="C422" s="2">
        <v>1</v>
      </c>
      <c r="D422" s="1" t="str">
        <f>INDEX(Codigos_Bens[Segmentação],MATCH(Base[[#This Row],[Código_do_segmento]],Codigos_Bens[Cod.],0))</f>
        <v>Imóveis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s="4">
        <v>0</v>
      </c>
      <c r="X422" s="4">
        <v>0</v>
      </c>
    </row>
    <row r="423" spans="1:24" x14ac:dyDescent="0.25">
      <c r="A423" s="1" t="s">
        <v>99</v>
      </c>
      <c r="B423" s="1">
        <v>202103</v>
      </c>
      <c r="C423" s="2">
        <v>2</v>
      </c>
      <c r="D423" s="1" t="str">
        <f>INDEX(Codigos_Bens[Segmentação],MATCH(Base[[#This Row],[Código_do_segmento]],Codigos_Bens[Cod.],0))</f>
        <v>Veículos Pesados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s="4">
        <v>0</v>
      </c>
      <c r="X423" s="4">
        <v>0</v>
      </c>
    </row>
    <row r="424" spans="1:24" x14ac:dyDescent="0.25">
      <c r="A424" s="1" t="s">
        <v>99</v>
      </c>
      <c r="B424" s="1">
        <v>202103</v>
      </c>
      <c r="C424" s="2">
        <v>3</v>
      </c>
      <c r="D424" s="1" t="str">
        <f>INDEX(Codigos_Bens[Segmentação],MATCH(Base[[#This Row],[Código_do_segmento]],Codigos_Bens[Cod.],0))</f>
        <v>Veículos Leves</v>
      </c>
      <c r="E424">
        <v>13.441850000000001</v>
      </c>
      <c r="F424">
        <v>6</v>
      </c>
      <c r="G424">
        <v>0</v>
      </c>
      <c r="H424">
        <v>1</v>
      </c>
      <c r="I424">
        <v>0</v>
      </c>
      <c r="J424">
        <v>166</v>
      </c>
      <c r="K424">
        <v>3425</v>
      </c>
      <c r="L424">
        <v>6</v>
      </c>
      <c r="M424">
        <v>7</v>
      </c>
      <c r="N424">
        <v>3202</v>
      </c>
      <c r="O424">
        <v>227</v>
      </c>
      <c r="P424">
        <v>2</v>
      </c>
      <c r="Q424">
        <v>3710</v>
      </c>
      <c r="R424">
        <v>3109</v>
      </c>
      <c r="S424">
        <v>85</v>
      </c>
      <c r="T424">
        <v>3431</v>
      </c>
      <c r="U424">
        <v>3710</v>
      </c>
      <c r="V424">
        <v>7141</v>
      </c>
      <c r="W424" s="4">
        <v>0.5195350791205714</v>
      </c>
      <c r="X424" s="4">
        <v>0.48046492087942866</v>
      </c>
    </row>
    <row r="425" spans="1:24" x14ac:dyDescent="0.25">
      <c r="A425" s="1" t="s">
        <v>99</v>
      </c>
      <c r="B425" s="1">
        <v>202103</v>
      </c>
      <c r="C425" s="2">
        <v>4</v>
      </c>
      <c r="D425" s="1" t="str">
        <f>INDEX(Codigos_Bens[Segmentação],MATCH(Base[[#This Row],[Código_do_segmento]],Codigos_Bens[Cod.],0))</f>
        <v>Motocicletas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s="4">
        <v>0</v>
      </c>
      <c r="X425" s="4">
        <v>0</v>
      </c>
    </row>
    <row r="426" spans="1:24" x14ac:dyDescent="0.25">
      <c r="A426" s="1" t="s">
        <v>99</v>
      </c>
      <c r="B426" s="1">
        <v>202103</v>
      </c>
      <c r="C426" s="2">
        <v>5</v>
      </c>
      <c r="D426" s="1" t="str">
        <f>INDEX(Codigos_Bens[Segmentação],MATCH(Base[[#This Row],[Código_do_segmento]],Codigos_Bens[Cod.],0))</f>
        <v>Outros bens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s="4">
        <v>0</v>
      </c>
      <c r="X426" s="4">
        <v>0</v>
      </c>
    </row>
    <row r="427" spans="1:24" x14ac:dyDescent="0.25">
      <c r="A427" s="1" t="s">
        <v>99</v>
      </c>
      <c r="B427" s="1">
        <v>202103</v>
      </c>
      <c r="C427" s="2">
        <v>6</v>
      </c>
      <c r="D427" s="1" t="str">
        <f>INDEX(Codigos_Bens[Segmentação],MATCH(Base[[#This Row],[Código_do_segmento]],Codigos_Bens[Cod.],0))</f>
        <v>Serviços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s="4">
        <v>0</v>
      </c>
      <c r="X427" s="4">
        <v>0</v>
      </c>
    </row>
    <row r="428" spans="1:24" x14ac:dyDescent="0.25">
      <c r="A428" s="1" t="s">
        <v>100</v>
      </c>
      <c r="B428" s="1">
        <v>202103</v>
      </c>
      <c r="C428" s="2">
        <v>1</v>
      </c>
      <c r="D428" s="1" t="str">
        <f>INDEX(Codigos_Bens[Segmentação],MATCH(Base[[#This Row],[Código_do_segmento]],Codigos_Bens[Cod.],0))</f>
        <v>Imóveis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s="4">
        <v>0</v>
      </c>
      <c r="X428" s="4">
        <v>0</v>
      </c>
    </row>
    <row r="429" spans="1:24" x14ac:dyDescent="0.25">
      <c r="A429" s="1" t="s">
        <v>100</v>
      </c>
      <c r="B429" s="1">
        <v>202103</v>
      </c>
      <c r="C429" s="2">
        <v>2</v>
      </c>
      <c r="D429" s="1" t="str">
        <f>INDEX(Codigos_Bens[Segmentação],MATCH(Base[[#This Row],[Código_do_segmento]],Codigos_Bens[Cod.],0))</f>
        <v>Veículos Pesados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s="4">
        <v>0</v>
      </c>
      <c r="X429" s="4">
        <v>0</v>
      </c>
    </row>
    <row r="430" spans="1:24" x14ac:dyDescent="0.25">
      <c r="A430" s="1" t="s">
        <v>100</v>
      </c>
      <c r="B430" s="1">
        <v>202103</v>
      </c>
      <c r="C430" s="2">
        <v>3</v>
      </c>
      <c r="D430" s="1" t="str">
        <f>INDEX(Codigos_Bens[Segmentação],MATCH(Base[[#This Row],[Código_do_segmento]],Codigos_Bens[Cod.],0))</f>
        <v>Veículos Leves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s="4">
        <v>0</v>
      </c>
      <c r="X430" s="4">
        <v>0</v>
      </c>
    </row>
    <row r="431" spans="1:24" x14ac:dyDescent="0.25">
      <c r="A431" s="1" t="s">
        <v>100</v>
      </c>
      <c r="B431" s="1">
        <v>202103</v>
      </c>
      <c r="C431" s="2">
        <v>4</v>
      </c>
      <c r="D431" s="1" t="str">
        <f>INDEX(Codigos_Bens[Segmentação],MATCH(Base[[#This Row],[Código_do_segmento]],Codigos_Bens[Cod.],0))</f>
        <v>Motocicletas</v>
      </c>
      <c r="E431">
        <v>40.81438</v>
      </c>
      <c r="F431">
        <v>14</v>
      </c>
      <c r="G431">
        <v>1</v>
      </c>
      <c r="H431">
        <v>0</v>
      </c>
      <c r="I431">
        <v>232</v>
      </c>
      <c r="J431">
        <v>24</v>
      </c>
      <c r="K431">
        <v>1938</v>
      </c>
      <c r="L431">
        <v>3304</v>
      </c>
      <c r="M431">
        <v>34</v>
      </c>
      <c r="N431">
        <v>4254</v>
      </c>
      <c r="O431">
        <v>393</v>
      </c>
      <c r="P431">
        <v>595</v>
      </c>
      <c r="Q431">
        <v>2049</v>
      </c>
      <c r="R431">
        <v>284</v>
      </c>
      <c r="S431">
        <v>432</v>
      </c>
      <c r="T431">
        <v>5242</v>
      </c>
      <c r="U431">
        <v>2049</v>
      </c>
      <c r="V431">
        <v>7291</v>
      </c>
      <c r="W431" s="4">
        <v>0.28103140858592784</v>
      </c>
      <c r="X431" s="4">
        <v>0.7189685914140721</v>
      </c>
    </row>
    <row r="432" spans="1:24" x14ac:dyDescent="0.25">
      <c r="A432" s="1" t="s">
        <v>100</v>
      </c>
      <c r="B432" s="1">
        <v>202103</v>
      </c>
      <c r="C432" s="2">
        <v>5</v>
      </c>
      <c r="D432" s="1" t="str">
        <f>INDEX(Codigos_Bens[Segmentação],MATCH(Base[[#This Row],[Código_do_segmento]],Codigos_Bens[Cod.],0))</f>
        <v>Outros bens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s="4">
        <v>0</v>
      </c>
      <c r="X432" s="4">
        <v>0</v>
      </c>
    </row>
    <row r="433" spans="1:24" x14ac:dyDescent="0.25">
      <c r="A433" s="1" t="s">
        <v>100</v>
      </c>
      <c r="B433" s="1">
        <v>202103</v>
      </c>
      <c r="C433" s="2">
        <v>6</v>
      </c>
      <c r="D433" s="1" t="str">
        <f>INDEX(Codigos_Bens[Segmentação],MATCH(Base[[#This Row],[Código_do_segmento]],Codigos_Bens[Cod.],0))</f>
        <v>Serviços</v>
      </c>
      <c r="E433">
        <v>0</v>
      </c>
      <c r="F433">
        <v>0</v>
      </c>
      <c r="G433">
        <v>0</v>
      </c>
      <c r="H433">
        <v>0</v>
      </c>
      <c r="I433">
        <v>12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s="4">
        <v>0</v>
      </c>
      <c r="X433" s="4">
        <v>0</v>
      </c>
    </row>
    <row r="434" spans="1:24" x14ac:dyDescent="0.25">
      <c r="A434" s="1" t="s">
        <v>101</v>
      </c>
      <c r="B434" s="1">
        <v>202103</v>
      </c>
      <c r="C434" s="2">
        <v>1</v>
      </c>
      <c r="D434" s="1" t="str">
        <f>INDEX(Codigos_Bens[Segmentação],MATCH(Base[[#This Row],[Código_do_segmento]],Codigos_Bens[Cod.],0))</f>
        <v>Imóveis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s="4">
        <v>0</v>
      </c>
      <c r="X434" s="4">
        <v>0</v>
      </c>
    </row>
    <row r="435" spans="1:24" x14ac:dyDescent="0.25">
      <c r="A435" s="1" t="s">
        <v>101</v>
      </c>
      <c r="B435" s="1">
        <v>202103</v>
      </c>
      <c r="C435" s="2">
        <v>2</v>
      </c>
      <c r="D435" s="1" t="str">
        <f>INDEX(Codigos_Bens[Segmentação],MATCH(Base[[#This Row],[Código_do_segmento]],Codigos_Bens[Cod.],0))</f>
        <v>Veículos Pesados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s="4">
        <v>0</v>
      </c>
      <c r="X435" s="4">
        <v>0</v>
      </c>
    </row>
    <row r="436" spans="1:24" x14ac:dyDescent="0.25">
      <c r="A436" s="1" t="s">
        <v>101</v>
      </c>
      <c r="B436" s="1">
        <v>202103</v>
      </c>
      <c r="C436" s="2">
        <v>3</v>
      </c>
      <c r="D436" s="1" t="str">
        <f>INDEX(Codigos_Bens[Segmentação],MATCH(Base[[#This Row],[Código_do_segmento]],Codigos_Bens[Cod.],0))</f>
        <v>Veículos Leves</v>
      </c>
      <c r="E436">
        <v>10.802300000000001</v>
      </c>
      <c r="F436">
        <v>4</v>
      </c>
      <c r="G436">
        <v>0</v>
      </c>
      <c r="H436">
        <v>0</v>
      </c>
      <c r="I436">
        <v>0</v>
      </c>
      <c r="J436">
        <v>30</v>
      </c>
      <c r="K436">
        <v>288</v>
      </c>
      <c r="L436">
        <v>56</v>
      </c>
      <c r="M436">
        <v>2</v>
      </c>
      <c r="N436">
        <v>330</v>
      </c>
      <c r="O436">
        <v>8</v>
      </c>
      <c r="P436">
        <v>6</v>
      </c>
      <c r="Q436">
        <v>30</v>
      </c>
      <c r="R436">
        <v>146</v>
      </c>
      <c r="S436">
        <v>29</v>
      </c>
      <c r="T436">
        <v>344</v>
      </c>
      <c r="U436">
        <v>30</v>
      </c>
      <c r="V436">
        <v>374</v>
      </c>
      <c r="W436" s="4">
        <v>8.0213903743315509E-2</v>
      </c>
      <c r="X436" s="4">
        <v>0.9197860962566845</v>
      </c>
    </row>
    <row r="437" spans="1:24" x14ac:dyDescent="0.25">
      <c r="A437" s="1" t="s">
        <v>101</v>
      </c>
      <c r="B437" s="1">
        <v>202103</v>
      </c>
      <c r="C437" s="2">
        <v>4</v>
      </c>
      <c r="D437" s="1" t="str">
        <f>INDEX(Codigos_Bens[Segmentação],MATCH(Base[[#This Row],[Código_do_segmento]],Codigos_Bens[Cod.],0))</f>
        <v>Motocicletas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s="4">
        <v>0</v>
      </c>
      <c r="X437" s="4">
        <v>0</v>
      </c>
    </row>
    <row r="438" spans="1:24" x14ac:dyDescent="0.25">
      <c r="A438" s="1" t="s">
        <v>101</v>
      </c>
      <c r="B438" s="1">
        <v>202103</v>
      </c>
      <c r="C438" s="2">
        <v>5</v>
      </c>
      <c r="D438" s="1" t="str">
        <f>INDEX(Codigos_Bens[Segmentação],MATCH(Base[[#This Row],[Código_do_segmento]],Codigos_Bens[Cod.],0))</f>
        <v>Outros bens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s="4">
        <v>0</v>
      </c>
      <c r="X438" s="4">
        <v>0</v>
      </c>
    </row>
    <row r="439" spans="1:24" x14ac:dyDescent="0.25">
      <c r="A439" s="1" t="s">
        <v>101</v>
      </c>
      <c r="B439" s="1">
        <v>202103</v>
      </c>
      <c r="C439" s="2">
        <v>6</v>
      </c>
      <c r="D439" s="1" t="str">
        <f>INDEX(Codigos_Bens[Segmentação],MATCH(Base[[#This Row],[Código_do_segmento]],Codigos_Bens[Cod.],0))</f>
        <v>Serviços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s="4">
        <v>0</v>
      </c>
      <c r="X439" s="4">
        <v>0</v>
      </c>
    </row>
    <row r="440" spans="1:24" x14ac:dyDescent="0.25">
      <c r="A440" s="1" t="s">
        <v>102</v>
      </c>
      <c r="B440" s="1">
        <v>202103</v>
      </c>
      <c r="C440" s="2">
        <v>1</v>
      </c>
      <c r="D440" s="1" t="str">
        <f>INDEX(Codigos_Bens[Segmentação],MATCH(Base[[#This Row],[Código_do_segmento]],Codigos_Bens[Cod.],0))</f>
        <v>Imóveis</v>
      </c>
      <c r="E440">
        <v>20.22091</v>
      </c>
      <c r="F440">
        <v>16</v>
      </c>
      <c r="G440">
        <v>0</v>
      </c>
      <c r="H440">
        <v>0</v>
      </c>
      <c r="I440">
        <v>869</v>
      </c>
      <c r="J440">
        <v>8674</v>
      </c>
      <c r="K440">
        <v>3864</v>
      </c>
      <c r="L440">
        <v>12384</v>
      </c>
      <c r="M440">
        <v>80</v>
      </c>
      <c r="N440">
        <v>12997</v>
      </c>
      <c r="O440">
        <v>398</v>
      </c>
      <c r="P440">
        <v>2853</v>
      </c>
      <c r="Q440">
        <v>36884</v>
      </c>
      <c r="R440">
        <v>855</v>
      </c>
      <c r="S440">
        <v>1019</v>
      </c>
      <c r="T440">
        <v>16248</v>
      </c>
      <c r="U440">
        <v>36884</v>
      </c>
      <c r="V440">
        <v>53132</v>
      </c>
      <c r="W440" s="4">
        <v>0.69419558834600614</v>
      </c>
      <c r="X440" s="4">
        <v>0.3058044116539938</v>
      </c>
    </row>
    <row r="441" spans="1:24" x14ac:dyDescent="0.25">
      <c r="A441" s="1" t="s">
        <v>102</v>
      </c>
      <c r="B441" s="1">
        <v>202103</v>
      </c>
      <c r="C441" s="2">
        <v>2</v>
      </c>
      <c r="D441" s="1" t="str">
        <f>INDEX(Codigos_Bens[Segmentação],MATCH(Base[[#This Row],[Código_do_segmento]],Codigos_Bens[Cod.],0))</f>
        <v>Veículos Pesados</v>
      </c>
      <c r="E441">
        <v>15.043810000000001</v>
      </c>
      <c r="F441">
        <v>2</v>
      </c>
      <c r="G441">
        <v>0</v>
      </c>
      <c r="H441">
        <v>0</v>
      </c>
      <c r="I441">
        <v>105</v>
      </c>
      <c r="J441">
        <v>163</v>
      </c>
      <c r="K441">
        <v>416</v>
      </c>
      <c r="L441">
        <v>689</v>
      </c>
      <c r="M441">
        <v>4</v>
      </c>
      <c r="N441">
        <v>899</v>
      </c>
      <c r="O441">
        <v>78</v>
      </c>
      <c r="P441">
        <v>128</v>
      </c>
      <c r="Q441">
        <v>824</v>
      </c>
      <c r="R441">
        <v>195</v>
      </c>
      <c r="S441">
        <v>32</v>
      </c>
      <c r="T441">
        <v>1105</v>
      </c>
      <c r="U441">
        <v>824</v>
      </c>
      <c r="V441">
        <v>1929</v>
      </c>
      <c r="W441" s="4">
        <v>0.42716433385173663</v>
      </c>
      <c r="X441" s="4">
        <v>0.57283566614826331</v>
      </c>
    </row>
    <row r="442" spans="1:24" x14ac:dyDescent="0.25">
      <c r="A442" s="1" t="s">
        <v>102</v>
      </c>
      <c r="B442" s="1">
        <v>202103</v>
      </c>
      <c r="C442" s="2">
        <v>3</v>
      </c>
      <c r="D442" s="1" t="str">
        <f>INDEX(Codigos_Bens[Segmentação],MATCH(Base[[#This Row],[Código_do_segmento]],Codigos_Bens[Cod.],0))</f>
        <v>Veículos Leves</v>
      </c>
      <c r="E442">
        <v>16.489470000000001</v>
      </c>
      <c r="F442">
        <v>35</v>
      </c>
      <c r="G442">
        <v>1</v>
      </c>
      <c r="H442">
        <v>0</v>
      </c>
      <c r="I442">
        <v>1094</v>
      </c>
      <c r="J442">
        <v>2138</v>
      </c>
      <c r="K442">
        <v>17593</v>
      </c>
      <c r="L442">
        <v>16701</v>
      </c>
      <c r="M442">
        <v>419</v>
      </c>
      <c r="N442">
        <v>28054</v>
      </c>
      <c r="O442">
        <v>2244</v>
      </c>
      <c r="P442">
        <v>3996</v>
      </c>
      <c r="Q442">
        <v>33105</v>
      </c>
      <c r="R442">
        <v>6907</v>
      </c>
      <c r="S442">
        <v>1950</v>
      </c>
      <c r="T442">
        <v>34294</v>
      </c>
      <c r="U442">
        <v>33105</v>
      </c>
      <c r="V442">
        <v>67399</v>
      </c>
      <c r="W442" s="4">
        <v>0.49117939435303193</v>
      </c>
      <c r="X442" s="4">
        <v>0.50882060564696807</v>
      </c>
    </row>
    <row r="443" spans="1:24" x14ac:dyDescent="0.25">
      <c r="A443" s="1" t="s">
        <v>102</v>
      </c>
      <c r="B443" s="1">
        <v>202103</v>
      </c>
      <c r="C443" s="2">
        <v>4</v>
      </c>
      <c r="D443" s="1" t="str">
        <f>INDEX(Codigos_Bens[Segmentação],MATCH(Base[[#This Row],[Código_do_segmento]],Codigos_Bens[Cod.],0))</f>
        <v>Motocicletas</v>
      </c>
      <c r="E443">
        <v>20.08887</v>
      </c>
      <c r="F443">
        <v>26</v>
      </c>
      <c r="G443">
        <v>1</v>
      </c>
      <c r="H443">
        <v>0</v>
      </c>
      <c r="I443">
        <v>527</v>
      </c>
      <c r="J443">
        <v>2817</v>
      </c>
      <c r="K443">
        <v>15102</v>
      </c>
      <c r="L443">
        <v>8355</v>
      </c>
      <c r="M443">
        <v>312</v>
      </c>
      <c r="N443">
        <v>18792</v>
      </c>
      <c r="O443">
        <v>2126</v>
      </c>
      <c r="P443">
        <v>2539</v>
      </c>
      <c r="Q443">
        <v>24871</v>
      </c>
      <c r="R443">
        <v>7102</v>
      </c>
      <c r="S443">
        <v>1972</v>
      </c>
      <c r="T443">
        <v>23457</v>
      </c>
      <c r="U443">
        <v>24871</v>
      </c>
      <c r="V443">
        <v>48328</v>
      </c>
      <c r="W443" s="4">
        <v>0.51462920046349947</v>
      </c>
      <c r="X443" s="4">
        <v>0.48537079953650059</v>
      </c>
    </row>
    <row r="444" spans="1:24" x14ac:dyDescent="0.25">
      <c r="A444" s="1" t="s">
        <v>102</v>
      </c>
      <c r="B444" s="1">
        <v>202103</v>
      </c>
      <c r="C444" s="2">
        <v>5</v>
      </c>
      <c r="D444" s="1" t="str">
        <f>INDEX(Codigos_Bens[Segmentação],MATCH(Base[[#This Row],[Código_do_segmento]],Codigos_Bens[Cod.],0))</f>
        <v>Outros bens</v>
      </c>
      <c r="E444">
        <v>23.156389999999998</v>
      </c>
      <c r="F444">
        <v>14</v>
      </c>
      <c r="G444">
        <v>1</v>
      </c>
      <c r="H444">
        <v>1</v>
      </c>
      <c r="I444">
        <v>242</v>
      </c>
      <c r="J444">
        <v>2698</v>
      </c>
      <c r="K444">
        <v>4476</v>
      </c>
      <c r="L444">
        <v>3612</v>
      </c>
      <c r="M444">
        <v>143</v>
      </c>
      <c r="N444">
        <v>5762</v>
      </c>
      <c r="O444">
        <v>975</v>
      </c>
      <c r="P444">
        <v>1351</v>
      </c>
      <c r="Q444">
        <v>7926</v>
      </c>
      <c r="R444">
        <v>1507</v>
      </c>
      <c r="S444">
        <v>742</v>
      </c>
      <c r="T444">
        <v>8088</v>
      </c>
      <c r="U444">
        <v>7926</v>
      </c>
      <c r="V444">
        <v>16014</v>
      </c>
      <c r="W444" s="4">
        <v>0.49494192581491198</v>
      </c>
      <c r="X444" s="4">
        <v>0.50505807418508808</v>
      </c>
    </row>
    <row r="445" spans="1:24" x14ac:dyDescent="0.25">
      <c r="A445" s="1" t="s">
        <v>102</v>
      </c>
      <c r="B445" s="1">
        <v>202103</v>
      </c>
      <c r="C445" s="2">
        <v>6</v>
      </c>
      <c r="D445" s="1" t="str">
        <f>INDEX(Codigos_Bens[Segmentação],MATCH(Base[[#This Row],[Código_do_segmento]],Codigos_Bens[Cod.],0))</f>
        <v>Serviços</v>
      </c>
      <c r="E445">
        <v>21.54571</v>
      </c>
      <c r="F445">
        <v>6</v>
      </c>
      <c r="G445">
        <v>1</v>
      </c>
      <c r="H445">
        <v>0</v>
      </c>
      <c r="I445">
        <v>141</v>
      </c>
      <c r="J445">
        <v>1389</v>
      </c>
      <c r="K445">
        <v>1665</v>
      </c>
      <c r="L445">
        <v>1308</v>
      </c>
      <c r="M445">
        <v>57</v>
      </c>
      <c r="N445">
        <v>2395</v>
      </c>
      <c r="O445">
        <v>206</v>
      </c>
      <c r="P445">
        <v>372</v>
      </c>
      <c r="Q445">
        <v>3260</v>
      </c>
      <c r="R445">
        <v>832</v>
      </c>
      <c r="S445">
        <v>318</v>
      </c>
      <c r="T445">
        <v>2973</v>
      </c>
      <c r="U445">
        <v>3260</v>
      </c>
      <c r="V445">
        <v>6233</v>
      </c>
      <c r="W445" s="4">
        <v>0.52302262153056311</v>
      </c>
      <c r="X445" s="4">
        <v>0.47697737846943689</v>
      </c>
    </row>
    <row r="446" spans="1:24" x14ac:dyDescent="0.25">
      <c r="A446" s="1" t="s">
        <v>103</v>
      </c>
      <c r="B446" s="1">
        <v>202103</v>
      </c>
      <c r="C446" s="2">
        <v>1</v>
      </c>
      <c r="D446" s="1" t="str">
        <f>INDEX(Codigos_Bens[Segmentação],MATCH(Base[[#This Row],[Código_do_segmento]],Codigos_Bens[Cod.],0))</f>
        <v>Imóveis</v>
      </c>
      <c r="E446">
        <v>19.013459999999998</v>
      </c>
      <c r="F446">
        <v>8</v>
      </c>
      <c r="G446">
        <v>0</v>
      </c>
      <c r="H446">
        <v>0</v>
      </c>
      <c r="I446">
        <v>123</v>
      </c>
      <c r="J446">
        <v>2526</v>
      </c>
      <c r="K446">
        <v>2235</v>
      </c>
      <c r="L446">
        <v>1111</v>
      </c>
      <c r="M446">
        <v>24</v>
      </c>
      <c r="N446">
        <v>2938</v>
      </c>
      <c r="O446">
        <v>140</v>
      </c>
      <c r="P446">
        <v>268</v>
      </c>
      <c r="Q446">
        <v>5796</v>
      </c>
      <c r="R446">
        <v>1426</v>
      </c>
      <c r="S446">
        <v>139</v>
      </c>
      <c r="T446">
        <v>3346</v>
      </c>
      <c r="U446">
        <v>5796</v>
      </c>
      <c r="V446">
        <v>9142</v>
      </c>
      <c r="W446" s="4">
        <v>0.63399693721286365</v>
      </c>
      <c r="X446" s="4">
        <v>0.36600306278713629</v>
      </c>
    </row>
    <row r="447" spans="1:24" x14ac:dyDescent="0.25">
      <c r="A447" s="1" t="s">
        <v>103</v>
      </c>
      <c r="B447" s="1">
        <v>202103</v>
      </c>
      <c r="C447" s="2">
        <v>2</v>
      </c>
      <c r="D447" s="1" t="str">
        <f>INDEX(Codigos_Bens[Segmentação],MATCH(Base[[#This Row],[Código_do_segmento]],Codigos_Bens[Cod.],0))</f>
        <v>Veículos Pesados</v>
      </c>
      <c r="E447">
        <v>13.40985</v>
      </c>
      <c r="F447">
        <v>25</v>
      </c>
      <c r="G447">
        <v>1</v>
      </c>
      <c r="H447">
        <v>0</v>
      </c>
      <c r="I447">
        <v>290</v>
      </c>
      <c r="J447">
        <v>2470</v>
      </c>
      <c r="K447">
        <v>5942</v>
      </c>
      <c r="L447">
        <v>5816</v>
      </c>
      <c r="M447">
        <v>174</v>
      </c>
      <c r="N447">
        <v>10191</v>
      </c>
      <c r="O447">
        <v>656</v>
      </c>
      <c r="P447">
        <v>911</v>
      </c>
      <c r="Q447">
        <v>5439</v>
      </c>
      <c r="R447">
        <v>2420</v>
      </c>
      <c r="S447">
        <v>637</v>
      </c>
      <c r="T447">
        <v>11758</v>
      </c>
      <c r="U447">
        <v>5439</v>
      </c>
      <c r="V447">
        <v>17197</v>
      </c>
      <c r="W447" s="4">
        <v>0.31627609466767459</v>
      </c>
      <c r="X447" s="4">
        <v>0.68372390533232541</v>
      </c>
    </row>
    <row r="448" spans="1:24" x14ac:dyDescent="0.25">
      <c r="A448" s="1" t="s">
        <v>103</v>
      </c>
      <c r="B448" s="1">
        <v>202103</v>
      </c>
      <c r="C448" s="2">
        <v>3</v>
      </c>
      <c r="D448" s="1" t="str">
        <f>INDEX(Codigos_Bens[Segmentação],MATCH(Base[[#This Row],[Código_do_segmento]],Codigos_Bens[Cod.],0))</f>
        <v>Veículos Leves</v>
      </c>
      <c r="E448">
        <v>10.24859</v>
      </c>
      <c r="F448">
        <v>25</v>
      </c>
      <c r="G448">
        <v>0</v>
      </c>
      <c r="H448">
        <v>1</v>
      </c>
      <c r="I448">
        <v>166</v>
      </c>
      <c r="J448">
        <v>1279</v>
      </c>
      <c r="K448">
        <v>8834</v>
      </c>
      <c r="L448">
        <v>3765</v>
      </c>
      <c r="M448">
        <v>173</v>
      </c>
      <c r="N448">
        <v>11665</v>
      </c>
      <c r="O448">
        <v>397</v>
      </c>
      <c r="P448">
        <v>537</v>
      </c>
      <c r="Q448">
        <v>6001</v>
      </c>
      <c r="R448">
        <v>5577</v>
      </c>
      <c r="S448">
        <v>543</v>
      </c>
      <c r="T448">
        <v>12599</v>
      </c>
      <c r="U448">
        <v>6001</v>
      </c>
      <c r="V448">
        <v>18600</v>
      </c>
      <c r="W448" s="4">
        <v>0.32263440860215054</v>
      </c>
      <c r="X448" s="4">
        <v>0.67736559139784946</v>
      </c>
    </row>
    <row r="449" spans="1:24" x14ac:dyDescent="0.25">
      <c r="A449" s="1" t="s">
        <v>103</v>
      </c>
      <c r="B449" s="1">
        <v>202103</v>
      </c>
      <c r="C449" s="2">
        <v>4</v>
      </c>
      <c r="D449" s="1" t="str">
        <f>INDEX(Codigos_Bens[Segmentação],MATCH(Base[[#This Row],[Código_do_segmento]],Codigos_Bens[Cod.],0))</f>
        <v>Motocicletas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s="4">
        <v>0</v>
      </c>
      <c r="X449" s="4">
        <v>0</v>
      </c>
    </row>
    <row r="450" spans="1:24" x14ac:dyDescent="0.25">
      <c r="A450" s="1" t="s">
        <v>103</v>
      </c>
      <c r="B450" s="1">
        <v>202103</v>
      </c>
      <c r="C450" s="2">
        <v>5</v>
      </c>
      <c r="D450" s="1" t="str">
        <f>INDEX(Codigos_Bens[Segmentação],MATCH(Base[[#This Row],[Código_do_segmento]],Codigos_Bens[Cod.],0))</f>
        <v>Outros bens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s="4">
        <v>0</v>
      </c>
      <c r="X450" s="4">
        <v>0</v>
      </c>
    </row>
    <row r="451" spans="1:24" x14ac:dyDescent="0.25">
      <c r="A451" s="1" t="s">
        <v>103</v>
      </c>
      <c r="B451" s="1">
        <v>202103</v>
      </c>
      <c r="C451" s="2">
        <v>6</v>
      </c>
      <c r="D451" s="1" t="str">
        <f>INDEX(Codigos_Bens[Segmentação],MATCH(Base[[#This Row],[Código_do_segmento]],Codigos_Bens[Cod.],0))</f>
        <v>Serviços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s="4">
        <v>0</v>
      </c>
      <c r="X451" s="4">
        <v>0</v>
      </c>
    </row>
    <row r="452" spans="1:24" x14ac:dyDescent="0.25">
      <c r="A452" s="1" t="s">
        <v>104</v>
      </c>
      <c r="B452" s="1">
        <v>202103</v>
      </c>
      <c r="C452" s="2">
        <v>1</v>
      </c>
      <c r="D452" s="1" t="str">
        <f>INDEX(Codigos_Bens[Segmentação],MATCH(Base[[#This Row],[Código_do_segmento]],Codigos_Bens[Cod.],0))</f>
        <v>Imóveis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s="4">
        <v>0</v>
      </c>
      <c r="X452" s="4">
        <v>0</v>
      </c>
    </row>
    <row r="453" spans="1:24" x14ac:dyDescent="0.25">
      <c r="A453" s="1" t="s">
        <v>104</v>
      </c>
      <c r="B453" s="1">
        <v>202103</v>
      </c>
      <c r="C453" s="2">
        <v>2</v>
      </c>
      <c r="D453" s="1" t="str">
        <f>INDEX(Codigos_Bens[Segmentação],MATCH(Base[[#This Row],[Código_do_segmento]],Codigos_Bens[Cod.],0))</f>
        <v>Veículos Pesados</v>
      </c>
      <c r="E453">
        <v>13.84149</v>
      </c>
      <c r="F453">
        <v>29</v>
      </c>
      <c r="G453">
        <v>0</v>
      </c>
      <c r="H453">
        <v>0</v>
      </c>
      <c r="I453">
        <v>260</v>
      </c>
      <c r="J453">
        <v>3011</v>
      </c>
      <c r="K453">
        <v>17399</v>
      </c>
      <c r="L453">
        <v>7116</v>
      </c>
      <c r="M453">
        <v>227</v>
      </c>
      <c r="N453">
        <v>22379</v>
      </c>
      <c r="O453">
        <v>1114</v>
      </c>
      <c r="P453">
        <v>1022</v>
      </c>
      <c r="Q453">
        <v>14097</v>
      </c>
      <c r="R453">
        <v>10544</v>
      </c>
      <c r="S453">
        <v>1008</v>
      </c>
      <c r="T453">
        <v>24515</v>
      </c>
      <c r="U453">
        <v>14097</v>
      </c>
      <c r="V453">
        <v>38612</v>
      </c>
      <c r="W453" s="4">
        <v>0.36509375323733556</v>
      </c>
      <c r="X453" s="4">
        <v>0.63490624676266449</v>
      </c>
    </row>
    <row r="454" spans="1:24" x14ac:dyDescent="0.25">
      <c r="A454" s="1" t="s">
        <v>104</v>
      </c>
      <c r="B454" s="1">
        <v>202103</v>
      </c>
      <c r="C454" s="2">
        <v>3</v>
      </c>
      <c r="D454" s="1" t="str">
        <f>INDEX(Codigos_Bens[Segmentação],MATCH(Base[[#This Row],[Código_do_segmento]],Codigos_Bens[Cod.],0))</f>
        <v>Veículos Leves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s="4">
        <v>0</v>
      </c>
      <c r="X454" s="4">
        <v>0</v>
      </c>
    </row>
    <row r="455" spans="1:24" x14ac:dyDescent="0.25">
      <c r="A455" s="1" t="s">
        <v>104</v>
      </c>
      <c r="B455" s="1">
        <v>202103</v>
      </c>
      <c r="C455" s="2">
        <v>4</v>
      </c>
      <c r="D455" s="1" t="str">
        <f>INDEX(Codigos_Bens[Segmentação],MATCH(Base[[#This Row],[Código_do_segmento]],Codigos_Bens[Cod.],0))</f>
        <v>Motocicletas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s="4">
        <v>0</v>
      </c>
      <c r="X455" s="4">
        <v>0</v>
      </c>
    </row>
    <row r="456" spans="1:24" x14ac:dyDescent="0.25">
      <c r="A456" s="1" t="s">
        <v>104</v>
      </c>
      <c r="B456" s="1">
        <v>202103</v>
      </c>
      <c r="C456" s="2">
        <v>5</v>
      </c>
      <c r="D456" s="1" t="str">
        <f>INDEX(Codigos_Bens[Segmentação],MATCH(Base[[#This Row],[Código_do_segmento]],Codigos_Bens[Cod.],0))</f>
        <v>Outros bens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s="4">
        <v>0</v>
      </c>
      <c r="X456" s="4">
        <v>0</v>
      </c>
    </row>
    <row r="457" spans="1:24" x14ac:dyDescent="0.25">
      <c r="A457" s="1" t="s">
        <v>104</v>
      </c>
      <c r="B457" s="1">
        <v>202103</v>
      </c>
      <c r="C457" s="2">
        <v>6</v>
      </c>
      <c r="D457" s="1" t="str">
        <f>INDEX(Codigos_Bens[Segmentação],MATCH(Base[[#This Row],[Código_do_segmento]],Codigos_Bens[Cod.],0))</f>
        <v>Serviços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s="4">
        <v>0</v>
      </c>
      <c r="X457" s="4">
        <v>0</v>
      </c>
    </row>
    <row r="458" spans="1:24" x14ac:dyDescent="0.25">
      <c r="A458" s="1" t="s">
        <v>105</v>
      </c>
      <c r="B458" s="1">
        <v>202103</v>
      </c>
      <c r="C458" s="2">
        <v>1</v>
      </c>
      <c r="D458" s="1" t="str">
        <f>INDEX(Codigos_Bens[Segmentação],MATCH(Base[[#This Row],[Código_do_segmento]],Codigos_Bens[Cod.],0))</f>
        <v>Imóveis</v>
      </c>
      <c r="E458">
        <v>19.578800000000001</v>
      </c>
      <c r="F458">
        <v>1</v>
      </c>
      <c r="G458">
        <v>0</v>
      </c>
      <c r="H458">
        <v>0</v>
      </c>
      <c r="I458">
        <v>0</v>
      </c>
      <c r="J458">
        <v>193</v>
      </c>
      <c r="K458">
        <v>389</v>
      </c>
      <c r="L458">
        <v>17</v>
      </c>
      <c r="M458">
        <v>2</v>
      </c>
      <c r="N458">
        <v>262</v>
      </c>
      <c r="O458">
        <v>139</v>
      </c>
      <c r="P458">
        <v>5</v>
      </c>
      <c r="Q458">
        <v>1897</v>
      </c>
      <c r="R458">
        <v>127</v>
      </c>
      <c r="S458">
        <v>22</v>
      </c>
      <c r="T458">
        <v>406</v>
      </c>
      <c r="U458">
        <v>1897</v>
      </c>
      <c r="V458">
        <v>2303</v>
      </c>
      <c r="W458" s="4">
        <v>0.82370820668693012</v>
      </c>
      <c r="X458" s="4">
        <v>0.17629179331306991</v>
      </c>
    </row>
    <row r="459" spans="1:24" x14ac:dyDescent="0.25">
      <c r="A459" s="1" t="s">
        <v>105</v>
      </c>
      <c r="B459" s="1">
        <v>202103</v>
      </c>
      <c r="C459" s="2">
        <v>2</v>
      </c>
      <c r="D459" s="1" t="str">
        <f>INDEX(Codigos_Bens[Segmentação],MATCH(Base[[#This Row],[Código_do_segmento]],Codigos_Bens[Cod.],0))</f>
        <v>Veículos Pesados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s="4">
        <v>0</v>
      </c>
      <c r="X459" s="4">
        <v>0</v>
      </c>
    </row>
    <row r="460" spans="1:24" x14ac:dyDescent="0.25">
      <c r="A460" s="1" t="s">
        <v>105</v>
      </c>
      <c r="B460" s="1">
        <v>202103</v>
      </c>
      <c r="C460" s="2">
        <v>3</v>
      </c>
      <c r="D460" s="1" t="str">
        <f>INDEX(Codigos_Bens[Segmentação],MATCH(Base[[#This Row],[Código_do_segmento]],Codigos_Bens[Cod.],0))</f>
        <v>Veículos Leves</v>
      </c>
      <c r="E460">
        <v>14.4717</v>
      </c>
      <c r="F460">
        <v>9</v>
      </c>
      <c r="G460">
        <v>0</v>
      </c>
      <c r="H460">
        <v>0</v>
      </c>
      <c r="I460">
        <v>29</v>
      </c>
      <c r="J460">
        <v>9</v>
      </c>
      <c r="K460">
        <v>958</v>
      </c>
      <c r="L460">
        <v>736</v>
      </c>
      <c r="M460">
        <v>20</v>
      </c>
      <c r="N460">
        <v>1339</v>
      </c>
      <c r="O460">
        <v>196</v>
      </c>
      <c r="P460">
        <v>159</v>
      </c>
      <c r="Q460">
        <v>812</v>
      </c>
      <c r="R460">
        <v>320</v>
      </c>
      <c r="S460">
        <v>121</v>
      </c>
      <c r="T460">
        <v>1694</v>
      </c>
      <c r="U460">
        <v>812</v>
      </c>
      <c r="V460">
        <v>2506</v>
      </c>
      <c r="W460" s="4">
        <v>0.32402234636871508</v>
      </c>
      <c r="X460" s="4">
        <v>0.67597765363128492</v>
      </c>
    </row>
    <row r="461" spans="1:24" x14ac:dyDescent="0.25">
      <c r="A461" s="1" t="s">
        <v>105</v>
      </c>
      <c r="B461" s="1">
        <v>202103</v>
      </c>
      <c r="C461" s="2">
        <v>4</v>
      </c>
      <c r="D461" s="1" t="str">
        <f>INDEX(Codigos_Bens[Segmentação],MATCH(Base[[#This Row],[Código_do_segmento]],Codigos_Bens[Cod.],0))</f>
        <v>Motocicletas</v>
      </c>
      <c r="E461">
        <v>17.0623</v>
      </c>
      <c r="F461">
        <v>16</v>
      </c>
      <c r="G461">
        <v>0</v>
      </c>
      <c r="H461">
        <v>0</v>
      </c>
      <c r="I461">
        <v>4</v>
      </c>
      <c r="J461">
        <v>21</v>
      </c>
      <c r="K461">
        <v>1798</v>
      </c>
      <c r="L461">
        <v>1093</v>
      </c>
      <c r="M461">
        <v>29</v>
      </c>
      <c r="N461">
        <v>2337</v>
      </c>
      <c r="O461">
        <v>289</v>
      </c>
      <c r="P461">
        <v>265</v>
      </c>
      <c r="Q461">
        <v>1271</v>
      </c>
      <c r="R461">
        <v>763</v>
      </c>
      <c r="S461">
        <v>252</v>
      </c>
      <c r="T461">
        <v>2891</v>
      </c>
      <c r="U461">
        <v>1271</v>
      </c>
      <c r="V461">
        <v>4162</v>
      </c>
      <c r="W461" s="4">
        <v>0.30538202787121577</v>
      </c>
      <c r="X461" s="4">
        <v>0.69461797212878429</v>
      </c>
    </row>
    <row r="462" spans="1:24" x14ac:dyDescent="0.25">
      <c r="A462" s="1" t="s">
        <v>105</v>
      </c>
      <c r="B462" s="1">
        <v>202103</v>
      </c>
      <c r="C462" s="2">
        <v>5</v>
      </c>
      <c r="D462" s="1" t="str">
        <f>INDEX(Codigos_Bens[Segmentação],MATCH(Base[[#This Row],[Código_do_segmento]],Codigos_Bens[Cod.],0))</f>
        <v>Outros bens</v>
      </c>
      <c r="E462">
        <v>16.329000000000001</v>
      </c>
      <c r="F462">
        <v>1</v>
      </c>
      <c r="G462">
        <v>0</v>
      </c>
      <c r="H462">
        <v>0</v>
      </c>
      <c r="I462">
        <v>14</v>
      </c>
      <c r="J462">
        <v>5</v>
      </c>
      <c r="K462">
        <v>50</v>
      </c>
      <c r="L462">
        <v>181</v>
      </c>
      <c r="M462">
        <v>3</v>
      </c>
      <c r="N462">
        <v>149</v>
      </c>
      <c r="O462">
        <v>18</v>
      </c>
      <c r="P462">
        <v>64</v>
      </c>
      <c r="Q462">
        <v>51</v>
      </c>
      <c r="R462">
        <v>3</v>
      </c>
      <c r="S462">
        <v>5</v>
      </c>
      <c r="T462">
        <v>231</v>
      </c>
      <c r="U462">
        <v>51</v>
      </c>
      <c r="V462">
        <v>282</v>
      </c>
      <c r="W462" s="4">
        <v>0.18085106382978725</v>
      </c>
      <c r="X462" s="4">
        <v>0.81914893617021278</v>
      </c>
    </row>
    <row r="463" spans="1:24" x14ac:dyDescent="0.25">
      <c r="A463" s="1" t="s">
        <v>105</v>
      </c>
      <c r="B463" s="1">
        <v>202103</v>
      </c>
      <c r="C463" s="2">
        <v>6</v>
      </c>
      <c r="D463" s="1" t="str">
        <f>INDEX(Codigos_Bens[Segmentação],MATCH(Base[[#This Row],[Código_do_segmento]],Codigos_Bens[Cod.],0))</f>
        <v>Serviços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s="4">
        <v>0</v>
      </c>
      <c r="X463" s="4">
        <v>0</v>
      </c>
    </row>
    <row r="464" spans="1:24" x14ac:dyDescent="0.25">
      <c r="A464" s="1" t="s">
        <v>34</v>
      </c>
      <c r="B464" s="1">
        <v>202103</v>
      </c>
      <c r="C464" s="2">
        <v>1</v>
      </c>
      <c r="D464" s="1" t="str">
        <f>INDEX(Codigos_Bens[Segmentação],MATCH(Base[[#This Row],[Código_do_segmento]],Codigos_Bens[Cod.],0))</f>
        <v>Imóveis</v>
      </c>
      <c r="E464">
        <v>16.912369999999999</v>
      </c>
      <c r="F464">
        <v>1</v>
      </c>
      <c r="G464">
        <v>0</v>
      </c>
      <c r="H464">
        <v>0</v>
      </c>
      <c r="I464">
        <v>0</v>
      </c>
      <c r="J464">
        <v>191</v>
      </c>
      <c r="K464">
        <v>154</v>
      </c>
      <c r="L464">
        <v>108</v>
      </c>
      <c r="M464">
        <v>2</v>
      </c>
      <c r="N464">
        <v>148</v>
      </c>
      <c r="O464">
        <v>59</v>
      </c>
      <c r="P464">
        <v>55</v>
      </c>
      <c r="Q464">
        <v>442</v>
      </c>
      <c r="R464">
        <v>51</v>
      </c>
      <c r="S464">
        <v>15</v>
      </c>
      <c r="T464">
        <v>262</v>
      </c>
      <c r="U464">
        <v>442</v>
      </c>
      <c r="V464">
        <v>704</v>
      </c>
      <c r="W464" s="4">
        <v>0.62784090909090906</v>
      </c>
      <c r="X464" s="4">
        <v>0.37215909090909088</v>
      </c>
    </row>
    <row r="465" spans="1:24" x14ac:dyDescent="0.25">
      <c r="A465" s="1" t="s">
        <v>34</v>
      </c>
      <c r="B465" s="1">
        <v>202103</v>
      </c>
      <c r="C465" s="2">
        <v>2</v>
      </c>
      <c r="D465" s="1" t="str">
        <f>INDEX(Codigos_Bens[Segmentação],MATCH(Base[[#This Row],[Código_do_segmento]],Codigos_Bens[Cod.],0))</f>
        <v>Veículos Pesados</v>
      </c>
      <c r="E465">
        <v>12.267569999999999</v>
      </c>
      <c r="F465">
        <v>25</v>
      </c>
      <c r="G465">
        <v>0</v>
      </c>
      <c r="H465">
        <v>0</v>
      </c>
      <c r="I465">
        <v>24</v>
      </c>
      <c r="J465">
        <v>219</v>
      </c>
      <c r="K465">
        <v>5226</v>
      </c>
      <c r="L465">
        <v>1155</v>
      </c>
      <c r="M465">
        <v>16</v>
      </c>
      <c r="N465">
        <v>4929</v>
      </c>
      <c r="O465">
        <v>1154</v>
      </c>
      <c r="P465">
        <v>298</v>
      </c>
      <c r="Q465">
        <v>6681</v>
      </c>
      <c r="R465">
        <v>3596</v>
      </c>
      <c r="S465">
        <v>87</v>
      </c>
      <c r="T465">
        <v>6381</v>
      </c>
      <c r="U465">
        <v>6681</v>
      </c>
      <c r="V465">
        <v>13062</v>
      </c>
      <c r="W465" s="4">
        <v>0.51148369315571884</v>
      </c>
      <c r="X465" s="4">
        <v>0.4885163068442811</v>
      </c>
    </row>
    <row r="466" spans="1:24" x14ac:dyDescent="0.25">
      <c r="A466" s="1" t="s">
        <v>34</v>
      </c>
      <c r="B466" s="1">
        <v>202103</v>
      </c>
      <c r="C466" s="2">
        <v>3</v>
      </c>
      <c r="D466" s="1" t="str">
        <f>INDEX(Codigos_Bens[Segmentação],MATCH(Base[[#This Row],[Código_do_segmento]],Codigos_Bens[Cod.],0))</f>
        <v>Veículos Leves</v>
      </c>
      <c r="E466">
        <v>12.115790000000001</v>
      </c>
      <c r="F466">
        <v>14</v>
      </c>
      <c r="G466">
        <v>0</v>
      </c>
      <c r="H466">
        <v>0</v>
      </c>
      <c r="I466">
        <v>38</v>
      </c>
      <c r="J466">
        <v>70</v>
      </c>
      <c r="K466">
        <v>5387</v>
      </c>
      <c r="L466">
        <v>1675</v>
      </c>
      <c r="M466">
        <v>42</v>
      </c>
      <c r="N466">
        <v>5560</v>
      </c>
      <c r="O466">
        <v>996</v>
      </c>
      <c r="P466">
        <v>506</v>
      </c>
      <c r="Q466">
        <v>4710</v>
      </c>
      <c r="R466">
        <v>3944</v>
      </c>
      <c r="S466">
        <v>192</v>
      </c>
      <c r="T466">
        <v>7062</v>
      </c>
      <c r="U466">
        <v>4710</v>
      </c>
      <c r="V466">
        <v>11772</v>
      </c>
      <c r="W466" s="4">
        <v>0.40010193679918449</v>
      </c>
      <c r="X466" s="4">
        <v>0.59989806320081551</v>
      </c>
    </row>
    <row r="467" spans="1:24" x14ac:dyDescent="0.25">
      <c r="A467" s="1" t="s">
        <v>34</v>
      </c>
      <c r="B467" s="1">
        <v>202103</v>
      </c>
      <c r="C467" s="2">
        <v>4</v>
      </c>
      <c r="D467" s="1" t="str">
        <f>INDEX(Codigos_Bens[Segmentação],MATCH(Base[[#This Row],[Código_do_segmento]],Codigos_Bens[Cod.],0))</f>
        <v>Motocicletas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s="4">
        <v>0</v>
      </c>
      <c r="X467" s="4">
        <v>0</v>
      </c>
    </row>
    <row r="468" spans="1:24" x14ac:dyDescent="0.25">
      <c r="A468" s="1" t="s">
        <v>34</v>
      </c>
      <c r="B468" s="1">
        <v>202103</v>
      </c>
      <c r="C468" s="2">
        <v>5</v>
      </c>
      <c r="D468" s="1" t="str">
        <f>INDEX(Codigos_Bens[Segmentação],MATCH(Base[[#This Row],[Código_do_segmento]],Codigos_Bens[Cod.],0))</f>
        <v>Outros bens</v>
      </c>
      <c r="E468">
        <v>10.6747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56</v>
      </c>
      <c r="L468">
        <v>27</v>
      </c>
      <c r="M468">
        <v>2</v>
      </c>
      <c r="N468">
        <v>60</v>
      </c>
      <c r="O468">
        <v>20</v>
      </c>
      <c r="P468">
        <v>3</v>
      </c>
      <c r="Q468">
        <v>6</v>
      </c>
      <c r="R468">
        <v>23</v>
      </c>
      <c r="S468">
        <v>13</v>
      </c>
      <c r="T468">
        <v>83</v>
      </c>
      <c r="U468">
        <v>6</v>
      </c>
      <c r="V468">
        <v>89</v>
      </c>
      <c r="W468" s="4">
        <v>6.741573033707865E-2</v>
      </c>
      <c r="X468" s="4">
        <v>0.93258426966292129</v>
      </c>
    </row>
    <row r="469" spans="1:24" x14ac:dyDescent="0.25">
      <c r="A469" s="1" t="s">
        <v>34</v>
      </c>
      <c r="B469" s="1">
        <v>202103</v>
      </c>
      <c r="C469" s="2">
        <v>6</v>
      </c>
      <c r="D469" s="1" t="str">
        <f>INDEX(Codigos_Bens[Segmentação],MATCH(Base[[#This Row],[Código_do_segmento]],Codigos_Bens[Cod.],0))</f>
        <v>Serviços</v>
      </c>
      <c r="E469">
        <v>12.61538</v>
      </c>
      <c r="F469">
        <v>1</v>
      </c>
      <c r="G469">
        <v>0</v>
      </c>
      <c r="H469">
        <v>0</v>
      </c>
      <c r="I469">
        <v>0</v>
      </c>
      <c r="J469">
        <v>2</v>
      </c>
      <c r="K469">
        <v>67</v>
      </c>
      <c r="L469">
        <v>24</v>
      </c>
      <c r="M469">
        <v>1</v>
      </c>
      <c r="N469">
        <v>64</v>
      </c>
      <c r="O469">
        <v>15</v>
      </c>
      <c r="P469">
        <v>12</v>
      </c>
      <c r="Q469">
        <v>6</v>
      </c>
      <c r="R469">
        <v>45</v>
      </c>
      <c r="S469">
        <v>9</v>
      </c>
      <c r="T469">
        <v>91</v>
      </c>
      <c r="U469">
        <v>6</v>
      </c>
      <c r="V469">
        <v>97</v>
      </c>
      <c r="W469" s="4">
        <v>6.1855670103092786E-2</v>
      </c>
      <c r="X469" s="4">
        <v>0.93814432989690721</v>
      </c>
    </row>
    <row r="470" spans="1:24" x14ac:dyDescent="0.25">
      <c r="A470" s="1" t="s">
        <v>106</v>
      </c>
      <c r="B470" s="1">
        <v>202103</v>
      </c>
      <c r="C470" s="2">
        <v>1</v>
      </c>
      <c r="D470" s="1" t="str">
        <f>INDEX(Codigos_Bens[Segmentação],MATCH(Base[[#This Row],[Código_do_segmento]],Codigos_Bens[Cod.],0))</f>
        <v>Imóveis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s="4">
        <v>0</v>
      </c>
      <c r="X470" s="4">
        <v>0</v>
      </c>
    </row>
    <row r="471" spans="1:24" x14ac:dyDescent="0.25">
      <c r="A471" s="1" t="s">
        <v>106</v>
      </c>
      <c r="B471" s="1">
        <v>202103</v>
      </c>
      <c r="C471" s="2">
        <v>2</v>
      </c>
      <c r="D471" s="1" t="str">
        <f>INDEX(Codigos_Bens[Segmentação],MATCH(Base[[#This Row],[Código_do_segmento]],Codigos_Bens[Cod.],0))</f>
        <v>Veículos Pesados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s="4">
        <v>0</v>
      </c>
      <c r="X471" s="4">
        <v>0</v>
      </c>
    </row>
    <row r="472" spans="1:24" x14ac:dyDescent="0.25">
      <c r="A472" s="1" t="s">
        <v>106</v>
      </c>
      <c r="B472" s="1">
        <v>202103</v>
      </c>
      <c r="C472" s="2">
        <v>3</v>
      </c>
      <c r="D472" s="1" t="str">
        <f>INDEX(Codigos_Bens[Segmentação],MATCH(Base[[#This Row],[Código_do_segmento]],Codigos_Bens[Cod.],0))</f>
        <v>Veículos Leves</v>
      </c>
      <c r="E472">
        <v>14.43961</v>
      </c>
      <c r="F472">
        <v>6</v>
      </c>
      <c r="G472">
        <v>0</v>
      </c>
      <c r="H472">
        <v>0</v>
      </c>
      <c r="I472">
        <v>4</v>
      </c>
      <c r="J472">
        <v>92</v>
      </c>
      <c r="K472">
        <v>475</v>
      </c>
      <c r="L472">
        <v>146</v>
      </c>
      <c r="M472">
        <v>6</v>
      </c>
      <c r="N472">
        <v>490</v>
      </c>
      <c r="O472">
        <v>79</v>
      </c>
      <c r="P472">
        <v>52</v>
      </c>
      <c r="Q472">
        <v>531</v>
      </c>
      <c r="R472">
        <v>269</v>
      </c>
      <c r="S472">
        <v>50</v>
      </c>
      <c r="T472">
        <v>621</v>
      </c>
      <c r="U472">
        <v>531</v>
      </c>
      <c r="V472">
        <v>1152</v>
      </c>
      <c r="W472" s="4">
        <v>0.4609375</v>
      </c>
      <c r="X472" s="4">
        <v>0.5390625</v>
      </c>
    </row>
    <row r="473" spans="1:24" x14ac:dyDescent="0.25">
      <c r="A473" s="1" t="s">
        <v>106</v>
      </c>
      <c r="B473" s="1">
        <v>202103</v>
      </c>
      <c r="C473" s="2">
        <v>4</v>
      </c>
      <c r="D473" s="1" t="str">
        <f>INDEX(Codigos_Bens[Segmentação],MATCH(Base[[#This Row],[Código_do_segmento]],Codigos_Bens[Cod.],0))</f>
        <v>Motocicletas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s="4">
        <v>0</v>
      </c>
      <c r="X473" s="4">
        <v>0</v>
      </c>
    </row>
    <row r="474" spans="1:24" x14ac:dyDescent="0.25">
      <c r="A474" s="1" t="s">
        <v>106</v>
      </c>
      <c r="B474" s="1">
        <v>202103</v>
      </c>
      <c r="C474" s="2">
        <v>5</v>
      </c>
      <c r="D474" s="1" t="str">
        <f>INDEX(Codigos_Bens[Segmentação],MATCH(Base[[#This Row],[Código_do_segmento]],Codigos_Bens[Cod.],0))</f>
        <v>Outros bens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s="4">
        <v>0</v>
      </c>
      <c r="X474" s="4">
        <v>0</v>
      </c>
    </row>
    <row r="475" spans="1:24" x14ac:dyDescent="0.25">
      <c r="A475" s="1" t="s">
        <v>106</v>
      </c>
      <c r="B475" s="1">
        <v>202103</v>
      </c>
      <c r="C475" s="2">
        <v>6</v>
      </c>
      <c r="D475" s="1" t="str">
        <f>INDEX(Codigos_Bens[Segmentação],MATCH(Base[[#This Row],[Código_do_segmento]],Codigos_Bens[Cod.],0))</f>
        <v>Serviços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s="4">
        <v>0</v>
      </c>
      <c r="X475" s="4">
        <v>0</v>
      </c>
    </row>
    <row r="476" spans="1:24" x14ac:dyDescent="0.25">
      <c r="A476" s="1" t="s">
        <v>107</v>
      </c>
      <c r="B476" s="1">
        <v>202103</v>
      </c>
      <c r="C476" s="2">
        <v>1</v>
      </c>
      <c r="D476" s="1" t="str">
        <f>INDEX(Codigos_Bens[Segmentação],MATCH(Base[[#This Row],[Código_do_segmento]],Codigos_Bens[Cod.],0))</f>
        <v>Imóveis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s="4">
        <v>0</v>
      </c>
      <c r="X476" s="4">
        <v>0</v>
      </c>
    </row>
    <row r="477" spans="1:24" x14ac:dyDescent="0.25">
      <c r="A477" s="1" t="s">
        <v>107</v>
      </c>
      <c r="B477" s="1">
        <v>202103</v>
      </c>
      <c r="C477" s="2">
        <v>2</v>
      </c>
      <c r="D477" s="1" t="str">
        <f>INDEX(Codigos_Bens[Segmentação],MATCH(Base[[#This Row],[Código_do_segmento]],Codigos_Bens[Cod.],0))</f>
        <v>Veículos Pesados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s="4">
        <v>0</v>
      </c>
      <c r="X477" s="4">
        <v>0</v>
      </c>
    </row>
    <row r="478" spans="1:24" x14ac:dyDescent="0.25">
      <c r="A478" s="1" t="s">
        <v>107</v>
      </c>
      <c r="B478" s="1">
        <v>202103</v>
      </c>
      <c r="C478" s="2">
        <v>3</v>
      </c>
      <c r="D478" s="1" t="str">
        <f>INDEX(Codigos_Bens[Segmentação],MATCH(Base[[#This Row],[Código_do_segmento]],Codigos_Bens[Cod.],0))</f>
        <v>Veículos Leves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s="4">
        <v>0</v>
      </c>
      <c r="X478" s="4">
        <v>0</v>
      </c>
    </row>
    <row r="479" spans="1:24" x14ac:dyDescent="0.25">
      <c r="A479" s="1" t="s">
        <v>107</v>
      </c>
      <c r="B479" s="1">
        <v>202103</v>
      </c>
      <c r="C479" s="2">
        <v>4</v>
      </c>
      <c r="D479" s="1" t="str">
        <f>INDEX(Codigos_Bens[Segmentação],MATCH(Base[[#This Row],[Código_do_segmento]],Codigos_Bens[Cod.],0))</f>
        <v>Motocicletas</v>
      </c>
      <c r="E479">
        <v>18.51726</v>
      </c>
      <c r="F479">
        <v>17</v>
      </c>
      <c r="G479">
        <v>0</v>
      </c>
      <c r="H479">
        <v>0</v>
      </c>
      <c r="I479">
        <v>119</v>
      </c>
      <c r="J479">
        <v>2331</v>
      </c>
      <c r="K479">
        <v>14541</v>
      </c>
      <c r="L479">
        <v>1410</v>
      </c>
      <c r="M479">
        <v>46</v>
      </c>
      <c r="N479">
        <v>15119</v>
      </c>
      <c r="O479">
        <v>533</v>
      </c>
      <c r="P479">
        <v>299</v>
      </c>
      <c r="Q479">
        <v>16966</v>
      </c>
      <c r="R479">
        <v>12683</v>
      </c>
      <c r="S479">
        <v>328</v>
      </c>
      <c r="T479">
        <v>15951</v>
      </c>
      <c r="U479">
        <v>16966</v>
      </c>
      <c r="V479">
        <v>32917</v>
      </c>
      <c r="W479" s="4">
        <v>0.51541756539174288</v>
      </c>
      <c r="X479" s="4">
        <v>0.48458243460825712</v>
      </c>
    </row>
    <row r="480" spans="1:24" x14ac:dyDescent="0.25">
      <c r="A480" s="1" t="s">
        <v>107</v>
      </c>
      <c r="B480" s="1">
        <v>202103</v>
      </c>
      <c r="C480" s="2">
        <v>5</v>
      </c>
      <c r="D480" s="1" t="str">
        <f>INDEX(Codigos_Bens[Segmentação],MATCH(Base[[#This Row],[Código_do_segmento]],Codigos_Bens[Cod.],0))</f>
        <v>Outros bens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s="4">
        <v>0</v>
      </c>
      <c r="X480" s="4">
        <v>0</v>
      </c>
    </row>
    <row r="481" spans="1:24" x14ac:dyDescent="0.25">
      <c r="A481" s="1" t="s">
        <v>107</v>
      </c>
      <c r="B481" s="1">
        <v>202103</v>
      </c>
      <c r="C481" s="2">
        <v>6</v>
      </c>
      <c r="D481" s="1" t="str">
        <f>INDEX(Codigos_Bens[Segmentação],MATCH(Base[[#This Row],[Código_do_segmento]],Codigos_Bens[Cod.],0))</f>
        <v>Serviços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s="4">
        <v>0</v>
      </c>
      <c r="X481" s="4">
        <v>0</v>
      </c>
    </row>
    <row r="482" spans="1:24" x14ac:dyDescent="0.25">
      <c r="A482" s="1" t="s">
        <v>146</v>
      </c>
      <c r="B482" s="1">
        <v>202103</v>
      </c>
      <c r="C482" s="2">
        <v>1</v>
      </c>
      <c r="D482" s="1" t="str">
        <f>INDEX(Codigos_Bens[Segmentação],MATCH(Base[[#This Row],[Código_do_segmento]],Codigos_Bens[Cod.],0))</f>
        <v>Imóveis</v>
      </c>
      <c r="E482">
        <v>19.867650000000001</v>
      </c>
      <c r="F482">
        <v>28</v>
      </c>
      <c r="G482">
        <v>0</v>
      </c>
      <c r="H482">
        <v>0</v>
      </c>
      <c r="I482">
        <v>1224</v>
      </c>
      <c r="J482">
        <v>15550</v>
      </c>
      <c r="K482">
        <v>1539</v>
      </c>
      <c r="L482">
        <v>7810</v>
      </c>
      <c r="M482">
        <v>32</v>
      </c>
      <c r="N482">
        <v>5969</v>
      </c>
      <c r="O482">
        <v>449</v>
      </c>
      <c r="P482">
        <v>2931</v>
      </c>
      <c r="Q482">
        <v>80839</v>
      </c>
      <c r="R482">
        <v>276</v>
      </c>
      <c r="S482">
        <v>485</v>
      </c>
      <c r="T482">
        <v>9349</v>
      </c>
      <c r="U482">
        <v>80839</v>
      </c>
      <c r="V482">
        <v>90188</v>
      </c>
      <c r="W482" s="4">
        <v>0.89633875903667892</v>
      </c>
      <c r="X482" s="4">
        <v>0.10366124096332106</v>
      </c>
    </row>
    <row r="483" spans="1:24" x14ac:dyDescent="0.25">
      <c r="A483" s="1" t="s">
        <v>146</v>
      </c>
      <c r="B483" s="1">
        <v>202103</v>
      </c>
      <c r="C483" s="2">
        <v>2</v>
      </c>
      <c r="D483" s="1" t="str">
        <f>INDEX(Codigos_Bens[Segmentação],MATCH(Base[[#This Row],[Código_do_segmento]],Codigos_Bens[Cod.],0))</f>
        <v>Veículos Pesados</v>
      </c>
      <c r="E483">
        <v>15.89808</v>
      </c>
      <c r="F483">
        <v>5</v>
      </c>
      <c r="G483">
        <v>0</v>
      </c>
      <c r="H483">
        <v>0</v>
      </c>
      <c r="I483">
        <v>572</v>
      </c>
      <c r="J483">
        <v>1707</v>
      </c>
      <c r="K483">
        <v>252</v>
      </c>
      <c r="L483">
        <v>3495</v>
      </c>
      <c r="M483">
        <v>15</v>
      </c>
      <c r="N483">
        <v>1941</v>
      </c>
      <c r="O483">
        <v>40</v>
      </c>
      <c r="P483">
        <v>1766</v>
      </c>
      <c r="Q483">
        <v>14300</v>
      </c>
      <c r="R483">
        <v>8</v>
      </c>
      <c r="S483">
        <v>77</v>
      </c>
      <c r="T483">
        <v>3747</v>
      </c>
      <c r="U483">
        <v>14300</v>
      </c>
      <c r="V483">
        <v>18047</v>
      </c>
      <c r="W483" s="4">
        <v>0.79237546406604975</v>
      </c>
      <c r="X483" s="4">
        <v>0.20762453593395025</v>
      </c>
    </row>
    <row r="484" spans="1:24" x14ac:dyDescent="0.25">
      <c r="A484" s="1" t="s">
        <v>146</v>
      </c>
      <c r="B484" s="1">
        <v>202103</v>
      </c>
      <c r="C484" s="2">
        <v>3</v>
      </c>
      <c r="D484" s="1" t="str">
        <f>INDEX(Codigos_Bens[Segmentação],MATCH(Base[[#This Row],[Código_do_segmento]],Codigos_Bens[Cod.],0))</f>
        <v>Veículos Leves</v>
      </c>
      <c r="E484">
        <v>16.001390000000001</v>
      </c>
      <c r="F484">
        <v>20</v>
      </c>
      <c r="G484">
        <v>0</v>
      </c>
      <c r="H484">
        <v>0</v>
      </c>
      <c r="I484">
        <v>1120</v>
      </c>
      <c r="J484">
        <v>9948</v>
      </c>
      <c r="K484">
        <v>2763</v>
      </c>
      <c r="L484">
        <v>7288</v>
      </c>
      <c r="M484">
        <v>106</v>
      </c>
      <c r="N484">
        <v>6158</v>
      </c>
      <c r="O484">
        <v>695</v>
      </c>
      <c r="P484">
        <v>3198</v>
      </c>
      <c r="Q484">
        <v>61423</v>
      </c>
      <c r="R484">
        <v>303</v>
      </c>
      <c r="S484">
        <v>488</v>
      </c>
      <c r="T484">
        <v>10051</v>
      </c>
      <c r="U484">
        <v>61423</v>
      </c>
      <c r="V484">
        <v>71474</v>
      </c>
      <c r="W484" s="4">
        <v>0.85937543722192689</v>
      </c>
      <c r="X484" s="4">
        <v>0.14062456277807314</v>
      </c>
    </row>
    <row r="485" spans="1:24" x14ac:dyDescent="0.25">
      <c r="A485" s="1" t="s">
        <v>146</v>
      </c>
      <c r="B485" s="1">
        <v>202103</v>
      </c>
      <c r="C485" s="2">
        <v>4</v>
      </c>
      <c r="D485" s="1" t="str">
        <f>INDEX(Codigos_Bens[Segmentação],MATCH(Base[[#This Row],[Código_do_segmento]],Codigos_Bens[Cod.],0))</f>
        <v>Motocicletas</v>
      </c>
      <c r="E485">
        <v>15.878399999999999</v>
      </c>
      <c r="F485">
        <v>25</v>
      </c>
      <c r="G485">
        <v>0</v>
      </c>
      <c r="H485">
        <v>0</v>
      </c>
      <c r="I485">
        <v>849</v>
      </c>
      <c r="J485">
        <v>11543</v>
      </c>
      <c r="K485">
        <v>4423</v>
      </c>
      <c r="L485">
        <v>7675</v>
      </c>
      <c r="M485">
        <v>149</v>
      </c>
      <c r="N485">
        <v>6940</v>
      </c>
      <c r="O485">
        <v>1201</v>
      </c>
      <c r="P485">
        <v>3957</v>
      </c>
      <c r="Q485">
        <v>68056</v>
      </c>
      <c r="R485">
        <v>697</v>
      </c>
      <c r="S485">
        <v>661</v>
      </c>
      <c r="T485">
        <v>12098</v>
      </c>
      <c r="U485">
        <v>68056</v>
      </c>
      <c r="V485">
        <v>80154</v>
      </c>
      <c r="W485" s="4">
        <v>0.84906554881852436</v>
      </c>
      <c r="X485" s="4">
        <v>0.15093445118147567</v>
      </c>
    </row>
    <row r="486" spans="1:24" x14ac:dyDescent="0.25">
      <c r="A486" s="1" t="s">
        <v>146</v>
      </c>
      <c r="B486" s="1">
        <v>202103</v>
      </c>
      <c r="C486" s="2">
        <v>5</v>
      </c>
      <c r="D486" s="1" t="str">
        <f>INDEX(Codigos_Bens[Segmentação],MATCH(Base[[#This Row],[Código_do_segmento]],Codigos_Bens[Cod.],0))</f>
        <v>Outros bens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s="4">
        <v>0</v>
      </c>
      <c r="X486" s="4">
        <v>0</v>
      </c>
    </row>
    <row r="487" spans="1:24" x14ac:dyDescent="0.25">
      <c r="A487" s="1" t="s">
        <v>146</v>
      </c>
      <c r="B487" s="1">
        <v>202103</v>
      </c>
      <c r="C487" s="2">
        <v>6</v>
      </c>
      <c r="D487" s="1" t="str">
        <f>INDEX(Codigos_Bens[Segmentação],MATCH(Base[[#This Row],[Código_do_segmento]],Codigos_Bens[Cod.],0))</f>
        <v>Serviços</v>
      </c>
      <c r="E487">
        <v>16</v>
      </c>
      <c r="F487">
        <v>7</v>
      </c>
      <c r="G487">
        <v>0</v>
      </c>
      <c r="H487">
        <v>0</v>
      </c>
      <c r="I487">
        <v>25</v>
      </c>
      <c r="J487">
        <v>1406</v>
      </c>
      <c r="K487">
        <v>204</v>
      </c>
      <c r="L487">
        <v>159</v>
      </c>
      <c r="M487">
        <v>4</v>
      </c>
      <c r="N487">
        <v>177</v>
      </c>
      <c r="O487">
        <v>96</v>
      </c>
      <c r="P487">
        <v>90</v>
      </c>
      <c r="Q487">
        <v>4027</v>
      </c>
      <c r="R487">
        <v>34</v>
      </c>
      <c r="S487">
        <v>69</v>
      </c>
      <c r="T487">
        <v>363</v>
      </c>
      <c r="U487">
        <v>4027</v>
      </c>
      <c r="V487">
        <v>4390</v>
      </c>
      <c r="W487" s="4">
        <v>0.91731207289293848</v>
      </c>
      <c r="X487" s="4">
        <v>8.2687927107061507E-2</v>
      </c>
    </row>
    <row r="488" spans="1:24" x14ac:dyDescent="0.25">
      <c r="A488" s="1" t="s">
        <v>108</v>
      </c>
      <c r="B488" s="1">
        <v>202103</v>
      </c>
      <c r="C488" s="2">
        <v>1</v>
      </c>
      <c r="D488" s="1" t="str">
        <f>INDEX(Codigos_Bens[Segmentação],MATCH(Base[[#This Row],[Código_do_segmento]],Codigos_Bens[Cod.],0))</f>
        <v>Imóveis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s="4">
        <v>0</v>
      </c>
      <c r="X488" s="4">
        <v>0</v>
      </c>
    </row>
    <row r="489" spans="1:24" x14ac:dyDescent="0.25">
      <c r="A489" s="1" t="s">
        <v>108</v>
      </c>
      <c r="B489" s="1">
        <v>202103</v>
      </c>
      <c r="C489" s="2">
        <v>2</v>
      </c>
      <c r="D489" s="1" t="str">
        <f>INDEX(Codigos_Bens[Segmentação],MATCH(Base[[#This Row],[Código_do_segmento]],Codigos_Bens[Cod.],0))</f>
        <v>Veículos Pesados</v>
      </c>
      <c r="E489">
        <v>12.81664</v>
      </c>
      <c r="F489">
        <v>13</v>
      </c>
      <c r="G489">
        <v>2</v>
      </c>
      <c r="H489">
        <v>0</v>
      </c>
      <c r="I489">
        <v>128</v>
      </c>
      <c r="J489">
        <v>899</v>
      </c>
      <c r="K489">
        <v>2099</v>
      </c>
      <c r="L489">
        <v>1555</v>
      </c>
      <c r="M489">
        <v>22</v>
      </c>
      <c r="N489">
        <v>3177</v>
      </c>
      <c r="O489">
        <v>235</v>
      </c>
      <c r="P489">
        <v>242</v>
      </c>
      <c r="Q489">
        <v>1756</v>
      </c>
      <c r="R489">
        <v>901</v>
      </c>
      <c r="S489">
        <v>119</v>
      </c>
      <c r="T489">
        <v>3654</v>
      </c>
      <c r="U489">
        <v>1756</v>
      </c>
      <c r="V489">
        <v>5410</v>
      </c>
      <c r="W489" s="4">
        <v>0.32458410351201478</v>
      </c>
      <c r="X489" s="4">
        <v>0.67541589648798517</v>
      </c>
    </row>
    <row r="490" spans="1:24" x14ac:dyDescent="0.25">
      <c r="A490" s="1" t="s">
        <v>108</v>
      </c>
      <c r="B490" s="1">
        <v>202103</v>
      </c>
      <c r="C490" s="2">
        <v>3</v>
      </c>
      <c r="D490" s="1" t="str">
        <f>INDEX(Codigos_Bens[Segmentação],MATCH(Base[[#This Row],[Código_do_segmento]],Codigos_Bens[Cod.],0))</f>
        <v>Veículos Leves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s="4">
        <v>0</v>
      </c>
      <c r="X490" s="4">
        <v>0</v>
      </c>
    </row>
    <row r="491" spans="1:24" x14ac:dyDescent="0.25">
      <c r="A491" s="1" t="s">
        <v>108</v>
      </c>
      <c r="B491" s="1">
        <v>202103</v>
      </c>
      <c r="C491" s="2">
        <v>4</v>
      </c>
      <c r="D491" s="1" t="str">
        <f>INDEX(Codigos_Bens[Segmentação],MATCH(Base[[#This Row],[Código_do_segmento]],Codigos_Bens[Cod.],0))</f>
        <v>Motocicletas</v>
      </c>
      <c r="E491">
        <v>19.512070000000001</v>
      </c>
      <c r="F491">
        <v>2</v>
      </c>
      <c r="G491">
        <v>0</v>
      </c>
      <c r="H491">
        <v>0</v>
      </c>
      <c r="I491">
        <v>2</v>
      </c>
      <c r="J491">
        <v>261</v>
      </c>
      <c r="K491">
        <v>171</v>
      </c>
      <c r="L491">
        <v>60</v>
      </c>
      <c r="M491">
        <v>1</v>
      </c>
      <c r="N491">
        <v>207</v>
      </c>
      <c r="O491">
        <v>9</v>
      </c>
      <c r="P491">
        <v>15</v>
      </c>
      <c r="Q491">
        <v>310</v>
      </c>
      <c r="R491">
        <v>124</v>
      </c>
      <c r="S491">
        <v>13</v>
      </c>
      <c r="T491">
        <v>231</v>
      </c>
      <c r="U491">
        <v>310</v>
      </c>
      <c r="V491">
        <v>541</v>
      </c>
      <c r="W491" s="4">
        <v>0.57301293900184846</v>
      </c>
      <c r="X491" s="4">
        <v>0.42698706099815159</v>
      </c>
    </row>
    <row r="492" spans="1:24" x14ac:dyDescent="0.25">
      <c r="A492" s="1" t="s">
        <v>108</v>
      </c>
      <c r="B492" s="1">
        <v>202103</v>
      </c>
      <c r="C492" s="2">
        <v>5</v>
      </c>
      <c r="D492" s="1" t="str">
        <f>INDEX(Codigos_Bens[Segmentação],MATCH(Base[[#This Row],[Código_do_segmento]],Codigos_Bens[Cod.],0))</f>
        <v>Outros bens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s="4">
        <v>0</v>
      </c>
      <c r="X492" s="4">
        <v>0</v>
      </c>
    </row>
    <row r="493" spans="1:24" x14ac:dyDescent="0.25">
      <c r="A493" s="1" t="s">
        <v>108</v>
      </c>
      <c r="B493" s="1">
        <v>202103</v>
      </c>
      <c r="C493" s="2">
        <v>6</v>
      </c>
      <c r="D493" s="1" t="str">
        <f>INDEX(Codigos_Bens[Segmentação],MATCH(Base[[#This Row],[Código_do_segmento]],Codigos_Bens[Cod.],0))</f>
        <v>Serviços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s="4">
        <v>0</v>
      </c>
      <c r="X493" s="4">
        <v>0</v>
      </c>
    </row>
    <row r="494" spans="1:24" x14ac:dyDescent="0.25">
      <c r="A494" s="1" t="s">
        <v>109</v>
      </c>
      <c r="B494" s="1">
        <v>202103</v>
      </c>
      <c r="C494" s="2">
        <v>1</v>
      </c>
      <c r="D494" s="1" t="str">
        <f>INDEX(Codigos_Bens[Segmentação],MATCH(Base[[#This Row],[Código_do_segmento]],Codigos_Bens[Cod.],0))</f>
        <v>Imóveis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s="4">
        <v>0</v>
      </c>
      <c r="X494" s="4">
        <v>0</v>
      </c>
    </row>
    <row r="495" spans="1:24" x14ac:dyDescent="0.25">
      <c r="A495" s="1" t="s">
        <v>109</v>
      </c>
      <c r="B495" s="1">
        <v>202103</v>
      </c>
      <c r="C495" s="2">
        <v>2</v>
      </c>
      <c r="D495" s="1" t="str">
        <f>INDEX(Codigos_Bens[Segmentação],MATCH(Base[[#This Row],[Código_do_segmento]],Codigos_Bens[Cod.],0))</f>
        <v>Veículos Pesados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s="4">
        <v>0</v>
      </c>
      <c r="X495" s="4">
        <v>0</v>
      </c>
    </row>
    <row r="496" spans="1:24" x14ac:dyDescent="0.25">
      <c r="A496" s="1" t="s">
        <v>109</v>
      </c>
      <c r="B496" s="1">
        <v>202103</v>
      </c>
      <c r="C496" s="2">
        <v>3</v>
      </c>
      <c r="D496" s="1" t="str">
        <f>INDEX(Codigos_Bens[Segmentação],MATCH(Base[[#This Row],[Código_do_segmento]],Codigos_Bens[Cod.],0))</f>
        <v>Veículos Leves</v>
      </c>
      <c r="E496">
        <v>15.61401</v>
      </c>
      <c r="F496">
        <v>4</v>
      </c>
      <c r="G496">
        <v>0</v>
      </c>
      <c r="H496">
        <v>0</v>
      </c>
      <c r="I496">
        <v>3</v>
      </c>
      <c r="J496">
        <v>20</v>
      </c>
      <c r="K496">
        <v>459</v>
      </c>
      <c r="L496">
        <v>355</v>
      </c>
      <c r="M496">
        <v>14</v>
      </c>
      <c r="N496">
        <v>672</v>
      </c>
      <c r="O496">
        <v>71</v>
      </c>
      <c r="P496">
        <v>71</v>
      </c>
      <c r="Q496">
        <v>459</v>
      </c>
      <c r="R496">
        <v>152</v>
      </c>
      <c r="S496">
        <v>43</v>
      </c>
      <c r="T496">
        <v>814</v>
      </c>
      <c r="U496">
        <v>459</v>
      </c>
      <c r="V496">
        <v>1273</v>
      </c>
      <c r="W496" s="4">
        <v>0.3605655930871956</v>
      </c>
      <c r="X496" s="4">
        <v>0.6394344069128044</v>
      </c>
    </row>
    <row r="497" spans="1:24" x14ac:dyDescent="0.25">
      <c r="A497" s="1" t="s">
        <v>109</v>
      </c>
      <c r="B497" s="1">
        <v>202103</v>
      </c>
      <c r="C497" s="2">
        <v>4</v>
      </c>
      <c r="D497" s="1" t="str">
        <f>INDEX(Codigos_Bens[Segmentação],MATCH(Base[[#This Row],[Código_do_segmento]],Codigos_Bens[Cod.],0))</f>
        <v>Motocicletas</v>
      </c>
      <c r="E497">
        <v>20.93169</v>
      </c>
      <c r="F497">
        <v>7</v>
      </c>
      <c r="G497">
        <v>0</v>
      </c>
      <c r="H497">
        <v>0</v>
      </c>
      <c r="I497">
        <v>34</v>
      </c>
      <c r="J497">
        <v>53</v>
      </c>
      <c r="K497">
        <v>893</v>
      </c>
      <c r="L497">
        <v>688</v>
      </c>
      <c r="M497">
        <v>26</v>
      </c>
      <c r="N497">
        <v>1271</v>
      </c>
      <c r="O497">
        <v>152</v>
      </c>
      <c r="P497">
        <v>158</v>
      </c>
      <c r="Q497">
        <v>1280</v>
      </c>
      <c r="R497">
        <v>326</v>
      </c>
      <c r="S497">
        <v>151</v>
      </c>
      <c r="T497">
        <v>1581</v>
      </c>
      <c r="U497">
        <v>1280</v>
      </c>
      <c r="V497">
        <v>2861</v>
      </c>
      <c r="W497" s="4">
        <v>0.44739601537923801</v>
      </c>
      <c r="X497" s="4">
        <v>0.55260398462076199</v>
      </c>
    </row>
    <row r="498" spans="1:24" x14ac:dyDescent="0.25">
      <c r="A498" s="1" t="s">
        <v>109</v>
      </c>
      <c r="B498" s="1">
        <v>202103</v>
      </c>
      <c r="C498" s="2">
        <v>5</v>
      </c>
      <c r="D498" s="1" t="str">
        <f>INDEX(Codigos_Bens[Segmentação],MATCH(Base[[#This Row],[Código_do_segmento]],Codigos_Bens[Cod.],0))</f>
        <v>Outros bens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s="4">
        <v>0</v>
      </c>
      <c r="X498" s="4">
        <v>0</v>
      </c>
    </row>
    <row r="499" spans="1:24" x14ac:dyDescent="0.25">
      <c r="A499" s="1" t="s">
        <v>109</v>
      </c>
      <c r="B499" s="1">
        <v>202103</v>
      </c>
      <c r="C499" s="2">
        <v>6</v>
      </c>
      <c r="D499" s="1" t="str">
        <f>INDEX(Codigos_Bens[Segmentação],MATCH(Base[[#This Row],[Código_do_segmento]],Codigos_Bens[Cod.],0))</f>
        <v>Serviços</v>
      </c>
      <c r="E499">
        <v>20.4087</v>
      </c>
      <c r="F499">
        <v>1</v>
      </c>
      <c r="G499">
        <v>0</v>
      </c>
      <c r="H499">
        <v>0</v>
      </c>
      <c r="I499">
        <v>2</v>
      </c>
      <c r="J499">
        <v>4</v>
      </c>
      <c r="K499">
        <v>52</v>
      </c>
      <c r="L499">
        <v>63</v>
      </c>
      <c r="M499">
        <v>5</v>
      </c>
      <c r="N499">
        <v>92</v>
      </c>
      <c r="O499">
        <v>6</v>
      </c>
      <c r="P499">
        <v>17</v>
      </c>
      <c r="Q499">
        <v>46</v>
      </c>
      <c r="R499">
        <v>6</v>
      </c>
      <c r="S499">
        <v>17</v>
      </c>
      <c r="T499">
        <v>115</v>
      </c>
      <c r="U499">
        <v>46</v>
      </c>
      <c r="V499">
        <v>161</v>
      </c>
      <c r="W499" s="4">
        <v>0.2857142857142857</v>
      </c>
      <c r="X499" s="4">
        <v>0.7142857142857143</v>
      </c>
    </row>
    <row r="500" spans="1:24" x14ac:dyDescent="0.25">
      <c r="A500" s="1" t="s">
        <v>110</v>
      </c>
      <c r="B500" s="1">
        <v>202103</v>
      </c>
      <c r="C500" s="2">
        <v>1</v>
      </c>
      <c r="D500" s="1" t="str">
        <f>INDEX(Codigos_Bens[Segmentação],MATCH(Base[[#This Row],[Código_do_segmento]],Codigos_Bens[Cod.],0))</f>
        <v>Imóveis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s="4">
        <v>0</v>
      </c>
      <c r="X500" s="4">
        <v>0</v>
      </c>
    </row>
    <row r="501" spans="1:24" x14ac:dyDescent="0.25">
      <c r="A501" s="1" t="s">
        <v>110</v>
      </c>
      <c r="B501" s="1">
        <v>202103</v>
      </c>
      <c r="C501" s="2">
        <v>2</v>
      </c>
      <c r="D501" s="1" t="str">
        <f>INDEX(Codigos_Bens[Segmentação],MATCH(Base[[#This Row],[Código_do_segmento]],Codigos_Bens[Cod.],0))</f>
        <v>Veículos Pesados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s="4">
        <v>0</v>
      </c>
      <c r="X501" s="4">
        <v>0</v>
      </c>
    </row>
    <row r="502" spans="1:24" x14ac:dyDescent="0.25">
      <c r="A502" s="1" t="s">
        <v>110</v>
      </c>
      <c r="B502" s="1">
        <v>202103</v>
      </c>
      <c r="C502" s="2">
        <v>3</v>
      </c>
      <c r="D502" s="1" t="str">
        <f>INDEX(Codigos_Bens[Segmentação],MATCH(Base[[#This Row],[Código_do_segmento]],Codigos_Bens[Cod.],0))</f>
        <v>Veículos Leves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s="4">
        <v>0</v>
      </c>
      <c r="X502" s="4">
        <v>0</v>
      </c>
    </row>
    <row r="503" spans="1:24" x14ac:dyDescent="0.25">
      <c r="A503" s="1" t="s">
        <v>110</v>
      </c>
      <c r="B503" s="1">
        <v>202103</v>
      </c>
      <c r="C503" s="2">
        <v>4</v>
      </c>
      <c r="D503" s="1" t="str">
        <f>INDEX(Codigos_Bens[Segmentação],MATCH(Base[[#This Row],[Código_do_segmento]],Codigos_Bens[Cod.],0))</f>
        <v>Motocicletas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s="4">
        <v>0</v>
      </c>
      <c r="X503" s="4">
        <v>0</v>
      </c>
    </row>
    <row r="504" spans="1:24" x14ac:dyDescent="0.25">
      <c r="A504" s="1" t="s">
        <v>110</v>
      </c>
      <c r="B504" s="1">
        <v>202103</v>
      </c>
      <c r="C504" s="2">
        <v>5</v>
      </c>
      <c r="D504" s="1" t="str">
        <f>INDEX(Codigos_Bens[Segmentação],MATCH(Base[[#This Row],[Código_do_segmento]],Codigos_Bens[Cod.],0))</f>
        <v>Outros bens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s="4">
        <v>0</v>
      </c>
      <c r="X504" s="4">
        <v>0</v>
      </c>
    </row>
    <row r="505" spans="1:24" x14ac:dyDescent="0.25">
      <c r="A505" s="1" t="s">
        <v>110</v>
      </c>
      <c r="B505" s="1">
        <v>202103</v>
      </c>
      <c r="C505" s="2">
        <v>6</v>
      </c>
      <c r="D505" s="1" t="str">
        <f>INDEX(Codigos_Bens[Segmentação],MATCH(Base[[#This Row],[Código_do_segmento]],Codigos_Bens[Cod.],0))</f>
        <v>Serviços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s="4">
        <v>0</v>
      </c>
      <c r="X505" s="4">
        <v>0</v>
      </c>
    </row>
    <row r="506" spans="1:24" x14ac:dyDescent="0.25">
      <c r="A506" s="1" t="s">
        <v>111</v>
      </c>
      <c r="B506" s="1">
        <v>202103</v>
      </c>
      <c r="C506" s="2">
        <v>1</v>
      </c>
      <c r="D506" s="1" t="str">
        <f>INDEX(Codigos_Bens[Segmentação],MATCH(Base[[#This Row],[Código_do_segmento]],Codigos_Bens[Cod.],0))</f>
        <v>Imóveis</v>
      </c>
      <c r="E506">
        <v>8.3208099999999998</v>
      </c>
      <c r="F506">
        <v>41</v>
      </c>
      <c r="G506">
        <v>0</v>
      </c>
      <c r="H506">
        <v>0</v>
      </c>
      <c r="I506">
        <v>584</v>
      </c>
      <c r="J506">
        <v>991</v>
      </c>
      <c r="K506">
        <v>11051</v>
      </c>
      <c r="L506">
        <v>23744</v>
      </c>
      <c r="M506">
        <v>321</v>
      </c>
      <c r="N506">
        <v>33505</v>
      </c>
      <c r="O506">
        <v>401</v>
      </c>
      <c r="P506">
        <v>889</v>
      </c>
      <c r="Q506">
        <v>12833</v>
      </c>
      <c r="R506">
        <v>2084</v>
      </c>
      <c r="S506">
        <v>5210</v>
      </c>
      <c r="T506">
        <v>34795</v>
      </c>
      <c r="U506">
        <v>12833</v>
      </c>
      <c r="V506">
        <v>47628</v>
      </c>
      <c r="W506" s="4">
        <v>0.26944234483917023</v>
      </c>
      <c r="X506" s="4">
        <v>0.73055765516082971</v>
      </c>
    </row>
    <row r="507" spans="1:24" x14ac:dyDescent="0.25">
      <c r="A507" s="1" t="s">
        <v>111</v>
      </c>
      <c r="B507" s="1">
        <v>202103</v>
      </c>
      <c r="C507" s="2">
        <v>2</v>
      </c>
      <c r="D507" s="1" t="str">
        <f>INDEX(Codigos_Bens[Segmentação],MATCH(Base[[#This Row],[Código_do_segmento]],Codigos_Bens[Cod.],0))</f>
        <v>Veículos Pesados</v>
      </c>
      <c r="E507">
        <v>8.2359000000000009</v>
      </c>
      <c r="F507">
        <v>4</v>
      </c>
      <c r="G507">
        <v>0</v>
      </c>
      <c r="H507">
        <v>0</v>
      </c>
      <c r="I507">
        <v>83</v>
      </c>
      <c r="J507">
        <v>92</v>
      </c>
      <c r="K507">
        <v>465</v>
      </c>
      <c r="L507">
        <v>2378</v>
      </c>
      <c r="M507">
        <v>38</v>
      </c>
      <c r="N507">
        <v>2720</v>
      </c>
      <c r="O507">
        <v>14</v>
      </c>
      <c r="P507">
        <v>109</v>
      </c>
      <c r="Q507">
        <v>512</v>
      </c>
      <c r="R507">
        <v>12</v>
      </c>
      <c r="S507">
        <v>248</v>
      </c>
      <c r="T507">
        <v>2843</v>
      </c>
      <c r="U507">
        <v>512</v>
      </c>
      <c r="V507">
        <v>3355</v>
      </c>
      <c r="W507" s="4">
        <v>0.1526080476900149</v>
      </c>
      <c r="X507" s="4">
        <v>0.8473919523099851</v>
      </c>
    </row>
    <row r="508" spans="1:24" x14ac:dyDescent="0.25">
      <c r="A508" s="1" t="s">
        <v>111</v>
      </c>
      <c r="B508" s="1">
        <v>202103</v>
      </c>
      <c r="C508" s="2">
        <v>3</v>
      </c>
      <c r="D508" s="1" t="str">
        <f>INDEX(Codigos_Bens[Segmentação],MATCH(Base[[#This Row],[Código_do_segmento]],Codigos_Bens[Cod.],0))</f>
        <v>Veículos Leves</v>
      </c>
      <c r="E508">
        <v>8.1879399999999993</v>
      </c>
      <c r="F508">
        <v>154</v>
      </c>
      <c r="G508">
        <v>2</v>
      </c>
      <c r="H508">
        <v>0</v>
      </c>
      <c r="I508">
        <v>2196</v>
      </c>
      <c r="J508">
        <v>1143</v>
      </c>
      <c r="K508">
        <v>64928</v>
      </c>
      <c r="L508">
        <v>76051</v>
      </c>
      <c r="M508">
        <v>2293</v>
      </c>
      <c r="N508">
        <v>133653</v>
      </c>
      <c r="O508">
        <v>3317</v>
      </c>
      <c r="P508">
        <v>4009</v>
      </c>
      <c r="Q508">
        <v>29881</v>
      </c>
      <c r="R508">
        <v>19950</v>
      </c>
      <c r="S508">
        <v>19292</v>
      </c>
      <c r="T508">
        <v>140979</v>
      </c>
      <c r="U508">
        <v>29881</v>
      </c>
      <c r="V508">
        <v>170860</v>
      </c>
      <c r="W508" s="4">
        <v>0.17488587147372117</v>
      </c>
      <c r="X508" s="4">
        <v>0.82511412852627886</v>
      </c>
    </row>
    <row r="509" spans="1:24" x14ac:dyDescent="0.25">
      <c r="A509" s="1" t="s">
        <v>111</v>
      </c>
      <c r="B509" s="1">
        <v>202103</v>
      </c>
      <c r="C509" s="2">
        <v>4</v>
      </c>
      <c r="D509" s="1" t="str">
        <f>INDEX(Codigos_Bens[Segmentação],MATCH(Base[[#This Row],[Código_do_segmento]],Codigos_Bens[Cod.],0))</f>
        <v>Motocicletas</v>
      </c>
      <c r="E509">
        <v>9.3742300000000007</v>
      </c>
      <c r="F509">
        <v>26</v>
      </c>
      <c r="G509">
        <v>0</v>
      </c>
      <c r="H509">
        <v>0</v>
      </c>
      <c r="I509">
        <v>462</v>
      </c>
      <c r="J509">
        <v>266</v>
      </c>
      <c r="K509">
        <v>10635</v>
      </c>
      <c r="L509">
        <v>12636</v>
      </c>
      <c r="M509">
        <v>535</v>
      </c>
      <c r="N509">
        <v>21590</v>
      </c>
      <c r="O509">
        <v>816</v>
      </c>
      <c r="P509">
        <v>865</v>
      </c>
      <c r="Q509">
        <v>5801</v>
      </c>
      <c r="R509">
        <v>3263</v>
      </c>
      <c r="S509">
        <v>3837</v>
      </c>
      <c r="T509">
        <v>23271</v>
      </c>
      <c r="U509">
        <v>5801</v>
      </c>
      <c r="V509">
        <v>29072</v>
      </c>
      <c r="W509" s="4">
        <v>0.19953907539900936</v>
      </c>
      <c r="X509" s="4">
        <v>0.80046092460099061</v>
      </c>
    </row>
    <row r="510" spans="1:24" x14ac:dyDescent="0.25">
      <c r="A510" s="1" t="s">
        <v>111</v>
      </c>
      <c r="B510" s="1">
        <v>202103</v>
      </c>
      <c r="C510" s="2">
        <v>5</v>
      </c>
      <c r="D510" s="1" t="str">
        <f>INDEX(Codigos_Bens[Segmentação],MATCH(Base[[#This Row],[Código_do_segmento]],Codigos_Bens[Cod.],0))</f>
        <v>Outros bens</v>
      </c>
      <c r="E510">
        <v>12.163460000000001</v>
      </c>
      <c r="F510">
        <v>3</v>
      </c>
      <c r="G510">
        <v>0</v>
      </c>
      <c r="H510">
        <v>0</v>
      </c>
      <c r="I510">
        <v>59</v>
      </c>
      <c r="J510">
        <v>11</v>
      </c>
      <c r="K510">
        <v>744</v>
      </c>
      <c r="L510">
        <v>1552</v>
      </c>
      <c r="M510">
        <v>63</v>
      </c>
      <c r="N510">
        <v>2164</v>
      </c>
      <c r="O510">
        <v>36</v>
      </c>
      <c r="P510">
        <v>96</v>
      </c>
      <c r="Q510">
        <v>322</v>
      </c>
      <c r="R510">
        <v>19</v>
      </c>
      <c r="S510">
        <v>383</v>
      </c>
      <c r="T510">
        <v>2296</v>
      </c>
      <c r="U510">
        <v>322</v>
      </c>
      <c r="V510">
        <v>2618</v>
      </c>
      <c r="W510" s="4">
        <v>0.12299465240641712</v>
      </c>
      <c r="X510" s="4">
        <v>0.87700534759358284</v>
      </c>
    </row>
    <row r="511" spans="1:24" x14ac:dyDescent="0.25">
      <c r="A511" s="1" t="s">
        <v>111</v>
      </c>
      <c r="B511" s="1">
        <v>202103</v>
      </c>
      <c r="C511" s="2">
        <v>6</v>
      </c>
      <c r="D511" s="1" t="str">
        <f>INDEX(Codigos_Bens[Segmentação],MATCH(Base[[#This Row],[Código_do_segmento]],Codigos_Bens[Cod.],0))</f>
        <v>Serviços</v>
      </c>
      <c r="E511">
        <v>9.3638600000000007</v>
      </c>
      <c r="F511">
        <v>36</v>
      </c>
      <c r="G511">
        <v>0</v>
      </c>
      <c r="H511">
        <v>0</v>
      </c>
      <c r="I511">
        <v>412</v>
      </c>
      <c r="J511">
        <v>226</v>
      </c>
      <c r="K511">
        <v>8550</v>
      </c>
      <c r="L511">
        <v>8806</v>
      </c>
      <c r="M511">
        <v>386</v>
      </c>
      <c r="N511">
        <v>15843</v>
      </c>
      <c r="O511">
        <v>1031</v>
      </c>
      <c r="P511">
        <v>482</v>
      </c>
      <c r="Q511">
        <v>3055</v>
      </c>
      <c r="R511">
        <v>2504</v>
      </c>
      <c r="S511">
        <v>3081</v>
      </c>
      <c r="T511">
        <v>17356</v>
      </c>
      <c r="U511">
        <v>3055</v>
      </c>
      <c r="V511">
        <v>20411</v>
      </c>
      <c r="W511" s="4">
        <v>0.14967419528685513</v>
      </c>
      <c r="X511" s="4">
        <v>0.85032580471314489</v>
      </c>
    </row>
    <row r="512" spans="1:24" x14ac:dyDescent="0.25">
      <c r="A512" s="1" t="s">
        <v>112</v>
      </c>
      <c r="B512" s="1">
        <v>202103</v>
      </c>
      <c r="C512" s="2">
        <v>1</v>
      </c>
      <c r="D512" s="1" t="str">
        <f>INDEX(Codigos_Bens[Segmentação],MATCH(Base[[#This Row],[Código_do_segmento]],Codigos_Bens[Cod.],0))</f>
        <v>Imóveis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s="4">
        <v>0</v>
      </c>
      <c r="X512" s="4">
        <v>0</v>
      </c>
    </row>
    <row r="513" spans="1:24" x14ac:dyDescent="0.25">
      <c r="A513" s="1" t="s">
        <v>112</v>
      </c>
      <c r="B513" s="1">
        <v>202103</v>
      </c>
      <c r="C513" s="2">
        <v>2</v>
      </c>
      <c r="D513" s="1" t="str">
        <f>INDEX(Codigos_Bens[Segmentação],MATCH(Base[[#This Row],[Código_do_segmento]],Codigos_Bens[Cod.],0))</f>
        <v>Veículos Pesados</v>
      </c>
      <c r="E513">
        <v>12.92553</v>
      </c>
      <c r="F513">
        <v>57</v>
      </c>
      <c r="G513">
        <v>1</v>
      </c>
      <c r="H513">
        <v>1</v>
      </c>
      <c r="I513">
        <v>252</v>
      </c>
      <c r="J513">
        <v>416</v>
      </c>
      <c r="K513">
        <v>6024</v>
      </c>
      <c r="L513">
        <v>4100</v>
      </c>
      <c r="M513">
        <v>103</v>
      </c>
      <c r="N513">
        <v>9400</v>
      </c>
      <c r="O513">
        <v>383</v>
      </c>
      <c r="P513">
        <v>341</v>
      </c>
      <c r="Q513">
        <v>3728</v>
      </c>
      <c r="R513">
        <v>2881</v>
      </c>
      <c r="S513">
        <v>2840</v>
      </c>
      <c r="T513">
        <v>10124</v>
      </c>
      <c r="U513">
        <v>3728</v>
      </c>
      <c r="V513">
        <v>13852</v>
      </c>
      <c r="W513" s="4">
        <v>0.26913081143517181</v>
      </c>
      <c r="X513" s="4">
        <v>0.73086918856482819</v>
      </c>
    </row>
    <row r="514" spans="1:24" x14ac:dyDescent="0.25">
      <c r="A514" s="1" t="s">
        <v>112</v>
      </c>
      <c r="B514" s="1">
        <v>202103</v>
      </c>
      <c r="C514" s="2">
        <v>3</v>
      </c>
      <c r="D514" s="1" t="str">
        <f>INDEX(Codigos_Bens[Segmentação],MATCH(Base[[#This Row],[Código_do_segmento]],Codigos_Bens[Cod.],0))</f>
        <v>Veículos Leves</v>
      </c>
      <c r="E514">
        <v>14.40513</v>
      </c>
      <c r="F514">
        <v>3</v>
      </c>
      <c r="G514">
        <v>0</v>
      </c>
      <c r="H514">
        <v>0</v>
      </c>
      <c r="I514">
        <v>42</v>
      </c>
      <c r="J514">
        <v>89</v>
      </c>
      <c r="K514">
        <v>2416</v>
      </c>
      <c r="L514">
        <v>1379</v>
      </c>
      <c r="M514">
        <v>27</v>
      </c>
      <c r="N514">
        <v>3458</v>
      </c>
      <c r="O514">
        <v>178</v>
      </c>
      <c r="P514">
        <v>159</v>
      </c>
      <c r="Q514">
        <v>2077</v>
      </c>
      <c r="R514">
        <v>1258</v>
      </c>
      <c r="S514">
        <v>1124</v>
      </c>
      <c r="T514">
        <v>3795</v>
      </c>
      <c r="U514">
        <v>2077</v>
      </c>
      <c r="V514">
        <v>5872</v>
      </c>
      <c r="W514" s="4">
        <v>0.35371253405994552</v>
      </c>
      <c r="X514" s="4">
        <v>0.64628746594005448</v>
      </c>
    </row>
    <row r="515" spans="1:24" x14ac:dyDescent="0.25">
      <c r="A515" s="1" t="s">
        <v>112</v>
      </c>
      <c r="B515" s="1">
        <v>202103</v>
      </c>
      <c r="C515" s="2">
        <v>4</v>
      </c>
      <c r="D515" s="1" t="str">
        <f>INDEX(Codigos_Bens[Segmentação],MATCH(Base[[#This Row],[Código_do_segmento]],Codigos_Bens[Cod.],0))</f>
        <v>Motocicletas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s="4">
        <v>0</v>
      </c>
      <c r="X515" s="4">
        <v>0</v>
      </c>
    </row>
    <row r="516" spans="1:24" x14ac:dyDescent="0.25">
      <c r="A516" s="1" t="s">
        <v>112</v>
      </c>
      <c r="B516" s="1">
        <v>202103</v>
      </c>
      <c r="C516" s="2">
        <v>5</v>
      </c>
      <c r="D516" s="1" t="str">
        <f>INDEX(Codigos_Bens[Segmentação],MATCH(Base[[#This Row],[Código_do_segmento]],Codigos_Bens[Cod.],0))</f>
        <v>Outros bens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s="4">
        <v>0</v>
      </c>
      <c r="X516" s="4">
        <v>0</v>
      </c>
    </row>
    <row r="517" spans="1:24" x14ac:dyDescent="0.25">
      <c r="A517" s="1" t="s">
        <v>112</v>
      </c>
      <c r="B517" s="1">
        <v>202103</v>
      </c>
      <c r="C517" s="2">
        <v>6</v>
      </c>
      <c r="D517" s="1" t="str">
        <f>INDEX(Codigos_Bens[Segmentação],MATCH(Base[[#This Row],[Código_do_segmento]],Codigos_Bens[Cod.],0))</f>
        <v>Serviços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s="4">
        <v>0</v>
      </c>
      <c r="X517" s="4">
        <v>0</v>
      </c>
    </row>
    <row r="518" spans="1:24" x14ac:dyDescent="0.25">
      <c r="A518" s="1" t="s">
        <v>154</v>
      </c>
      <c r="B518" s="1">
        <v>202103</v>
      </c>
      <c r="C518" s="2">
        <v>1</v>
      </c>
      <c r="D518" s="1" t="str">
        <f>INDEX(Codigos_Bens[Segmentação],MATCH(Base[[#This Row],[Código_do_segmento]],Codigos_Bens[Cod.],0))</f>
        <v>Imóveis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s="4">
        <v>0</v>
      </c>
      <c r="X518" s="4">
        <v>0</v>
      </c>
    </row>
    <row r="519" spans="1:24" x14ac:dyDescent="0.25">
      <c r="A519" s="1" t="s">
        <v>154</v>
      </c>
      <c r="B519" s="1">
        <v>202103</v>
      </c>
      <c r="C519" s="2">
        <v>2</v>
      </c>
      <c r="D519" s="1" t="str">
        <f>INDEX(Codigos_Bens[Segmentação],MATCH(Base[[#This Row],[Código_do_segmento]],Codigos_Bens[Cod.],0))</f>
        <v>Veículos Pesados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s="4">
        <v>0</v>
      </c>
      <c r="X519" s="4">
        <v>0</v>
      </c>
    </row>
    <row r="520" spans="1:24" x14ac:dyDescent="0.25">
      <c r="A520" s="1" t="s">
        <v>154</v>
      </c>
      <c r="B520" s="1">
        <v>202103</v>
      </c>
      <c r="C520" s="2">
        <v>3</v>
      </c>
      <c r="D520" s="1" t="str">
        <f>INDEX(Codigos_Bens[Segmentação],MATCH(Base[[#This Row],[Código_do_segmento]],Codigos_Bens[Cod.],0))</f>
        <v>Veículos Leves</v>
      </c>
      <c r="E520">
        <v>13.648569999999999</v>
      </c>
      <c r="F520">
        <v>1</v>
      </c>
      <c r="G520">
        <v>0</v>
      </c>
      <c r="H520">
        <v>0</v>
      </c>
      <c r="I520">
        <v>3</v>
      </c>
      <c r="J520">
        <v>33</v>
      </c>
      <c r="K520">
        <v>39</v>
      </c>
      <c r="L520">
        <v>101</v>
      </c>
      <c r="M520">
        <v>2</v>
      </c>
      <c r="N520">
        <v>94</v>
      </c>
      <c r="O520">
        <v>10</v>
      </c>
      <c r="P520">
        <v>36</v>
      </c>
      <c r="Q520">
        <v>86</v>
      </c>
      <c r="R520">
        <v>1</v>
      </c>
      <c r="S520">
        <v>9</v>
      </c>
      <c r="T520">
        <v>140</v>
      </c>
      <c r="U520">
        <v>86</v>
      </c>
      <c r="V520">
        <v>226</v>
      </c>
      <c r="W520" s="4">
        <v>0.38053097345132741</v>
      </c>
      <c r="X520" s="4">
        <v>0.61946902654867253</v>
      </c>
    </row>
    <row r="521" spans="1:24" x14ac:dyDescent="0.25">
      <c r="A521" s="1" t="s">
        <v>154</v>
      </c>
      <c r="B521" s="1">
        <v>202103</v>
      </c>
      <c r="C521" s="2">
        <v>4</v>
      </c>
      <c r="D521" s="1" t="str">
        <f>INDEX(Codigos_Bens[Segmentação],MATCH(Base[[#This Row],[Código_do_segmento]],Codigos_Bens[Cod.],0))</f>
        <v>Motocicletas</v>
      </c>
      <c r="E521">
        <v>19.35511</v>
      </c>
      <c r="F521">
        <v>6</v>
      </c>
      <c r="G521">
        <v>0</v>
      </c>
      <c r="H521">
        <v>0</v>
      </c>
      <c r="I521">
        <v>67</v>
      </c>
      <c r="J521">
        <v>150</v>
      </c>
      <c r="K521">
        <v>531</v>
      </c>
      <c r="L521">
        <v>1740</v>
      </c>
      <c r="M521">
        <v>14</v>
      </c>
      <c r="N521">
        <v>1297</v>
      </c>
      <c r="O521">
        <v>122</v>
      </c>
      <c r="P521">
        <v>852</v>
      </c>
      <c r="Q521">
        <v>1174</v>
      </c>
      <c r="R521">
        <v>215</v>
      </c>
      <c r="S521">
        <v>78</v>
      </c>
      <c r="T521">
        <v>2271</v>
      </c>
      <c r="U521">
        <v>1174</v>
      </c>
      <c r="V521">
        <v>3445</v>
      </c>
      <c r="W521" s="4">
        <v>0.34078374455732946</v>
      </c>
      <c r="X521" s="4">
        <v>0.65921625544267048</v>
      </c>
    </row>
    <row r="522" spans="1:24" x14ac:dyDescent="0.25">
      <c r="A522" s="1" t="s">
        <v>154</v>
      </c>
      <c r="B522" s="1">
        <v>202103</v>
      </c>
      <c r="C522" s="2">
        <v>5</v>
      </c>
      <c r="D522" s="1" t="str">
        <f>INDEX(Codigos_Bens[Segmentação],MATCH(Base[[#This Row],[Código_do_segmento]],Codigos_Bens[Cod.],0))</f>
        <v>Outros bens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s="4">
        <v>0</v>
      </c>
      <c r="X522" s="4">
        <v>0</v>
      </c>
    </row>
    <row r="523" spans="1:24" x14ac:dyDescent="0.25">
      <c r="A523" s="1" t="s">
        <v>154</v>
      </c>
      <c r="B523" s="1">
        <v>202103</v>
      </c>
      <c r="C523" s="2">
        <v>6</v>
      </c>
      <c r="D523" s="1" t="str">
        <f>INDEX(Codigos_Bens[Segmentação],MATCH(Base[[#This Row],[Código_do_segmento]],Codigos_Bens[Cod.],0))</f>
        <v>Serviços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s="4">
        <v>0</v>
      </c>
      <c r="X523" s="4">
        <v>0</v>
      </c>
    </row>
    <row r="524" spans="1:24" x14ac:dyDescent="0.25">
      <c r="A524" s="1" t="s">
        <v>113</v>
      </c>
      <c r="B524" s="1">
        <v>202103</v>
      </c>
      <c r="C524" s="2">
        <v>1</v>
      </c>
      <c r="D524" s="1" t="str">
        <f>INDEX(Codigos_Bens[Segmentação],MATCH(Base[[#This Row],[Código_do_segmento]],Codigos_Bens[Cod.],0))</f>
        <v>Imóveis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s="4">
        <v>0</v>
      </c>
      <c r="X524" s="4">
        <v>0</v>
      </c>
    </row>
    <row r="525" spans="1:24" x14ac:dyDescent="0.25">
      <c r="A525" s="1" t="s">
        <v>113</v>
      </c>
      <c r="B525" s="1">
        <v>202103</v>
      </c>
      <c r="C525" s="2">
        <v>2</v>
      </c>
      <c r="D525" s="1" t="str">
        <f>INDEX(Codigos_Bens[Segmentação],MATCH(Base[[#This Row],[Código_do_segmento]],Codigos_Bens[Cod.],0))</f>
        <v>Veículos Pesados</v>
      </c>
      <c r="E525">
        <v>12.879149999999999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211</v>
      </c>
      <c r="L525">
        <v>120</v>
      </c>
      <c r="M525">
        <v>7</v>
      </c>
      <c r="N525">
        <v>293</v>
      </c>
      <c r="O525">
        <v>0</v>
      </c>
      <c r="P525">
        <v>38</v>
      </c>
      <c r="Q525">
        <v>0</v>
      </c>
      <c r="R525">
        <v>27</v>
      </c>
      <c r="S525">
        <v>15</v>
      </c>
      <c r="T525">
        <v>331</v>
      </c>
      <c r="U525">
        <v>0</v>
      </c>
      <c r="V525">
        <v>331</v>
      </c>
      <c r="W525" s="4">
        <v>0</v>
      </c>
      <c r="X525" s="4">
        <v>1</v>
      </c>
    </row>
    <row r="526" spans="1:24" x14ac:dyDescent="0.25">
      <c r="A526" s="1" t="s">
        <v>113</v>
      </c>
      <c r="B526" s="1">
        <v>202103</v>
      </c>
      <c r="C526" s="2">
        <v>3</v>
      </c>
      <c r="D526" s="1" t="str">
        <f>INDEX(Codigos_Bens[Segmentação],MATCH(Base[[#This Row],[Código_do_segmento]],Codigos_Bens[Cod.],0))</f>
        <v>Veículos Leves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s="4">
        <v>0</v>
      </c>
      <c r="X526" s="4">
        <v>0</v>
      </c>
    </row>
    <row r="527" spans="1:24" x14ac:dyDescent="0.25">
      <c r="A527" s="1" t="s">
        <v>113</v>
      </c>
      <c r="B527" s="1">
        <v>202103</v>
      </c>
      <c r="C527" s="2">
        <v>4</v>
      </c>
      <c r="D527" s="1" t="str">
        <f>INDEX(Codigos_Bens[Segmentação],MATCH(Base[[#This Row],[Código_do_segmento]],Codigos_Bens[Cod.],0))</f>
        <v>Motocicletas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s="4">
        <v>0</v>
      </c>
      <c r="X527" s="4">
        <v>0</v>
      </c>
    </row>
    <row r="528" spans="1:24" x14ac:dyDescent="0.25">
      <c r="A528" s="1" t="s">
        <v>113</v>
      </c>
      <c r="B528" s="1">
        <v>202103</v>
      </c>
      <c r="C528" s="2">
        <v>5</v>
      </c>
      <c r="D528" s="1" t="str">
        <f>INDEX(Codigos_Bens[Segmentação],MATCH(Base[[#This Row],[Código_do_segmento]],Codigos_Bens[Cod.],0))</f>
        <v>Outros bens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s="4">
        <v>0</v>
      </c>
      <c r="X528" s="4">
        <v>0</v>
      </c>
    </row>
    <row r="529" spans="1:24" x14ac:dyDescent="0.25">
      <c r="A529" s="1" t="s">
        <v>113</v>
      </c>
      <c r="B529" s="1">
        <v>202103</v>
      </c>
      <c r="C529" s="2">
        <v>6</v>
      </c>
      <c r="D529" s="1" t="str">
        <f>INDEX(Codigos_Bens[Segmentação],MATCH(Base[[#This Row],[Código_do_segmento]],Codigos_Bens[Cod.],0))</f>
        <v>Serviços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s="4">
        <v>0</v>
      </c>
      <c r="X529" s="4">
        <v>0</v>
      </c>
    </row>
    <row r="530" spans="1:24" x14ac:dyDescent="0.25">
      <c r="A530" s="1" t="s">
        <v>114</v>
      </c>
      <c r="B530" s="1">
        <v>202103</v>
      </c>
      <c r="C530" s="2">
        <v>1</v>
      </c>
      <c r="D530" s="1" t="str">
        <f>INDEX(Codigos_Bens[Segmentação],MATCH(Base[[#This Row],[Código_do_segmento]],Codigos_Bens[Cod.],0))</f>
        <v>Imóveis</v>
      </c>
      <c r="E530">
        <v>21.051649999999999</v>
      </c>
      <c r="F530">
        <v>17</v>
      </c>
      <c r="G530">
        <v>0</v>
      </c>
      <c r="H530">
        <v>0</v>
      </c>
      <c r="I530">
        <v>160</v>
      </c>
      <c r="J530">
        <v>3298</v>
      </c>
      <c r="K530">
        <v>5627</v>
      </c>
      <c r="L530">
        <v>5952</v>
      </c>
      <c r="M530">
        <v>93</v>
      </c>
      <c r="N530">
        <v>10857</v>
      </c>
      <c r="O530">
        <v>314</v>
      </c>
      <c r="P530">
        <v>408</v>
      </c>
      <c r="Q530">
        <v>17450</v>
      </c>
      <c r="R530">
        <v>1591</v>
      </c>
      <c r="S530">
        <v>1391</v>
      </c>
      <c r="T530">
        <v>11579</v>
      </c>
      <c r="U530">
        <v>17450</v>
      </c>
      <c r="V530">
        <v>29029</v>
      </c>
      <c r="W530" s="4">
        <v>0.60112301491611841</v>
      </c>
      <c r="X530" s="4">
        <v>0.39887698508388164</v>
      </c>
    </row>
    <row r="531" spans="1:24" x14ac:dyDescent="0.25">
      <c r="A531" s="1" t="s">
        <v>114</v>
      </c>
      <c r="B531" s="1">
        <v>202103</v>
      </c>
      <c r="C531" s="2">
        <v>2</v>
      </c>
      <c r="D531" s="1" t="str">
        <f>INDEX(Codigos_Bens[Segmentação],MATCH(Base[[#This Row],[Código_do_segmento]],Codigos_Bens[Cod.],0))</f>
        <v>Veículos Pesados</v>
      </c>
      <c r="E531">
        <v>13.23353</v>
      </c>
      <c r="F531">
        <v>83</v>
      </c>
      <c r="G531">
        <v>1</v>
      </c>
      <c r="H531">
        <v>2</v>
      </c>
      <c r="I531">
        <v>1068</v>
      </c>
      <c r="J531">
        <v>643</v>
      </c>
      <c r="K531">
        <v>25211</v>
      </c>
      <c r="L531">
        <v>23172</v>
      </c>
      <c r="M531">
        <v>506</v>
      </c>
      <c r="N531">
        <v>46992</v>
      </c>
      <c r="O531">
        <v>453</v>
      </c>
      <c r="P531">
        <v>938</v>
      </c>
      <c r="Q531">
        <v>15038</v>
      </c>
      <c r="R531">
        <v>10298</v>
      </c>
      <c r="S531">
        <v>3208</v>
      </c>
      <c r="T531">
        <v>48383</v>
      </c>
      <c r="U531">
        <v>15038</v>
      </c>
      <c r="V531">
        <v>63421</v>
      </c>
      <c r="W531" s="4">
        <v>0.23711388972107031</v>
      </c>
      <c r="X531" s="4">
        <v>0.76288611027892972</v>
      </c>
    </row>
    <row r="532" spans="1:24" x14ac:dyDescent="0.25">
      <c r="A532" s="1" t="s">
        <v>114</v>
      </c>
      <c r="B532" s="1">
        <v>202103</v>
      </c>
      <c r="C532" s="2">
        <v>3</v>
      </c>
      <c r="D532" s="1" t="str">
        <f>INDEX(Codigos_Bens[Segmentação],MATCH(Base[[#This Row],[Código_do_segmento]],Codigos_Bens[Cod.],0))</f>
        <v>Veículos Leves</v>
      </c>
      <c r="E532">
        <v>14.386060000000001</v>
      </c>
      <c r="F532">
        <v>20</v>
      </c>
      <c r="G532">
        <v>0</v>
      </c>
      <c r="H532">
        <v>0</v>
      </c>
      <c r="I532">
        <v>98</v>
      </c>
      <c r="J532">
        <v>350</v>
      </c>
      <c r="K532">
        <v>3749</v>
      </c>
      <c r="L532">
        <v>3147</v>
      </c>
      <c r="M532">
        <v>104</v>
      </c>
      <c r="N532">
        <v>6609</v>
      </c>
      <c r="O532">
        <v>99</v>
      </c>
      <c r="P532">
        <v>188</v>
      </c>
      <c r="Q532">
        <v>3520</v>
      </c>
      <c r="R532">
        <v>1539</v>
      </c>
      <c r="S532">
        <v>461</v>
      </c>
      <c r="T532">
        <v>6896</v>
      </c>
      <c r="U532">
        <v>3520</v>
      </c>
      <c r="V532">
        <v>10416</v>
      </c>
      <c r="W532" s="4">
        <v>0.33794162826420893</v>
      </c>
      <c r="X532" s="4">
        <v>0.66205837173579107</v>
      </c>
    </row>
    <row r="533" spans="1:24" x14ac:dyDescent="0.25">
      <c r="A533" s="1" t="s">
        <v>114</v>
      </c>
      <c r="B533" s="1">
        <v>202103</v>
      </c>
      <c r="C533" s="2">
        <v>4</v>
      </c>
      <c r="D533" s="1" t="str">
        <f>INDEX(Codigos_Bens[Segmentação],MATCH(Base[[#This Row],[Código_do_segmento]],Codigos_Bens[Cod.],0))</f>
        <v>Motocicletas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s="4">
        <v>0</v>
      </c>
      <c r="X533" s="4">
        <v>0</v>
      </c>
    </row>
    <row r="534" spans="1:24" x14ac:dyDescent="0.25">
      <c r="A534" s="1" t="s">
        <v>114</v>
      </c>
      <c r="B534" s="1">
        <v>202103</v>
      </c>
      <c r="C534" s="2">
        <v>5</v>
      </c>
      <c r="D534" s="1" t="str">
        <f>INDEX(Codigos_Bens[Segmentação],MATCH(Base[[#This Row],[Código_do_segmento]],Codigos_Bens[Cod.],0))</f>
        <v>Outros bens</v>
      </c>
      <c r="E534">
        <v>7.7789900000000003</v>
      </c>
      <c r="F534">
        <v>2</v>
      </c>
      <c r="G534">
        <v>0</v>
      </c>
      <c r="H534">
        <v>0</v>
      </c>
      <c r="I534">
        <v>0</v>
      </c>
      <c r="J534">
        <v>5</v>
      </c>
      <c r="K534">
        <v>169</v>
      </c>
      <c r="L534">
        <v>88</v>
      </c>
      <c r="M534">
        <v>6</v>
      </c>
      <c r="N534">
        <v>253</v>
      </c>
      <c r="O534">
        <v>2</v>
      </c>
      <c r="P534">
        <v>2</v>
      </c>
      <c r="Q534">
        <v>27</v>
      </c>
      <c r="R534">
        <v>58</v>
      </c>
      <c r="S534">
        <v>26</v>
      </c>
      <c r="T534">
        <v>257</v>
      </c>
      <c r="U534">
        <v>27</v>
      </c>
      <c r="V534">
        <v>284</v>
      </c>
      <c r="W534" s="4">
        <v>9.5070422535211266E-2</v>
      </c>
      <c r="X534" s="4">
        <v>0.90492957746478875</v>
      </c>
    </row>
    <row r="535" spans="1:24" x14ac:dyDescent="0.25">
      <c r="A535" s="1" t="s">
        <v>114</v>
      </c>
      <c r="B535" s="1">
        <v>202103</v>
      </c>
      <c r="C535" s="2">
        <v>6</v>
      </c>
      <c r="D535" s="1" t="str">
        <f>INDEX(Codigos_Bens[Segmentação],MATCH(Base[[#This Row],[Código_do_segmento]],Codigos_Bens[Cod.],0))</f>
        <v>Serviços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s="4">
        <v>0</v>
      </c>
      <c r="X535" s="4">
        <v>0</v>
      </c>
    </row>
    <row r="536" spans="1:24" x14ac:dyDescent="0.25">
      <c r="A536" s="1" t="s">
        <v>115</v>
      </c>
      <c r="B536" s="1">
        <v>202103</v>
      </c>
      <c r="C536" s="2">
        <v>1</v>
      </c>
      <c r="D536" s="1" t="str">
        <f>INDEX(Codigos_Bens[Segmentação],MATCH(Base[[#This Row],[Código_do_segmento]],Codigos_Bens[Cod.],0))</f>
        <v>Imóveis</v>
      </c>
      <c r="E536">
        <v>20.018650000000001</v>
      </c>
      <c r="F536">
        <v>4</v>
      </c>
      <c r="G536">
        <v>0</v>
      </c>
      <c r="H536">
        <v>0</v>
      </c>
      <c r="I536">
        <v>281</v>
      </c>
      <c r="J536">
        <v>3032</v>
      </c>
      <c r="K536">
        <v>947</v>
      </c>
      <c r="L536">
        <v>2751</v>
      </c>
      <c r="M536">
        <v>23</v>
      </c>
      <c r="N536">
        <v>2894</v>
      </c>
      <c r="O536">
        <v>99</v>
      </c>
      <c r="P536">
        <v>705</v>
      </c>
      <c r="Q536">
        <v>16233</v>
      </c>
      <c r="R536">
        <v>223</v>
      </c>
      <c r="S536">
        <v>279</v>
      </c>
      <c r="T536">
        <v>3698</v>
      </c>
      <c r="U536">
        <v>16233</v>
      </c>
      <c r="V536">
        <v>19931</v>
      </c>
      <c r="W536" s="4">
        <v>0.81445988660880031</v>
      </c>
      <c r="X536" s="4">
        <v>0.18554011339119963</v>
      </c>
    </row>
    <row r="537" spans="1:24" x14ac:dyDescent="0.25">
      <c r="A537" s="1" t="s">
        <v>115</v>
      </c>
      <c r="B537" s="1">
        <v>202103</v>
      </c>
      <c r="C537" s="2">
        <v>2</v>
      </c>
      <c r="D537" s="1" t="str">
        <f>INDEX(Codigos_Bens[Segmentação],MATCH(Base[[#This Row],[Código_do_segmento]],Codigos_Bens[Cod.],0))</f>
        <v>Veículos Pesados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s="4">
        <v>0</v>
      </c>
      <c r="X537" s="4">
        <v>0</v>
      </c>
    </row>
    <row r="538" spans="1:24" x14ac:dyDescent="0.25">
      <c r="A538" s="1" t="s">
        <v>115</v>
      </c>
      <c r="B538" s="1">
        <v>202103</v>
      </c>
      <c r="C538" s="2">
        <v>3</v>
      </c>
      <c r="D538" s="1" t="str">
        <f>INDEX(Codigos_Bens[Segmentação],MATCH(Base[[#This Row],[Código_do_segmento]],Codigos_Bens[Cod.],0))</f>
        <v>Veículos Leves</v>
      </c>
      <c r="E538">
        <v>17.91844</v>
      </c>
      <c r="F538">
        <v>26</v>
      </c>
      <c r="G538">
        <v>1</v>
      </c>
      <c r="H538">
        <v>0</v>
      </c>
      <c r="I538">
        <v>533</v>
      </c>
      <c r="J538">
        <v>9175</v>
      </c>
      <c r="K538">
        <v>6757</v>
      </c>
      <c r="L538">
        <v>7397</v>
      </c>
      <c r="M538">
        <v>169</v>
      </c>
      <c r="N538">
        <v>10757</v>
      </c>
      <c r="O538">
        <v>1037</v>
      </c>
      <c r="P538">
        <v>2360</v>
      </c>
      <c r="Q538">
        <v>28589</v>
      </c>
      <c r="R538">
        <v>2690</v>
      </c>
      <c r="S538">
        <v>764</v>
      </c>
      <c r="T538">
        <v>14154</v>
      </c>
      <c r="U538">
        <v>28589</v>
      </c>
      <c r="V538">
        <v>42743</v>
      </c>
      <c r="W538" s="4">
        <v>0.66885805862948322</v>
      </c>
      <c r="X538" s="4">
        <v>0.33114194137051683</v>
      </c>
    </row>
    <row r="539" spans="1:24" x14ac:dyDescent="0.25">
      <c r="A539" s="1" t="s">
        <v>115</v>
      </c>
      <c r="B539" s="1">
        <v>202103</v>
      </c>
      <c r="C539" s="2">
        <v>4</v>
      </c>
      <c r="D539" s="1" t="str">
        <f>INDEX(Codigos_Bens[Segmentação],MATCH(Base[[#This Row],[Código_do_segmento]],Codigos_Bens[Cod.],0))</f>
        <v>Motocicletas</v>
      </c>
      <c r="E539">
        <v>18.943470000000001</v>
      </c>
      <c r="F539">
        <v>12</v>
      </c>
      <c r="G539">
        <v>1</v>
      </c>
      <c r="H539">
        <v>0</v>
      </c>
      <c r="I539">
        <v>208</v>
      </c>
      <c r="J539">
        <v>2559</v>
      </c>
      <c r="K539">
        <v>2838</v>
      </c>
      <c r="L539">
        <v>1222</v>
      </c>
      <c r="M539">
        <v>35</v>
      </c>
      <c r="N539">
        <v>3434</v>
      </c>
      <c r="O539">
        <v>348</v>
      </c>
      <c r="P539">
        <v>278</v>
      </c>
      <c r="Q539">
        <v>7840</v>
      </c>
      <c r="R539">
        <v>1893</v>
      </c>
      <c r="S539">
        <v>237</v>
      </c>
      <c r="T539">
        <v>4060</v>
      </c>
      <c r="U539">
        <v>7840</v>
      </c>
      <c r="V539">
        <v>11900</v>
      </c>
      <c r="W539" s="4">
        <v>0.6588235294117647</v>
      </c>
      <c r="X539" s="4">
        <v>0.3411764705882353</v>
      </c>
    </row>
    <row r="540" spans="1:24" x14ac:dyDescent="0.25">
      <c r="A540" s="1" t="s">
        <v>115</v>
      </c>
      <c r="B540" s="1">
        <v>202103</v>
      </c>
      <c r="C540" s="2">
        <v>5</v>
      </c>
      <c r="D540" s="1" t="str">
        <f>INDEX(Codigos_Bens[Segmentação],MATCH(Base[[#This Row],[Código_do_segmento]],Codigos_Bens[Cod.],0))</f>
        <v>Outros bens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 s="4">
        <v>0</v>
      </c>
      <c r="X540" s="4">
        <v>0</v>
      </c>
    </row>
    <row r="541" spans="1:24" x14ac:dyDescent="0.25">
      <c r="A541" s="1" t="s">
        <v>115</v>
      </c>
      <c r="B541" s="1">
        <v>202103</v>
      </c>
      <c r="C541" s="2">
        <v>6</v>
      </c>
      <c r="D541" s="1" t="str">
        <f>INDEX(Codigos_Bens[Segmentação],MATCH(Base[[#This Row],[Código_do_segmento]],Codigos_Bens[Cod.],0))</f>
        <v>Serviços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s="4">
        <v>0</v>
      </c>
      <c r="X541" s="4">
        <v>0</v>
      </c>
    </row>
    <row r="542" spans="1:24" x14ac:dyDescent="0.25">
      <c r="A542" s="1" t="s">
        <v>116</v>
      </c>
      <c r="B542" s="1">
        <v>202103</v>
      </c>
      <c r="C542" s="2">
        <v>1</v>
      </c>
      <c r="D542" s="1" t="str">
        <f>INDEX(Codigos_Bens[Segmentação],MATCH(Base[[#This Row],[Código_do_segmento]],Codigos_Bens[Cod.],0))</f>
        <v>Imóveis</v>
      </c>
      <c r="E542">
        <v>21.466200000000001</v>
      </c>
      <c r="F542">
        <v>1</v>
      </c>
      <c r="G542">
        <v>0</v>
      </c>
      <c r="H542">
        <v>0</v>
      </c>
      <c r="I542">
        <v>49</v>
      </c>
      <c r="J542">
        <v>16</v>
      </c>
      <c r="K542">
        <v>6</v>
      </c>
      <c r="L542">
        <v>511</v>
      </c>
      <c r="M542">
        <v>2</v>
      </c>
      <c r="N542">
        <v>495</v>
      </c>
      <c r="O542">
        <v>0</v>
      </c>
      <c r="P542">
        <v>22</v>
      </c>
      <c r="Q542">
        <v>29</v>
      </c>
      <c r="R542">
        <v>0</v>
      </c>
      <c r="S542">
        <v>6</v>
      </c>
      <c r="T542">
        <v>517</v>
      </c>
      <c r="U542">
        <v>29</v>
      </c>
      <c r="V542">
        <v>546</v>
      </c>
      <c r="W542" s="4">
        <v>5.3113553113553112E-2</v>
      </c>
      <c r="X542" s="4">
        <v>0.94688644688644685</v>
      </c>
    </row>
    <row r="543" spans="1:24" x14ac:dyDescent="0.25">
      <c r="A543" s="1" t="s">
        <v>116</v>
      </c>
      <c r="B543" s="1">
        <v>202103</v>
      </c>
      <c r="C543" s="2">
        <v>2</v>
      </c>
      <c r="D543" s="1" t="str">
        <f>INDEX(Codigos_Bens[Segmentação],MATCH(Base[[#This Row],[Código_do_segmento]],Codigos_Bens[Cod.],0))</f>
        <v>Veículos Pesados</v>
      </c>
      <c r="E543">
        <v>14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58</v>
      </c>
      <c r="L543">
        <v>0</v>
      </c>
      <c r="M543">
        <v>0</v>
      </c>
      <c r="N543">
        <v>43</v>
      </c>
      <c r="O543">
        <v>15</v>
      </c>
      <c r="P543">
        <v>0</v>
      </c>
      <c r="Q543">
        <v>79</v>
      </c>
      <c r="R543">
        <v>2</v>
      </c>
      <c r="S543">
        <v>2</v>
      </c>
      <c r="T543">
        <v>58</v>
      </c>
      <c r="U543">
        <v>79</v>
      </c>
      <c r="V543">
        <v>137</v>
      </c>
      <c r="W543" s="4">
        <v>0.57664233576642332</v>
      </c>
      <c r="X543" s="4">
        <v>0.42335766423357662</v>
      </c>
    </row>
    <row r="544" spans="1:24" x14ac:dyDescent="0.25">
      <c r="A544" s="1" t="s">
        <v>116</v>
      </c>
      <c r="B544" s="1">
        <v>202103</v>
      </c>
      <c r="C544" s="2">
        <v>3</v>
      </c>
      <c r="D544" s="1" t="str">
        <f>INDEX(Codigos_Bens[Segmentação],MATCH(Base[[#This Row],[Código_do_segmento]],Codigos_Bens[Cod.],0))</f>
        <v>Veículos Leves</v>
      </c>
      <c r="E544">
        <v>13.850199999999999</v>
      </c>
      <c r="F544">
        <v>14</v>
      </c>
      <c r="G544">
        <v>1</v>
      </c>
      <c r="H544">
        <v>0</v>
      </c>
      <c r="I544">
        <v>199</v>
      </c>
      <c r="J544">
        <v>144</v>
      </c>
      <c r="K544">
        <v>1386</v>
      </c>
      <c r="L544">
        <v>2083</v>
      </c>
      <c r="M544">
        <v>44</v>
      </c>
      <c r="N544">
        <v>3082</v>
      </c>
      <c r="O544">
        <v>214</v>
      </c>
      <c r="P544">
        <v>173</v>
      </c>
      <c r="Q544">
        <v>2341</v>
      </c>
      <c r="R544">
        <v>304</v>
      </c>
      <c r="S544">
        <v>152</v>
      </c>
      <c r="T544">
        <v>3469</v>
      </c>
      <c r="U544">
        <v>2341</v>
      </c>
      <c r="V544">
        <v>5810</v>
      </c>
      <c r="W544" s="4">
        <v>0.4029259896729776</v>
      </c>
      <c r="X544" s="4">
        <v>0.59707401032702234</v>
      </c>
    </row>
    <row r="545" spans="1:24" x14ac:dyDescent="0.25">
      <c r="A545" s="1" t="s">
        <v>116</v>
      </c>
      <c r="B545" s="1">
        <v>202103</v>
      </c>
      <c r="C545" s="2">
        <v>4</v>
      </c>
      <c r="D545" s="1" t="str">
        <f>INDEX(Codigos_Bens[Segmentação],MATCH(Base[[#This Row],[Código_do_segmento]],Codigos_Bens[Cod.],0))</f>
        <v>Motocicletas</v>
      </c>
      <c r="E545">
        <v>17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196</v>
      </c>
      <c r="L545">
        <v>44</v>
      </c>
      <c r="M545">
        <v>3</v>
      </c>
      <c r="N545">
        <v>220</v>
      </c>
      <c r="O545">
        <v>17</v>
      </c>
      <c r="P545">
        <v>3</v>
      </c>
      <c r="Q545">
        <v>167</v>
      </c>
      <c r="R545">
        <v>60</v>
      </c>
      <c r="S545">
        <v>20</v>
      </c>
      <c r="T545">
        <v>240</v>
      </c>
      <c r="U545">
        <v>167</v>
      </c>
      <c r="V545">
        <v>407</v>
      </c>
      <c r="W545" s="4">
        <v>0.41031941031941033</v>
      </c>
      <c r="X545" s="4">
        <v>0.58968058968058967</v>
      </c>
    </row>
    <row r="546" spans="1:24" x14ac:dyDescent="0.25">
      <c r="A546" s="1" t="s">
        <v>116</v>
      </c>
      <c r="B546" s="1">
        <v>202103</v>
      </c>
      <c r="C546" s="2">
        <v>5</v>
      </c>
      <c r="D546" s="1" t="str">
        <f>INDEX(Codigos_Bens[Segmentação],MATCH(Base[[#This Row],[Código_do_segmento]],Codigos_Bens[Cod.],0))</f>
        <v>Outros bens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s="4">
        <v>0</v>
      </c>
      <c r="X546" s="4">
        <v>0</v>
      </c>
    </row>
    <row r="547" spans="1:24" x14ac:dyDescent="0.25">
      <c r="A547" s="1" t="s">
        <v>116</v>
      </c>
      <c r="B547" s="1">
        <v>202103</v>
      </c>
      <c r="C547" s="2">
        <v>6</v>
      </c>
      <c r="D547" s="1" t="str">
        <f>INDEX(Codigos_Bens[Segmentação],MATCH(Base[[#This Row],[Código_do_segmento]],Codigos_Bens[Cod.],0))</f>
        <v>Serviços</v>
      </c>
      <c r="E547">
        <v>20</v>
      </c>
      <c r="F547">
        <v>1</v>
      </c>
      <c r="G547">
        <v>0</v>
      </c>
      <c r="H547">
        <v>0</v>
      </c>
      <c r="I547">
        <v>2</v>
      </c>
      <c r="J547">
        <v>10</v>
      </c>
      <c r="K547">
        <v>31</v>
      </c>
      <c r="L547">
        <v>55</v>
      </c>
      <c r="M547">
        <v>2</v>
      </c>
      <c r="N547">
        <v>75</v>
      </c>
      <c r="O547">
        <v>6</v>
      </c>
      <c r="P547">
        <v>5</v>
      </c>
      <c r="Q547">
        <v>47</v>
      </c>
      <c r="R547">
        <v>0</v>
      </c>
      <c r="S547">
        <v>7</v>
      </c>
      <c r="T547">
        <v>86</v>
      </c>
      <c r="U547">
        <v>47</v>
      </c>
      <c r="V547">
        <v>133</v>
      </c>
      <c r="W547" s="4">
        <v>0.35338345864661652</v>
      </c>
      <c r="X547" s="4">
        <v>0.64661654135338342</v>
      </c>
    </row>
    <row r="548" spans="1:24" x14ac:dyDescent="0.25">
      <c r="A548" s="1" t="s">
        <v>117</v>
      </c>
      <c r="B548" s="1">
        <v>202103</v>
      </c>
      <c r="C548" s="2">
        <v>1</v>
      </c>
      <c r="D548" s="1" t="str">
        <f>INDEX(Codigos_Bens[Segmentação],MATCH(Base[[#This Row],[Código_do_segmento]],Codigos_Bens[Cod.],0))</f>
        <v>Imóveis</v>
      </c>
      <c r="E548">
        <v>14.84056</v>
      </c>
      <c r="F548">
        <v>1</v>
      </c>
      <c r="G548">
        <v>0</v>
      </c>
      <c r="H548">
        <v>0</v>
      </c>
      <c r="I548">
        <v>0</v>
      </c>
      <c r="J548">
        <v>143</v>
      </c>
      <c r="K548">
        <v>178</v>
      </c>
      <c r="L548">
        <v>15</v>
      </c>
      <c r="M548">
        <v>1</v>
      </c>
      <c r="N548">
        <v>161</v>
      </c>
      <c r="O548">
        <v>31</v>
      </c>
      <c r="P548">
        <v>1</v>
      </c>
      <c r="Q548">
        <v>542</v>
      </c>
      <c r="R548">
        <v>105</v>
      </c>
      <c r="S548">
        <v>8</v>
      </c>
      <c r="T548">
        <v>193</v>
      </c>
      <c r="U548">
        <v>542</v>
      </c>
      <c r="V548">
        <v>735</v>
      </c>
      <c r="W548" s="4">
        <v>0.73741496598639455</v>
      </c>
      <c r="X548" s="4">
        <v>0.26258503401360545</v>
      </c>
    </row>
    <row r="549" spans="1:24" x14ac:dyDescent="0.25">
      <c r="A549" s="1" t="s">
        <v>117</v>
      </c>
      <c r="B549" s="1">
        <v>202103</v>
      </c>
      <c r="C549" s="2">
        <v>2</v>
      </c>
      <c r="D549" s="1" t="str">
        <f>INDEX(Codigos_Bens[Segmentação],MATCH(Base[[#This Row],[Código_do_segmento]],Codigos_Bens[Cod.],0))</f>
        <v>Veículos Pesados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 s="4">
        <v>0</v>
      </c>
      <c r="X549" s="4">
        <v>0</v>
      </c>
    </row>
    <row r="550" spans="1:24" x14ac:dyDescent="0.25">
      <c r="A550" s="1" t="s">
        <v>117</v>
      </c>
      <c r="B550" s="1">
        <v>202103</v>
      </c>
      <c r="C550" s="2">
        <v>3</v>
      </c>
      <c r="D550" s="1" t="str">
        <f>INDEX(Codigos_Bens[Segmentação],MATCH(Base[[#This Row],[Código_do_segmento]],Codigos_Bens[Cod.],0))</f>
        <v>Veículos Leves</v>
      </c>
      <c r="E550">
        <v>16.28051</v>
      </c>
      <c r="F550">
        <v>8</v>
      </c>
      <c r="G550">
        <v>0</v>
      </c>
      <c r="H550">
        <v>0</v>
      </c>
      <c r="I550">
        <v>64</v>
      </c>
      <c r="J550">
        <v>785</v>
      </c>
      <c r="K550">
        <v>839</v>
      </c>
      <c r="L550">
        <v>734</v>
      </c>
      <c r="M550">
        <v>17</v>
      </c>
      <c r="N550">
        <v>1309</v>
      </c>
      <c r="O550">
        <v>105</v>
      </c>
      <c r="P550">
        <v>159</v>
      </c>
      <c r="Q550">
        <v>1649</v>
      </c>
      <c r="R550">
        <v>348</v>
      </c>
      <c r="S550">
        <v>96</v>
      </c>
      <c r="T550">
        <v>1573</v>
      </c>
      <c r="U550">
        <v>1649</v>
      </c>
      <c r="V550">
        <v>3222</v>
      </c>
      <c r="W550" s="4">
        <v>0.51179391682184983</v>
      </c>
      <c r="X550" s="4">
        <v>0.48820608317815023</v>
      </c>
    </row>
    <row r="551" spans="1:24" x14ac:dyDescent="0.25">
      <c r="A551" s="1" t="s">
        <v>117</v>
      </c>
      <c r="B551" s="1">
        <v>202103</v>
      </c>
      <c r="C551" s="2">
        <v>4</v>
      </c>
      <c r="D551" s="1" t="str">
        <f>INDEX(Codigos_Bens[Segmentação],MATCH(Base[[#This Row],[Código_do_segmento]],Codigos_Bens[Cod.],0))</f>
        <v>Motocicletas</v>
      </c>
      <c r="E551">
        <v>0</v>
      </c>
      <c r="F551">
        <v>0</v>
      </c>
      <c r="G551">
        <v>0</v>
      </c>
      <c r="H551">
        <v>0</v>
      </c>
      <c r="I551">
        <v>25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s="4">
        <v>0</v>
      </c>
      <c r="X551" s="4">
        <v>0</v>
      </c>
    </row>
    <row r="552" spans="1:24" x14ac:dyDescent="0.25">
      <c r="A552" s="1" t="s">
        <v>117</v>
      </c>
      <c r="B552" s="1">
        <v>202103</v>
      </c>
      <c r="C552" s="2">
        <v>5</v>
      </c>
      <c r="D552" s="1" t="str">
        <f>INDEX(Codigos_Bens[Segmentação],MATCH(Base[[#This Row],[Código_do_segmento]],Codigos_Bens[Cod.],0))</f>
        <v>Outros bens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s="4">
        <v>0</v>
      </c>
      <c r="X552" s="4">
        <v>0</v>
      </c>
    </row>
    <row r="553" spans="1:24" x14ac:dyDescent="0.25">
      <c r="A553" s="1" t="s">
        <v>117</v>
      </c>
      <c r="B553" s="1">
        <v>202103</v>
      </c>
      <c r="C553" s="2">
        <v>6</v>
      </c>
      <c r="D553" s="1" t="str">
        <f>INDEX(Codigos_Bens[Segmentação],MATCH(Base[[#This Row],[Código_do_segmento]],Codigos_Bens[Cod.],0))</f>
        <v>Serviços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s="4">
        <v>0</v>
      </c>
      <c r="X553" s="4">
        <v>0</v>
      </c>
    </row>
    <row r="554" spans="1:24" x14ac:dyDescent="0.25">
      <c r="A554" s="1" t="s">
        <v>147</v>
      </c>
      <c r="B554" s="1">
        <v>202103</v>
      </c>
      <c r="C554" s="2">
        <v>1</v>
      </c>
      <c r="D554" s="1" t="str">
        <f>INDEX(Codigos_Bens[Segmentação],MATCH(Base[[#This Row],[Código_do_segmento]],Codigos_Bens[Cod.],0))</f>
        <v>Imóveis</v>
      </c>
      <c r="E554">
        <v>19.871739999999999</v>
      </c>
      <c r="F554">
        <v>43</v>
      </c>
      <c r="G554">
        <v>0</v>
      </c>
      <c r="H554">
        <v>0</v>
      </c>
      <c r="I554">
        <v>174</v>
      </c>
      <c r="J554">
        <v>12214</v>
      </c>
      <c r="K554">
        <v>3199</v>
      </c>
      <c r="L554">
        <v>6043</v>
      </c>
      <c r="M554">
        <v>42</v>
      </c>
      <c r="N554">
        <v>8251</v>
      </c>
      <c r="O554">
        <v>320</v>
      </c>
      <c r="P554">
        <v>671</v>
      </c>
      <c r="Q554">
        <v>34552</v>
      </c>
      <c r="R554">
        <v>643</v>
      </c>
      <c r="S554">
        <v>790</v>
      </c>
      <c r="T554">
        <v>9242</v>
      </c>
      <c r="U554">
        <v>34552</v>
      </c>
      <c r="V554">
        <v>43794</v>
      </c>
      <c r="W554" s="4">
        <v>0.78896652509476184</v>
      </c>
      <c r="X554" s="4">
        <v>0.21103347490523816</v>
      </c>
    </row>
    <row r="555" spans="1:24" x14ac:dyDescent="0.25">
      <c r="A555" s="1" t="s">
        <v>147</v>
      </c>
      <c r="B555" s="1">
        <v>202103</v>
      </c>
      <c r="C555" s="2">
        <v>2</v>
      </c>
      <c r="D555" s="1" t="str">
        <f>INDEX(Codigos_Bens[Segmentação],MATCH(Base[[#This Row],[Código_do_segmento]],Codigos_Bens[Cod.],0))</f>
        <v>Veículos Pesados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s="4">
        <v>0</v>
      </c>
      <c r="X555" s="4">
        <v>0</v>
      </c>
    </row>
    <row r="556" spans="1:24" x14ac:dyDescent="0.25">
      <c r="A556" s="1" t="s">
        <v>147</v>
      </c>
      <c r="B556" s="1">
        <v>202103</v>
      </c>
      <c r="C556" s="2">
        <v>3</v>
      </c>
      <c r="D556" s="1" t="str">
        <f>INDEX(Codigos_Bens[Segmentação],MATCH(Base[[#This Row],[Código_do_segmento]],Codigos_Bens[Cod.],0))</f>
        <v>Veículos Leves</v>
      </c>
      <c r="E556">
        <v>20.475729999999999</v>
      </c>
      <c r="F556">
        <v>19</v>
      </c>
      <c r="G556">
        <v>0</v>
      </c>
      <c r="H556">
        <v>1</v>
      </c>
      <c r="I556">
        <v>123</v>
      </c>
      <c r="J556">
        <v>3398</v>
      </c>
      <c r="K556">
        <v>2807</v>
      </c>
      <c r="L556">
        <v>2808</v>
      </c>
      <c r="M556">
        <v>35</v>
      </c>
      <c r="N556">
        <v>4581</v>
      </c>
      <c r="O556">
        <v>316</v>
      </c>
      <c r="P556">
        <v>718</v>
      </c>
      <c r="Q556">
        <v>10794</v>
      </c>
      <c r="R556">
        <v>1286</v>
      </c>
      <c r="S556">
        <v>405</v>
      </c>
      <c r="T556">
        <v>5615</v>
      </c>
      <c r="U556">
        <v>10794</v>
      </c>
      <c r="V556">
        <v>16409</v>
      </c>
      <c r="W556" s="4">
        <v>0.65780973855810831</v>
      </c>
      <c r="X556" s="4">
        <v>0.34219026144189163</v>
      </c>
    </row>
    <row r="557" spans="1:24" x14ac:dyDescent="0.25">
      <c r="A557" s="1" t="s">
        <v>147</v>
      </c>
      <c r="B557" s="1">
        <v>202103</v>
      </c>
      <c r="C557" s="2">
        <v>4</v>
      </c>
      <c r="D557" s="1" t="str">
        <f>INDEX(Codigos_Bens[Segmentação],MATCH(Base[[#This Row],[Código_do_segmento]],Codigos_Bens[Cod.],0))</f>
        <v>Motocicletas</v>
      </c>
      <c r="E557">
        <v>21.057210000000001</v>
      </c>
      <c r="F557">
        <v>32</v>
      </c>
      <c r="G557">
        <v>1</v>
      </c>
      <c r="H557">
        <v>0</v>
      </c>
      <c r="I557">
        <v>129</v>
      </c>
      <c r="J557">
        <v>1227</v>
      </c>
      <c r="K557">
        <v>1611</v>
      </c>
      <c r="L557">
        <v>1737</v>
      </c>
      <c r="M557">
        <v>42</v>
      </c>
      <c r="N557">
        <v>2692</v>
      </c>
      <c r="O557">
        <v>170</v>
      </c>
      <c r="P557">
        <v>486</v>
      </c>
      <c r="Q557">
        <v>4543</v>
      </c>
      <c r="R557">
        <v>727</v>
      </c>
      <c r="S557">
        <v>390</v>
      </c>
      <c r="T557">
        <v>3348</v>
      </c>
      <c r="U557">
        <v>4543</v>
      </c>
      <c r="V557">
        <v>7891</v>
      </c>
      <c r="W557" s="4">
        <v>0.57571917374223802</v>
      </c>
      <c r="X557" s="4">
        <v>0.42428082625776203</v>
      </c>
    </row>
    <row r="558" spans="1:24" x14ac:dyDescent="0.25">
      <c r="A558" s="1" t="s">
        <v>147</v>
      </c>
      <c r="B558" s="1">
        <v>202103</v>
      </c>
      <c r="C558" s="2">
        <v>5</v>
      </c>
      <c r="D558" s="1" t="str">
        <f>INDEX(Codigos_Bens[Segmentação],MATCH(Base[[#This Row],[Código_do_segmento]],Codigos_Bens[Cod.],0))</f>
        <v>Outros bens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s="4">
        <v>0</v>
      </c>
      <c r="X558" s="4">
        <v>0</v>
      </c>
    </row>
    <row r="559" spans="1:24" x14ac:dyDescent="0.25">
      <c r="A559" s="1" t="s">
        <v>147</v>
      </c>
      <c r="B559" s="1">
        <v>202103</v>
      </c>
      <c r="C559" s="2">
        <v>6</v>
      </c>
      <c r="D559" s="1" t="str">
        <f>INDEX(Codigos_Bens[Segmentação],MATCH(Base[[#This Row],[Código_do_segmento]],Codigos_Bens[Cod.],0))</f>
        <v>Serviços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s="4">
        <v>0</v>
      </c>
      <c r="X559" s="4">
        <v>0</v>
      </c>
    </row>
    <row r="560" spans="1:24" x14ac:dyDescent="0.25">
      <c r="A560" s="1" t="s">
        <v>118</v>
      </c>
      <c r="B560" s="1">
        <v>202103</v>
      </c>
      <c r="C560" s="2">
        <v>1</v>
      </c>
      <c r="D560" s="1" t="str">
        <f>INDEX(Codigos_Bens[Segmentação],MATCH(Base[[#This Row],[Código_do_segmento]],Codigos_Bens[Cod.],0))</f>
        <v>Imóveis</v>
      </c>
      <c r="E560">
        <v>20.62002</v>
      </c>
      <c r="F560">
        <v>2</v>
      </c>
      <c r="G560">
        <v>0</v>
      </c>
      <c r="H560">
        <v>0</v>
      </c>
      <c r="I560">
        <v>16</v>
      </c>
      <c r="J560">
        <v>660</v>
      </c>
      <c r="K560">
        <v>407</v>
      </c>
      <c r="L560">
        <v>858</v>
      </c>
      <c r="M560">
        <v>5</v>
      </c>
      <c r="N560">
        <v>1029</v>
      </c>
      <c r="O560">
        <v>119</v>
      </c>
      <c r="P560">
        <v>117</v>
      </c>
      <c r="Q560">
        <v>2235</v>
      </c>
      <c r="R560">
        <v>49</v>
      </c>
      <c r="S560">
        <v>49</v>
      </c>
      <c r="T560">
        <v>1265</v>
      </c>
      <c r="U560">
        <v>2235</v>
      </c>
      <c r="V560">
        <v>3500</v>
      </c>
      <c r="W560" s="4">
        <v>0.63857142857142857</v>
      </c>
      <c r="X560" s="4">
        <v>0.36142857142857143</v>
      </c>
    </row>
    <row r="561" spans="1:24" x14ac:dyDescent="0.25">
      <c r="A561" s="1" t="s">
        <v>118</v>
      </c>
      <c r="B561" s="1">
        <v>202103</v>
      </c>
      <c r="C561" s="2">
        <v>2</v>
      </c>
      <c r="D561" s="1" t="str">
        <f>INDEX(Codigos_Bens[Segmentação],MATCH(Base[[#This Row],[Código_do_segmento]],Codigos_Bens[Cod.],0))</f>
        <v>Veículos Pesados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s="4">
        <v>0</v>
      </c>
      <c r="X561" s="4">
        <v>0</v>
      </c>
    </row>
    <row r="562" spans="1:24" x14ac:dyDescent="0.25">
      <c r="A562" s="1" t="s">
        <v>118</v>
      </c>
      <c r="B562" s="1">
        <v>202103</v>
      </c>
      <c r="C562" s="2">
        <v>3</v>
      </c>
      <c r="D562" s="1" t="str">
        <f>INDEX(Codigos_Bens[Segmentação],MATCH(Base[[#This Row],[Código_do_segmento]],Codigos_Bens[Cod.],0))</f>
        <v>Veículos Leves</v>
      </c>
      <c r="E562">
        <v>12.911440000000001</v>
      </c>
      <c r="F562">
        <v>19</v>
      </c>
      <c r="G562">
        <v>0</v>
      </c>
      <c r="H562">
        <v>0</v>
      </c>
      <c r="I562">
        <v>7</v>
      </c>
      <c r="J562">
        <v>545</v>
      </c>
      <c r="K562">
        <v>1657</v>
      </c>
      <c r="L562">
        <v>816</v>
      </c>
      <c r="M562">
        <v>29</v>
      </c>
      <c r="N562">
        <v>2112</v>
      </c>
      <c r="O562">
        <v>253</v>
      </c>
      <c r="P562">
        <v>108</v>
      </c>
      <c r="Q562">
        <v>1286</v>
      </c>
      <c r="R562">
        <v>721</v>
      </c>
      <c r="S562">
        <v>192</v>
      </c>
      <c r="T562">
        <v>2473</v>
      </c>
      <c r="U562">
        <v>1286</v>
      </c>
      <c r="V562">
        <v>3759</v>
      </c>
      <c r="W562" s="4">
        <v>0.3421122638999734</v>
      </c>
      <c r="X562" s="4">
        <v>0.6578877361000266</v>
      </c>
    </row>
    <row r="563" spans="1:24" x14ac:dyDescent="0.25">
      <c r="A563" s="1" t="s">
        <v>118</v>
      </c>
      <c r="B563" s="1">
        <v>202103</v>
      </c>
      <c r="C563" s="2">
        <v>4</v>
      </c>
      <c r="D563" s="1" t="str">
        <f>INDEX(Codigos_Bens[Segmentação],MATCH(Base[[#This Row],[Código_do_segmento]],Codigos_Bens[Cod.],0))</f>
        <v>Motocicletas</v>
      </c>
      <c r="E563">
        <v>16.97052</v>
      </c>
      <c r="F563">
        <v>6</v>
      </c>
      <c r="G563">
        <v>0</v>
      </c>
      <c r="H563">
        <v>0</v>
      </c>
      <c r="I563">
        <v>49</v>
      </c>
      <c r="J563">
        <v>165</v>
      </c>
      <c r="K563">
        <v>617</v>
      </c>
      <c r="L563">
        <v>638</v>
      </c>
      <c r="M563">
        <v>14</v>
      </c>
      <c r="N563">
        <v>1055</v>
      </c>
      <c r="O563">
        <v>106</v>
      </c>
      <c r="P563">
        <v>94</v>
      </c>
      <c r="Q563">
        <v>692</v>
      </c>
      <c r="R563">
        <v>247</v>
      </c>
      <c r="S563">
        <v>109</v>
      </c>
      <c r="T563">
        <v>1255</v>
      </c>
      <c r="U563">
        <v>692</v>
      </c>
      <c r="V563">
        <v>1947</v>
      </c>
      <c r="W563" s="4">
        <v>0.35541859270672832</v>
      </c>
      <c r="X563" s="4">
        <v>0.64458140729327174</v>
      </c>
    </row>
    <row r="564" spans="1:24" x14ac:dyDescent="0.25">
      <c r="A564" s="1" t="s">
        <v>118</v>
      </c>
      <c r="B564" s="1">
        <v>202103</v>
      </c>
      <c r="C564" s="2">
        <v>5</v>
      </c>
      <c r="D564" s="1" t="str">
        <f>INDEX(Codigos_Bens[Segmentação],MATCH(Base[[#This Row],[Código_do_segmento]],Codigos_Bens[Cod.],0))</f>
        <v>Outros bens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s="4">
        <v>0</v>
      </c>
      <c r="X564" s="4">
        <v>0</v>
      </c>
    </row>
    <row r="565" spans="1:24" x14ac:dyDescent="0.25">
      <c r="A565" s="1" t="s">
        <v>118</v>
      </c>
      <c r="B565" s="1">
        <v>202103</v>
      </c>
      <c r="C565" s="2">
        <v>6</v>
      </c>
      <c r="D565" s="1" t="str">
        <f>INDEX(Codigos_Bens[Segmentação],MATCH(Base[[#This Row],[Código_do_segmento]],Codigos_Bens[Cod.],0))</f>
        <v>Serviços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s="4">
        <v>0</v>
      </c>
      <c r="X565" s="4">
        <v>0</v>
      </c>
    </row>
    <row r="566" spans="1:24" x14ac:dyDescent="0.25">
      <c r="A566" s="1" t="s">
        <v>119</v>
      </c>
      <c r="B566" s="1">
        <v>202103</v>
      </c>
      <c r="C566" s="2">
        <v>1</v>
      </c>
      <c r="D566" s="1" t="str">
        <f>INDEX(Codigos_Bens[Segmentação],MATCH(Base[[#This Row],[Código_do_segmento]],Codigos_Bens[Cod.],0))</f>
        <v>Imóveis</v>
      </c>
      <c r="E566">
        <v>22.678789999999999</v>
      </c>
      <c r="F566">
        <v>74</v>
      </c>
      <c r="G566">
        <v>1</v>
      </c>
      <c r="H566">
        <v>0</v>
      </c>
      <c r="I566">
        <v>1207</v>
      </c>
      <c r="J566">
        <v>3712</v>
      </c>
      <c r="K566">
        <v>17730</v>
      </c>
      <c r="L566">
        <v>20216</v>
      </c>
      <c r="M566">
        <v>189</v>
      </c>
      <c r="N566">
        <v>33758</v>
      </c>
      <c r="O566">
        <v>1510</v>
      </c>
      <c r="P566">
        <v>2678</v>
      </c>
      <c r="Q566">
        <v>52135</v>
      </c>
      <c r="R566">
        <v>7497</v>
      </c>
      <c r="S566">
        <v>4590</v>
      </c>
      <c r="T566">
        <v>37946</v>
      </c>
      <c r="U566">
        <v>52135</v>
      </c>
      <c r="V566">
        <v>90081</v>
      </c>
      <c r="W566" s="4">
        <v>0.57875689657086404</v>
      </c>
      <c r="X566" s="4">
        <v>0.42124310342913601</v>
      </c>
    </row>
    <row r="567" spans="1:24" x14ac:dyDescent="0.25">
      <c r="A567" s="1" t="s">
        <v>119</v>
      </c>
      <c r="B567" s="1">
        <v>202103</v>
      </c>
      <c r="C567" s="2">
        <v>2</v>
      </c>
      <c r="D567" s="1" t="str">
        <f>INDEX(Codigos_Bens[Segmentação],MATCH(Base[[#This Row],[Código_do_segmento]],Codigos_Bens[Cod.],0))</f>
        <v>Veículos Pesados</v>
      </c>
      <c r="E567">
        <v>14.70026</v>
      </c>
      <c r="F567">
        <v>1</v>
      </c>
      <c r="G567">
        <v>0</v>
      </c>
      <c r="H567">
        <v>0</v>
      </c>
      <c r="I567">
        <v>39</v>
      </c>
      <c r="J567">
        <v>11</v>
      </c>
      <c r="K567">
        <v>61</v>
      </c>
      <c r="L567">
        <v>321</v>
      </c>
      <c r="M567">
        <v>0</v>
      </c>
      <c r="N567">
        <v>309</v>
      </c>
      <c r="O567">
        <v>14</v>
      </c>
      <c r="P567">
        <v>59</v>
      </c>
      <c r="Q567">
        <v>147</v>
      </c>
      <c r="R567">
        <v>3</v>
      </c>
      <c r="S567">
        <v>51</v>
      </c>
      <c r="T567">
        <v>382</v>
      </c>
      <c r="U567">
        <v>147</v>
      </c>
      <c r="V567">
        <v>529</v>
      </c>
      <c r="W567" s="4">
        <v>0.27788279773156899</v>
      </c>
      <c r="X567" s="4">
        <v>0.72211720226843101</v>
      </c>
    </row>
    <row r="568" spans="1:24" x14ac:dyDescent="0.25">
      <c r="A568" s="1" t="s">
        <v>119</v>
      </c>
      <c r="B568" s="1">
        <v>202103</v>
      </c>
      <c r="C568" s="2">
        <v>3</v>
      </c>
      <c r="D568" s="1" t="str">
        <f>INDEX(Codigos_Bens[Segmentação],MATCH(Base[[#This Row],[Código_do_segmento]],Codigos_Bens[Cod.],0))</f>
        <v>Veículos Leves</v>
      </c>
      <c r="E568">
        <v>15.96489</v>
      </c>
      <c r="F568">
        <v>168</v>
      </c>
      <c r="G568">
        <v>2</v>
      </c>
      <c r="H568">
        <v>2</v>
      </c>
      <c r="I568">
        <v>903</v>
      </c>
      <c r="J568">
        <v>1651</v>
      </c>
      <c r="K568">
        <v>24374</v>
      </c>
      <c r="L568">
        <v>16024</v>
      </c>
      <c r="M568">
        <v>266</v>
      </c>
      <c r="N568">
        <v>35481</v>
      </c>
      <c r="O568">
        <v>2218</v>
      </c>
      <c r="P568">
        <v>2699</v>
      </c>
      <c r="Q568">
        <v>22599</v>
      </c>
      <c r="R568">
        <v>12985</v>
      </c>
      <c r="S568">
        <v>12675</v>
      </c>
      <c r="T568">
        <v>40398</v>
      </c>
      <c r="U568">
        <v>22599</v>
      </c>
      <c r="V568">
        <v>62997</v>
      </c>
      <c r="W568" s="4">
        <v>0.35873136816038859</v>
      </c>
      <c r="X568" s="4">
        <v>0.64126863183961136</v>
      </c>
    </row>
    <row r="569" spans="1:24" x14ac:dyDescent="0.25">
      <c r="A569" s="1" t="s">
        <v>119</v>
      </c>
      <c r="B569" s="1">
        <v>202103</v>
      </c>
      <c r="C569" s="2">
        <v>4</v>
      </c>
      <c r="D569" s="1" t="str">
        <f>INDEX(Codigos_Bens[Segmentação],MATCH(Base[[#This Row],[Código_do_segmento]],Codigos_Bens[Cod.],0))</f>
        <v>Motocicletas</v>
      </c>
      <c r="E569">
        <v>19.363620000000001</v>
      </c>
      <c r="F569">
        <v>32</v>
      </c>
      <c r="G569">
        <v>0</v>
      </c>
      <c r="H569">
        <v>0</v>
      </c>
      <c r="I569">
        <v>185</v>
      </c>
      <c r="J569">
        <v>1100</v>
      </c>
      <c r="K569">
        <v>5057</v>
      </c>
      <c r="L569">
        <v>2844</v>
      </c>
      <c r="M569">
        <v>128</v>
      </c>
      <c r="N569">
        <v>7029</v>
      </c>
      <c r="O569">
        <v>334</v>
      </c>
      <c r="P569">
        <v>538</v>
      </c>
      <c r="Q569">
        <v>6175</v>
      </c>
      <c r="R569">
        <v>3040</v>
      </c>
      <c r="S569">
        <v>2496</v>
      </c>
      <c r="T569">
        <v>7901</v>
      </c>
      <c r="U569">
        <v>6175</v>
      </c>
      <c r="V569">
        <v>14076</v>
      </c>
      <c r="W569" s="4">
        <v>0.43868996874111965</v>
      </c>
      <c r="X569" s="4">
        <v>0.56131003125888035</v>
      </c>
    </row>
    <row r="570" spans="1:24" x14ac:dyDescent="0.25">
      <c r="A570" s="1" t="s">
        <v>119</v>
      </c>
      <c r="B570" s="1">
        <v>202103</v>
      </c>
      <c r="C570" s="2">
        <v>5</v>
      </c>
      <c r="D570" s="1" t="str">
        <f>INDEX(Codigos_Bens[Segmentação],MATCH(Base[[#This Row],[Código_do_segmento]],Codigos_Bens[Cod.],0))</f>
        <v>Outros bens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s="4">
        <v>0</v>
      </c>
      <c r="X570" s="4">
        <v>0</v>
      </c>
    </row>
    <row r="571" spans="1:24" x14ac:dyDescent="0.25">
      <c r="A571" s="1" t="s">
        <v>119</v>
      </c>
      <c r="B571" s="1">
        <v>202103</v>
      </c>
      <c r="C571" s="2">
        <v>6</v>
      </c>
      <c r="D571" s="1" t="str">
        <f>INDEX(Codigos_Bens[Segmentação],MATCH(Base[[#This Row],[Código_do_segmento]],Codigos_Bens[Cod.],0))</f>
        <v>Serviços</v>
      </c>
      <c r="E571">
        <v>25.247299999999999</v>
      </c>
      <c r="F571">
        <v>25</v>
      </c>
      <c r="G571">
        <v>0</v>
      </c>
      <c r="H571">
        <v>0</v>
      </c>
      <c r="I571">
        <v>188</v>
      </c>
      <c r="J571">
        <v>531</v>
      </c>
      <c r="K571">
        <v>1742</v>
      </c>
      <c r="L571">
        <v>1956</v>
      </c>
      <c r="M571">
        <v>114</v>
      </c>
      <c r="N571">
        <v>3043</v>
      </c>
      <c r="O571">
        <v>281</v>
      </c>
      <c r="P571">
        <v>374</v>
      </c>
      <c r="Q571">
        <v>2523</v>
      </c>
      <c r="R571">
        <v>467</v>
      </c>
      <c r="S571">
        <v>1398</v>
      </c>
      <c r="T571">
        <v>3698</v>
      </c>
      <c r="U571">
        <v>2523</v>
      </c>
      <c r="V571">
        <v>6221</v>
      </c>
      <c r="W571" s="4">
        <v>0.40556180678347531</v>
      </c>
      <c r="X571" s="4">
        <v>0.59443819321652469</v>
      </c>
    </row>
    <row r="572" spans="1:24" x14ac:dyDescent="0.25">
      <c r="A572" s="1" t="s">
        <v>120</v>
      </c>
      <c r="B572" s="1">
        <v>202103</v>
      </c>
      <c r="C572" s="2">
        <v>1</v>
      </c>
      <c r="D572" s="1" t="str">
        <f>INDEX(Codigos_Bens[Segmentação],MATCH(Base[[#This Row],[Código_do_segmento]],Codigos_Bens[Cod.],0))</f>
        <v>Imóveis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s="4">
        <v>0</v>
      </c>
      <c r="X572" s="4">
        <v>0</v>
      </c>
    </row>
    <row r="573" spans="1:24" x14ac:dyDescent="0.25">
      <c r="A573" s="1" t="s">
        <v>120</v>
      </c>
      <c r="B573" s="1">
        <v>202103</v>
      </c>
      <c r="C573" s="2">
        <v>2</v>
      </c>
      <c r="D573" s="1" t="str">
        <f>INDEX(Codigos_Bens[Segmentação],MATCH(Base[[#This Row],[Código_do_segmento]],Codigos_Bens[Cod.],0))</f>
        <v>Veículos Pesados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s="4">
        <v>0</v>
      </c>
      <c r="X573" s="4">
        <v>0</v>
      </c>
    </row>
    <row r="574" spans="1:24" x14ac:dyDescent="0.25">
      <c r="A574" s="1" t="s">
        <v>120</v>
      </c>
      <c r="B574" s="1">
        <v>202103</v>
      </c>
      <c r="C574" s="2">
        <v>3</v>
      </c>
      <c r="D574" s="1" t="str">
        <f>INDEX(Codigos_Bens[Segmentação],MATCH(Base[[#This Row],[Código_do_segmento]],Codigos_Bens[Cod.],0))</f>
        <v>Veículos Leves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s="4">
        <v>0</v>
      </c>
      <c r="X574" s="4">
        <v>0</v>
      </c>
    </row>
    <row r="575" spans="1:24" x14ac:dyDescent="0.25">
      <c r="A575" s="1" t="s">
        <v>120</v>
      </c>
      <c r="B575" s="1">
        <v>202103</v>
      </c>
      <c r="C575" s="2">
        <v>4</v>
      </c>
      <c r="D575" s="1" t="str">
        <f>INDEX(Codigos_Bens[Segmentação],MATCH(Base[[#This Row],[Código_do_segmento]],Codigos_Bens[Cod.],0))</f>
        <v>Motocicletas</v>
      </c>
      <c r="E575">
        <v>11.792770000000001</v>
      </c>
      <c r="F575">
        <v>8</v>
      </c>
      <c r="G575">
        <v>0</v>
      </c>
      <c r="H575">
        <v>0</v>
      </c>
      <c r="I575">
        <v>0</v>
      </c>
      <c r="J575">
        <v>45</v>
      </c>
      <c r="K575">
        <v>2869</v>
      </c>
      <c r="L575">
        <v>36</v>
      </c>
      <c r="M575">
        <v>2</v>
      </c>
      <c r="N575">
        <v>2783</v>
      </c>
      <c r="O575">
        <v>105</v>
      </c>
      <c r="P575">
        <v>17</v>
      </c>
      <c r="Q575">
        <v>1467</v>
      </c>
      <c r="R575">
        <v>2558</v>
      </c>
      <c r="S575">
        <v>33</v>
      </c>
      <c r="T575">
        <v>2905</v>
      </c>
      <c r="U575">
        <v>1467</v>
      </c>
      <c r="V575">
        <v>4372</v>
      </c>
      <c r="W575" s="4">
        <v>0.33554437328453796</v>
      </c>
      <c r="X575" s="4">
        <v>0.66445562671546199</v>
      </c>
    </row>
    <row r="576" spans="1:24" x14ac:dyDescent="0.25">
      <c r="A576" s="1" t="s">
        <v>120</v>
      </c>
      <c r="B576" s="1">
        <v>202103</v>
      </c>
      <c r="C576" s="2">
        <v>5</v>
      </c>
      <c r="D576" s="1" t="str">
        <f>INDEX(Codigos_Bens[Segmentação],MATCH(Base[[#This Row],[Código_do_segmento]],Codigos_Bens[Cod.],0))</f>
        <v>Outros bens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s="4">
        <v>0</v>
      </c>
      <c r="X576" s="4">
        <v>0</v>
      </c>
    </row>
    <row r="577" spans="1:24" x14ac:dyDescent="0.25">
      <c r="A577" s="1" t="s">
        <v>120</v>
      </c>
      <c r="B577" s="1">
        <v>202103</v>
      </c>
      <c r="C577" s="2">
        <v>6</v>
      </c>
      <c r="D577" s="1" t="str">
        <f>INDEX(Codigos_Bens[Segmentação],MATCH(Base[[#This Row],[Código_do_segmento]],Codigos_Bens[Cod.],0))</f>
        <v>Serviços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s="4">
        <v>0</v>
      </c>
      <c r="X577" s="4">
        <v>0</v>
      </c>
    </row>
    <row r="578" spans="1:24" x14ac:dyDescent="0.25">
      <c r="A578" s="1" t="s">
        <v>121</v>
      </c>
      <c r="B578" s="1">
        <v>202103</v>
      </c>
      <c r="C578" s="2">
        <v>1</v>
      </c>
      <c r="D578" s="1" t="str">
        <f>INDEX(Codigos_Bens[Segmentação],MATCH(Base[[#This Row],[Código_do_segmento]],Codigos_Bens[Cod.],0))</f>
        <v>Imóveis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 s="4">
        <v>0</v>
      </c>
      <c r="X578" s="4">
        <v>0</v>
      </c>
    </row>
    <row r="579" spans="1:24" x14ac:dyDescent="0.25">
      <c r="A579" s="1" t="s">
        <v>121</v>
      </c>
      <c r="B579" s="1">
        <v>202103</v>
      </c>
      <c r="C579" s="2">
        <v>2</v>
      </c>
      <c r="D579" s="1" t="str">
        <f>INDEX(Codigos_Bens[Segmentação],MATCH(Base[[#This Row],[Código_do_segmento]],Codigos_Bens[Cod.],0))</f>
        <v>Veículos Pesados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s="4">
        <v>0</v>
      </c>
      <c r="X579" s="4">
        <v>0</v>
      </c>
    </row>
    <row r="580" spans="1:24" x14ac:dyDescent="0.25">
      <c r="A580" s="1" t="s">
        <v>121</v>
      </c>
      <c r="B580" s="1">
        <v>202103</v>
      </c>
      <c r="C580" s="2">
        <v>3</v>
      </c>
      <c r="D580" s="1" t="str">
        <f>INDEX(Codigos_Bens[Segmentação],MATCH(Base[[#This Row],[Código_do_segmento]],Codigos_Bens[Cod.],0))</f>
        <v>Veículos Leves</v>
      </c>
      <c r="E580">
        <v>16.9954</v>
      </c>
      <c r="F580">
        <v>3</v>
      </c>
      <c r="G580">
        <v>0</v>
      </c>
      <c r="H580">
        <v>0</v>
      </c>
      <c r="I580">
        <v>0</v>
      </c>
      <c r="J580">
        <v>44</v>
      </c>
      <c r="K580">
        <v>436</v>
      </c>
      <c r="L580">
        <v>0</v>
      </c>
      <c r="M580">
        <v>0</v>
      </c>
      <c r="N580">
        <v>396</v>
      </c>
      <c r="O580">
        <v>40</v>
      </c>
      <c r="P580">
        <v>0</v>
      </c>
      <c r="Q580">
        <v>489</v>
      </c>
      <c r="R580">
        <v>313</v>
      </c>
      <c r="S580">
        <v>20</v>
      </c>
      <c r="T580">
        <v>436</v>
      </c>
      <c r="U580">
        <v>489</v>
      </c>
      <c r="V580">
        <v>925</v>
      </c>
      <c r="W580" s="4">
        <v>0.52864864864864869</v>
      </c>
      <c r="X580" s="4">
        <v>0.47135135135135137</v>
      </c>
    </row>
    <row r="581" spans="1:24" x14ac:dyDescent="0.25">
      <c r="A581" s="1" t="s">
        <v>121</v>
      </c>
      <c r="B581" s="1">
        <v>202103</v>
      </c>
      <c r="C581" s="2">
        <v>4</v>
      </c>
      <c r="D581" s="1" t="str">
        <f>INDEX(Codigos_Bens[Segmentação],MATCH(Base[[#This Row],[Código_do_segmento]],Codigos_Bens[Cod.],0))</f>
        <v>Motocicletas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s="4">
        <v>0</v>
      </c>
      <c r="X581" s="4">
        <v>0</v>
      </c>
    </row>
    <row r="582" spans="1:24" x14ac:dyDescent="0.25">
      <c r="A582" s="1" t="s">
        <v>121</v>
      </c>
      <c r="B582" s="1">
        <v>202103</v>
      </c>
      <c r="C582" s="2">
        <v>5</v>
      </c>
      <c r="D582" s="1" t="str">
        <f>INDEX(Codigos_Bens[Segmentação],MATCH(Base[[#This Row],[Código_do_segmento]],Codigos_Bens[Cod.],0))</f>
        <v>Outros bens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s="4">
        <v>0</v>
      </c>
      <c r="X582" s="4">
        <v>0</v>
      </c>
    </row>
    <row r="583" spans="1:24" x14ac:dyDescent="0.25">
      <c r="A583" s="1" t="s">
        <v>121</v>
      </c>
      <c r="B583" s="1">
        <v>202103</v>
      </c>
      <c r="C583" s="2">
        <v>6</v>
      </c>
      <c r="D583" s="1" t="str">
        <f>INDEX(Codigos_Bens[Segmentação],MATCH(Base[[#This Row],[Código_do_segmento]],Codigos_Bens[Cod.],0))</f>
        <v>Serviços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s="4">
        <v>0</v>
      </c>
      <c r="X583" s="4">
        <v>0</v>
      </c>
    </row>
    <row r="584" spans="1:24" x14ac:dyDescent="0.25">
      <c r="A584" s="1" t="s">
        <v>122</v>
      </c>
      <c r="B584" s="1">
        <v>202103</v>
      </c>
      <c r="C584" s="2">
        <v>1</v>
      </c>
      <c r="D584" s="1" t="str">
        <f>INDEX(Codigos_Bens[Segmentação],MATCH(Base[[#This Row],[Código_do_segmento]],Codigos_Bens[Cod.],0))</f>
        <v>Imóveis</v>
      </c>
      <c r="E584">
        <v>18.219609999999999</v>
      </c>
      <c r="F584">
        <v>51</v>
      </c>
      <c r="G584">
        <v>1</v>
      </c>
      <c r="H584">
        <v>0</v>
      </c>
      <c r="I584">
        <v>2452</v>
      </c>
      <c r="J584">
        <v>5577</v>
      </c>
      <c r="K584">
        <v>5775</v>
      </c>
      <c r="L584">
        <v>21976</v>
      </c>
      <c r="M584">
        <v>215</v>
      </c>
      <c r="N584">
        <v>25584</v>
      </c>
      <c r="O584">
        <v>149</v>
      </c>
      <c r="P584">
        <v>2018</v>
      </c>
      <c r="Q584">
        <v>35746</v>
      </c>
      <c r="R584">
        <v>1594</v>
      </c>
      <c r="S584">
        <v>1658</v>
      </c>
      <c r="T584">
        <v>27751</v>
      </c>
      <c r="U584">
        <v>35746</v>
      </c>
      <c r="V584">
        <v>63497</v>
      </c>
      <c r="W584" s="4">
        <v>0.56295573019197753</v>
      </c>
      <c r="X584" s="4">
        <v>0.43704426980802241</v>
      </c>
    </row>
    <row r="585" spans="1:24" x14ac:dyDescent="0.25">
      <c r="A585" s="1" t="s">
        <v>122</v>
      </c>
      <c r="B585" s="1">
        <v>202103</v>
      </c>
      <c r="C585" s="2">
        <v>2</v>
      </c>
      <c r="D585" s="1" t="str">
        <f>INDEX(Codigos_Bens[Segmentação],MATCH(Base[[#This Row],[Código_do_segmento]],Codigos_Bens[Cod.],0))</f>
        <v>Veículos Pesados</v>
      </c>
      <c r="E585">
        <v>10.46767</v>
      </c>
      <c r="F585">
        <v>13</v>
      </c>
      <c r="G585">
        <v>0</v>
      </c>
      <c r="H585">
        <v>0</v>
      </c>
      <c r="I585">
        <v>432</v>
      </c>
      <c r="J585">
        <v>284</v>
      </c>
      <c r="K585">
        <v>2051</v>
      </c>
      <c r="L585">
        <v>5762</v>
      </c>
      <c r="M585">
        <v>112</v>
      </c>
      <c r="N585">
        <v>7394</v>
      </c>
      <c r="O585">
        <v>85</v>
      </c>
      <c r="P585">
        <v>334</v>
      </c>
      <c r="Q585">
        <v>3227</v>
      </c>
      <c r="R585">
        <v>117</v>
      </c>
      <c r="S585">
        <v>470</v>
      </c>
      <c r="T585">
        <v>7813</v>
      </c>
      <c r="U585">
        <v>3227</v>
      </c>
      <c r="V585">
        <v>11040</v>
      </c>
      <c r="W585" s="4">
        <v>0.29230072463768114</v>
      </c>
      <c r="X585" s="4">
        <v>0.7076992753623188</v>
      </c>
    </row>
    <row r="586" spans="1:24" x14ac:dyDescent="0.25">
      <c r="A586" s="1" t="s">
        <v>122</v>
      </c>
      <c r="B586" s="1">
        <v>202103</v>
      </c>
      <c r="C586" s="2">
        <v>3</v>
      </c>
      <c r="D586" s="1" t="str">
        <f>INDEX(Codigos_Bens[Segmentação],MATCH(Base[[#This Row],[Código_do_segmento]],Codigos_Bens[Cod.],0))</f>
        <v>Veículos Leves</v>
      </c>
      <c r="E586">
        <v>13.769209999999999</v>
      </c>
      <c r="F586">
        <v>341</v>
      </c>
      <c r="G586">
        <v>1</v>
      </c>
      <c r="H586">
        <v>0</v>
      </c>
      <c r="I586">
        <v>7383</v>
      </c>
      <c r="J586">
        <v>13878</v>
      </c>
      <c r="K586">
        <v>116308</v>
      </c>
      <c r="L586">
        <v>134920</v>
      </c>
      <c r="M586">
        <v>3881</v>
      </c>
      <c r="N586">
        <v>205558</v>
      </c>
      <c r="O586">
        <v>21061</v>
      </c>
      <c r="P586">
        <v>24609</v>
      </c>
      <c r="Q586">
        <v>170629</v>
      </c>
      <c r="R586">
        <v>25751</v>
      </c>
      <c r="S586">
        <v>19211</v>
      </c>
      <c r="T586">
        <v>251228</v>
      </c>
      <c r="U586">
        <v>170629</v>
      </c>
      <c r="V586">
        <v>421857</v>
      </c>
      <c r="W586" s="4">
        <v>0.40447118336308274</v>
      </c>
      <c r="X586" s="4">
        <v>0.59552881663691726</v>
      </c>
    </row>
    <row r="587" spans="1:24" x14ac:dyDescent="0.25">
      <c r="A587" s="1" t="s">
        <v>122</v>
      </c>
      <c r="B587" s="1">
        <v>202103</v>
      </c>
      <c r="C587" s="2">
        <v>4</v>
      </c>
      <c r="D587" s="1" t="str">
        <f>INDEX(Codigos_Bens[Segmentação],MATCH(Base[[#This Row],[Código_do_segmento]],Codigos_Bens[Cod.],0))</f>
        <v>Motocicletas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s="4">
        <v>0</v>
      </c>
      <c r="X587" s="4">
        <v>0</v>
      </c>
    </row>
    <row r="588" spans="1:24" x14ac:dyDescent="0.25">
      <c r="A588" s="1" t="s">
        <v>122</v>
      </c>
      <c r="B588" s="1">
        <v>202103</v>
      </c>
      <c r="C588" s="2">
        <v>5</v>
      </c>
      <c r="D588" s="1" t="str">
        <f>INDEX(Codigos_Bens[Segmentação],MATCH(Base[[#This Row],[Código_do_segmento]],Codigos_Bens[Cod.],0))</f>
        <v>Outros bens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s="4">
        <v>0</v>
      </c>
      <c r="X588" s="4">
        <v>0</v>
      </c>
    </row>
    <row r="589" spans="1:24" x14ac:dyDescent="0.25">
      <c r="A589" s="1" t="s">
        <v>122</v>
      </c>
      <c r="B589" s="1">
        <v>202103</v>
      </c>
      <c r="C589" s="2">
        <v>6</v>
      </c>
      <c r="D589" s="1" t="str">
        <f>INDEX(Codigos_Bens[Segmentação],MATCH(Base[[#This Row],[Código_do_segmento]],Codigos_Bens[Cod.],0))</f>
        <v>Serviços</v>
      </c>
      <c r="E589">
        <v>16.194600000000001</v>
      </c>
      <c r="F589">
        <v>8</v>
      </c>
      <c r="G589">
        <v>0</v>
      </c>
      <c r="H589">
        <v>0</v>
      </c>
      <c r="I589">
        <v>192</v>
      </c>
      <c r="J589">
        <v>562</v>
      </c>
      <c r="K589">
        <v>847</v>
      </c>
      <c r="L589">
        <v>3318</v>
      </c>
      <c r="M589">
        <v>136</v>
      </c>
      <c r="N589">
        <v>3818</v>
      </c>
      <c r="O589">
        <v>36</v>
      </c>
      <c r="P589">
        <v>311</v>
      </c>
      <c r="Q589">
        <v>1221</v>
      </c>
      <c r="R589">
        <v>15</v>
      </c>
      <c r="S589">
        <v>594</v>
      </c>
      <c r="T589">
        <v>4165</v>
      </c>
      <c r="U589">
        <v>1221</v>
      </c>
      <c r="V589">
        <v>5386</v>
      </c>
      <c r="W589" s="4">
        <v>0.22669884886743408</v>
      </c>
      <c r="X589" s="4">
        <v>0.77330115113256592</v>
      </c>
    </row>
    <row r="590" spans="1:24" x14ac:dyDescent="0.25">
      <c r="A590" s="1" t="s">
        <v>123</v>
      </c>
      <c r="B590" s="1">
        <v>202103</v>
      </c>
      <c r="C590" s="2">
        <v>1</v>
      </c>
      <c r="D590" s="1" t="str">
        <f>INDEX(Codigos_Bens[Segmentação],MATCH(Base[[#This Row],[Código_do_segmento]],Codigos_Bens[Cod.],0))</f>
        <v>Imóveis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s="4">
        <v>0</v>
      </c>
      <c r="X590" s="4">
        <v>0</v>
      </c>
    </row>
    <row r="591" spans="1:24" x14ac:dyDescent="0.25">
      <c r="A591" s="1" t="s">
        <v>123</v>
      </c>
      <c r="B591" s="1">
        <v>202103</v>
      </c>
      <c r="C591" s="2">
        <v>2</v>
      </c>
      <c r="D591" s="1" t="str">
        <f>INDEX(Codigos_Bens[Segmentação],MATCH(Base[[#This Row],[Código_do_segmento]],Codigos_Bens[Cod.],0))</f>
        <v>Veículos Pesados</v>
      </c>
      <c r="E591">
        <v>11.897589999999999</v>
      </c>
      <c r="F591">
        <v>78</v>
      </c>
      <c r="G591">
        <v>1</v>
      </c>
      <c r="H591">
        <v>0</v>
      </c>
      <c r="I591">
        <v>122</v>
      </c>
      <c r="J591">
        <v>340</v>
      </c>
      <c r="K591">
        <v>13085</v>
      </c>
      <c r="L591">
        <v>9535</v>
      </c>
      <c r="M591">
        <v>243</v>
      </c>
      <c r="N591">
        <v>21322</v>
      </c>
      <c r="O591">
        <v>668</v>
      </c>
      <c r="P591">
        <v>630</v>
      </c>
      <c r="Q591">
        <v>6457</v>
      </c>
      <c r="R591">
        <v>4795</v>
      </c>
      <c r="S591">
        <v>3607</v>
      </c>
      <c r="T591">
        <v>22620</v>
      </c>
      <c r="U591">
        <v>6457</v>
      </c>
      <c r="V591">
        <v>29077</v>
      </c>
      <c r="W591" s="4">
        <v>0.22206555009113732</v>
      </c>
      <c r="X591" s="4">
        <v>0.77793444990886262</v>
      </c>
    </row>
    <row r="592" spans="1:24" x14ac:dyDescent="0.25">
      <c r="A592" s="1" t="s">
        <v>123</v>
      </c>
      <c r="B592" s="1">
        <v>202103</v>
      </c>
      <c r="C592" s="2">
        <v>3</v>
      </c>
      <c r="D592" s="1" t="str">
        <f>INDEX(Codigos_Bens[Segmentação],MATCH(Base[[#This Row],[Código_do_segmento]],Codigos_Bens[Cod.],0))</f>
        <v>Veículos Leves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s="4">
        <v>0</v>
      </c>
      <c r="X592" s="4">
        <v>0</v>
      </c>
    </row>
    <row r="593" spans="1:24" x14ac:dyDescent="0.25">
      <c r="A593" s="1" t="s">
        <v>123</v>
      </c>
      <c r="B593" s="1">
        <v>202103</v>
      </c>
      <c r="C593" s="2">
        <v>4</v>
      </c>
      <c r="D593" s="1" t="str">
        <f>INDEX(Codigos_Bens[Segmentação],MATCH(Base[[#This Row],[Código_do_segmento]],Codigos_Bens[Cod.],0))</f>
        <v>Motocicletas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s="4">
        <v>0</v>
      </c>
      <c r="X593" s="4">
        <v>0</v>
      </c>
    </row>
    <row r="594" spans="1:24" x14ac:dyDescent="0.25">
      <c r="A594" s="1" t="s">
        <v>123</v>
      </c>
      <c r="B594" s="1">
        <v>202103</v>
      </c>
      <c r="C594" s="2">
        <v>5</v>
      </c>
      <c r="D594" s="1" t="str">
        <f>INDEX(Codigos_Bens[Segmentação],MATCH(Base[[#This Row],[Código_do_segmento]],Codigos_Bens[Cod.],0))</f>
        <v>Outros bens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s="4">
        <v>0</v>
      </c>
      <c r="X594" s="4">
        <v>0</v>
      </c>
    </row>
    <row r="595" spans="1:24" x14ac:dyDescent="0.25">
      <c r="A595" s="1" t="s">
        <v>123</v>
      </c>
      <c r="B595" s="1">
        <v>202103</v>
      </c>
      <c r="C595" s="2">
        <v>6</v>
      </c>
      <c r="D595" s="1" t="str">
        <f>INDEX(Codigos_Bens[Segmentação],MATCH(Base[[#This Row],[Código_do_segmento]],Codigos_Bens[Cod.],0))</f>
        <v>Serviços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s="4">
        <v>0</v>
      </c>
      <c r="X595" s="4">
        <v>0</v>
      </c>
    </row>
    <row r="596" spans="1:24" x14ac:dyDescent="0.25">
      <c r="A596" s="1" t="s">
        <v>124</v>
      </c>
      <c r="B596" s="1">
        <v>202103</v>
      </c>
      <c r="C596" s="2">
        <v>1</v>
      </c>
      <c r="D596" s="1" t="str">
        <f>INDEX(Codigos_Bens[Segmentação],MATCH(Base[[#This Row],[Código_do_segmento]],Codigos_Bens[Cod.],0))</f>
        <v>Imóveis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s="4">
        <v>0</v>
      </c>
      <c r="X596" s="4">
        <v>0</v>
      </c>
    </row>
    <row r="597" spans="1:24" x14ac:dyDescent="0.25">
      <c r="A597" s="1" t="s">
        <v>124</v>
      </c>
      <c r="B597" s="1">
        <v>202103</v>
      </c>
      <c r="C597" s="2">
        <v>2</v>
      </c>
      <c r="D597" s="1" t="str">
        <f>INDEX(Codigos_Bens[Segmentação],MATCH(Base[[#This Row],[Código_do_segmento]],Codigos_Bens[Cod.],0))</f>
        <v>Veículos Pesados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s="4">
        <v>0</v>
      </c>
      <c r="X597" s="4">
        <v>0</v>
      </c>
    </row>
    <row r="598" spans="1:24" x14ac:dyDescent="0.25">
      <c r="A598" s="1" t="s">
        <v>124</v>
      </c>
      <c r="B598" s="1">
        <v>202103</v>
      </c>
      <c r="C598" s="2">
        <v>3</v>
      </c>
      <c r="D598" s="1" t="str">
        <f>INDEX(Codigos_Bens[Segmentação],MATCH(Base[[#This Row],[Código_do_segmento]],Codigos_Bens[Cod.],0))</f>
        <v>Veículos Leves</v>
      </c>
      <c r="E598">
        <v>14.263299999999999</v>
      </c>
      <c r="F598">
        <v>36</v>
      </c>
      <c r="G598">
        <v>0</v>
      </c>
      <c r="H598">
        <v>0</v>
      </c>
      <c r="I598">
        <v>22</v>
      </c>
      <c r="J598">
        <v>121</v>
      </c>
      <c r="K598">
        <v>1209</v>
      </c>
      <c r="L598">
        <v>873</v>
      </c>
      <c r="M598">
        <v>38</v>
      </c>
      <c r="N598">
        <v>1715</v>
      </c>
      <c r="O598">
        <v>188</v>
      </c>
      <c r="P598">
        <v>179</v>
      </c>
      <c r="Q598">
        <v>240</v>
      </c>
      <c r="R598">
        <v>441</v>
      </c>
      <c r="S598">
        <v>153</v>
      </c>
      <c r="T598">
        <v>2082</v>
      </c>
      <c r="U598">
        <v>240</v>
      </c>
      <c r="V598">
        <v>2322</v>
      </c>
      <c r="W598" s="4">
        <v>0.10335917312661498</v>
      </c>
      <c r="X598" s="4">
        <v>0.89664082687338498</v>
      </c>
    </row>
    <row r="599" spans="1:24" x14ac:dyDescent="0.25">
      <c r="A599" s="1" t="s">
        <v>124</v>
      </c>
      <c r="B599" s="1">
        <v>202103</v>
      </c>
      <c r="C599" s="2">
        <v>4</v>
      </c>
      <c r="D599" s="1" t="str">
        <f>INDEX(Codigos_Bens[Segmentação],MATCH(Base[[#This Row],[Código_do_segmento]],Codigos_Bens[Cod.],0))</f>
        <v>Motocicletas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s="4">
        <v>0</v>
      </c>
      <c r="X599" s="4">
        <v>0</v>
      </c>
    </row>
    <row r="600" spans="1:24" x14ac:dyDescent="0.25">
      <c r="A600" s="1" t="s">
        <v>124</v>
      </c>
      <c r="B600" s="1">
        <v>202103</v>
      </c>
      <c r="C600" s="2">
        <v>5</v>
      </c>
      <c r="D600" s="1" t="str">
        <f>INDEX(Codigos_Bens[Segmentação],MATCH(Base[[#This Row],[Código_do_segmento]],Codigos_Bens[Cod.],0))</f>
        <v>Outros bens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s="4">
        <v>0</v>
      </c>
      <c r="X600" s="4">
        <v>0</v>
      </c>
    </row>
    <row r="601" spans="1:24" x14ac:dyDescent="0.25">
      <c r="A601" s="1" t="s">
        <v>124</v>
      </c>
      <c r="B601" s="1">
        <v>202103</v>
      </c>
      <c r="C601" s="2">
        <v>6</v>
      </c>
      <c r="D601" s="1" t="str">
        <f>INDEX(Codigos_Bens[Segmentação],MATCH(Base[[#This Row],[Código_do_segmento]],Codigos_Bens[Cod.],0))</f>
        <v>Serviços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s="4">
        <v>0</v>
      </c>
      <c r="X601" s="4">
        <v>0</v>
      </c>
    </row>
    <row r="602" spans="1:24" x14ac:dyDescent="0.25">
      <c r="A602" s="1" t="s">
        <v>125</v>
      </c>
      <c r="B602" s="1">
        <v>202103</v>
      </c>
      <c r="C602" s="2">
        <v>1</v>
      </c>
      <c r="D602" s="1" t="str">
        <f>INDEX(Codigos_Bens[Segmentação],MATCH(Base[[#This Row],[Código_do_segmento]],Codigos_Bens[Cod.],0))</f>
        <v>Imóveis</v>
      </c>
      <c r="E602">
        <v>20.553149999999999</v>
      </c>
      <c r="F602">
        <v>36</v>
      </c>
      <c r="G602">
        <v>0</v>
      </c>
      <c r="H602">
        <v>0</v>
      </c>
      <c r="I602">
        <v>233</v>
      </c>
      <c r="J602">
        <v>5522</v>
      </c>
      <c r="K602">
        <v>7356</v>
      </c>
      <c r="L602">
        <v>9485</v>
      </c>
      <c r="M602">
        <v>79</v>
      </c>
      <c r="N602">
        <v>13575</v>
      </c>
      <c r="O602">
        <v>923</v>
      </c>
      <c r="P602">
        <v>2343</v>
      </c>
      <c r="Q602">
        <v>17246</v>
      </c>
      <c r="R602">
        <v>3037</v>
      </c>
      <c r="S602">
        <v>1173</v>
      </c>
      <c r="T602">
        <v>16841</v>
      </c>
      <c r="U602">
        <v>17246</v>
      </c>
      <c r="V602">
        <v>34087</v>
      </c>
      <c r="W602" s="4">
        <v>0.50594068119811075</v>
      </c>
      <c r="X602" s="4">
        <v>0.4940593188018893</v>
      </c>
    </row>
    <row r="603" spans="1:24" x14ac:dyDescent="0.25">
      <c r="A603" s="1" t="s">
        <v>125</v>
      </c>
      <c r="B603" s="1">
        <v>202103</v>
      </c>
      <c r="C603" s="2">
        <v>2</v>
      </c>
      <c r="D603" s="1" t="str">
        <f>INDEX(Codigos_Bens[Segmentação],MATCH(Base[[#This Row],[Código_do_segmento]],Codigos_Bens[Cod.],0))</f>
        <v>Veículos Pesados</v>
      </c>
      <c r="E603">
        <v>14.2837</v>
      </c>
      <c r="F603">
        <v>1</v>
      </c>
      <c r="G603">
        <v>1</v>
      </c>
      <c r="H603">
        <v>0</v>
      </c>
      <c r="I603">
        <v>15</v>
      </c>
      <c r="J603">
        <v>0</v>
      </c>
      <c r="K603">
        <v>3</v>
      </c>
      <c r="L603">
        <v>71</v>
      </c>
      <c r="M603">
        <v>1</v>
      </c>
      <c r="N603">
        <v>62</v>
      </c>
      <c r="O603">
        <v>0</v>
      </c>
      <c r="P603">
        <v>12</v>
      </c>
      <c r="Q603">
        <v>0</v>
      </c>
      <c r="R603">
        <v>1</v>
      </c>
      <c r="S603">
        <v>3</v>
      </c>
      <c r="T603">
        <v>74</v>
      </c>
      <c r="U603">
        <v>0</v>
      </c>
      <c r="V603">
        <v>74</v>
      </c>
      <c r="W603" s="4">
        <v>0</v>
      </c>
      <c r="X603" s="4">
        <v>1</v>
      </c>
    </row>
    <row r="604" spans="1:24" x14ac:dyDescent="0.25">
      <c r="A604" s="1" t="s">
        <v>125</v>
      </c>
      <c r="B604" s="1">
        <v>202103</v>
      </c>
      <c r="C604" s="2">
        <v>3</v>
      </c>
      <c r="D604" s="1" t="str">
        <f>INDEX(Codigos_Bens[Segmentação],MATCH(Base[[#This Row],[Código_do_segmento]],Codigos_Bens[Cod.],0))</f>
        <v>Veículos Leves</v>
      </c>
      <c r="E604">
        <v>14.317399999999999</v>
      </c>
      <c r="F604">
        <v>139</v>
      </c>
      <c r="G604">
        <v>0</v>
      </c>
      <c r="H604">
        <v>1</v>
      </c>
      <c r="I604">
        <v>372</v>
      </c>
      <c r="J604">
        <v>1127</v>
      </c>
      <c r="K604">
        <v>19388</v>
      </c>
      <c r="L604">
        <v>9806</v>
      </c>
      <c r="M604">
        <v>322</v>
      </c>
      <c r="N604">
        <v>24814</v>
      </c>
      <c r="O604">
        <v>2452</v>
      </c>
      <c r="P604">
        <v>1928</v>
      </c>
      <c r="Q604">
        <v>9731</v>
      </c>
      <c r="R604">
        <v>8892</v>
      </c>
      <c r="S604">
        <v>2385</v>
      </c>
      <c r="T604">
        <v>29194</v>
      </c>
      <c r="U604">
        <v>9731</v>
      </c>
      <c r="V604">
        <v>38925</v>
      </c>
      <c r="W604" s="4">
        <v>0.24999357739242131</v>
      </c>
      <c r="X604" s="4">
        <v>0.75000642260757866</v>
      </c>
    </row>
    <row r="605" spans="1:24" x14ac:dyDescent="0.25">
      <c r="A605" s="1" t="s">
        <v>125</v>
      </c>
      <c r="B605" s="1">
        <v>202103</v>
      </c>
      <c r="C605" s="2">
        <v>4</v>
      </c>
      <c r="D605" s="1" t="str">
        <f>INDEX(Codigos_Bens[Segmentação],MATCH(Base[[#This Row],[Código_do_segmento]],Codigos_Bens[Cod.],0))</f>
        <v>Motocicletas</v>
      </c>
      <c r="E605">
        <v>18.413599999999999</v>
      </c>
      <c r="F605">
        <v>46</v>
      </c>
      <c r="G605">
        <v>1</v>
      </c>
      <c r="H605">
        <v>0</v>
      </c>
      <c r="I605">
        <v>202</v>
      </c>
      <c r="J605">
        <v>975</v>
      </c>
      <c r="K605">
        <v>4249</v>
      </c>
      <c r="L605">
        <v>3516</v>
      </c>
      <c r="M605">
        <v>97</v>
      </c>
      <c r="N605">
        <v>6302</v>
      </c>
      <c r="O605">
        <v>543</v>
      </c>
      <c r="P605">
        <v>920</v>
      </c>
      <c r="Q605">
        <v>3120</v>
      </c>
      <c r="R605">
        <v>1954</v>
      </c>
      <c r="S605">
        <v>862</v>
      </c>
      <c r="T605">
        <v>7765</v>
      </c>
      <c r="U605">
        <v>3120</v>
      </c>
      <c r="V605">
        <v>10885</v>
      </c>
      <c r="W605" s="4">
        <v>0.28663298116674324</v>
      </c>
      <c r="X605" s="4">
        <v>0.71336701883325682</v>
      </c>
    </row>
    <row r="606" spans="1:24" x14ac:dyDescent="0.25">
      <c r="A606" s="1" t="s">
        <v>125</v>
      </c>
      <c r="B606" s="1">
        <v>202103</v>
      </c>
      <c r="C606" s="2">
        <v>5</v>
      </c>
      <c r="D606" s="1" t="str">
        <f>INDEX(Codigos_Bens[Segmentação],MATCH(Base[[#This Row],[Código_do_segmento]],Codigos_Bens[Cod.],0))</f>
        <v>Outros bens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s="4">
        <v>0</v>
      </c>
      <c r="X606" s="4">
        <v>0</v>
      </c>
    </row>
    <row r="607" spans="1:24" x14ac:dyDescent="0.25">
      <c r="A607" s="1" t="s">
        <v>125</v>
      </c>
      <c r="B607" s="1">
        <v>202103</v>
      </c>
      <c r="C607" s="2">
        <v>6</v>
      </c>
      <c r="D607" s="1" t="str">
        <f>INDEX(Codigos_Bens[Segmentação],MATCH(Base[[#This Row],[Código_do_segmento]],Codigos_Bens[Cod.],0))</f>
        <v>Serviços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s="4">
        <v>0</v>
      </c>
      <c r="X607" s="4">
        <v>0</v>
      </c>
    </row>
    <row r="608" spans="1:24" x14ac:dyDescent="0.25">
      <c r="A608" s="1" t="s">
        <v>148</v>
      </c>
      <c r="B608" s="1">
        <v>202103</v>
      </c>
      <c r="C608" s="2">
        <v>1</v>
      </c>
      <c r="D608" s="1" t="str">
        <f>INDEX(Codigos_Bens[Segmentação],MATCH(Base[[#This Row],[Código_do_segmento]],Codigos_Bens[Cod.],0))</f>
        <v>Imóveis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s="4">
        <v>0</v>
      </c>
      <c r="X608" s="4">
        <v>0</v>
      </c>
    </row>
    <row r="609" spans="1:24" x14ac:dyDescent="0.25">
      <c r="A609" s="1" t="s">
        <v>148</v>
      </c>
      <c r="B609" s="1">
        <v>202103</v>
      </c>
      <c r="C609" s="2">
        <v>2</v>
      </c>
      <c r="D609" s="1" t="str">
        <f>INDEX(Codigos_Bens[Segmentação],MATCH(Base[[#This Row],[Código_do_segmento]],Codigos_Bens[Cod.],0))</f>
        <v>Veículos Pesados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s="4">
        <v>0</v>
      </c>
      <c r="X609" s="4">
        <v>0</v>
      </c>
    </row>
    <row r="610" spans="1:24" x14ac:dyDescent="0.25">
      <c r="A610" s="1" t="s">
        <v>148</v>
      </c>
      <c r="B610" s="1">
        <v>202103</v>
      </c>
      <c r="C610" s="2">
        <v>3</v>
      </c>
      <c r="D610" s="1" t="str">
        <f>INDEX(Codigos_Bens[Segmentação],MATCH(Base[[#This Row],[Código_do_segmento]],Codigos_Bens[Cod.],0))</f>
        <v>Veículos Leves</v>
      </c>
      <c r="E610">
        <v>18.985320000000002</v>
      </c>
      <c r="F610">
        <v>16</v>
      </c>
      <c r="G610">
        <v>1</v>
      </c>
      <c r="H610">
        <v>0</v>
      </c>
      <c r="I610">
        <v>730</v>
      </c>
      <c r="J610">
        <v>784</v>
      </c>
      <c r="K610">
        <v>1274</v>
      </c>
      <c r="L610">
        <v>4072</v>
      </c>
      <c r="M610">
        <v>36</v>
      </c>
      <c r="N610">
        <v>4200</v>
      </c>
      <c r="O610">
        <v>239</v>
      </c>
      <c r="P610">
        <v>907</v>
      </c>
      <c r="Q610">
        <v>5270</v>
      </c>
      <c r="R610">
        <v>313</v>
      </c>
      <c r="S610">
        <v>214</v>
      </c>
      <c r="T610">
        <v>5346</v>
      </c>
      <c r="U610">
        <v>5270</v>
      </c>
      <c r="V610">
        <v>10616</v>
      </c>
      <c r="W610" s="4">
        <v>0.49642049736247174</v>
      </c>
      <c r="X610" s="4">
        <v>0.50357950263752826</v>
      </c>
    </row>
    <row r="611" spans="1:24" x14ac:dyDescent="0.25">
      <c r="A611" s="1" t="s">
        <v>148</v>
      </c>
      <c r="B611" s="1">
        <v>202103</v>
      </c>
      <c r="C611" s="2">
        <v>4</v>
      </c>
      <c r="D611" s="1" t="str">
        <f>INDEX(Codigos_Bens[Segmentação],MATCH(Base[[#This Row],[Código_do_segmento]],Codigos_Bens[Cod.],0))</f>
        <v>Motocicletas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 s="4">
        <v>0</v>
      </c>
      <c r="X611" s="4">
        <v>0</v>
      </c>
    </row>
    <row r="612" spans="1:24" x14ac:dyDescent="0.25">
      <c r="A612" s="1" t="s">
        <v>148</v>
      </c>
      <c r="B612" s="1">
        <v>202103</v>
      </c>
      <c r="C612" s="2">
        <v>5</v>
      </c>
      <c r="D612" s="1" t="str">
        <f>INDEX(Codigos_Bens[Segmentação],MATCH(Base[[#This Row],[Código_do_segmento]],Codigos_Bens[Cod.],0))</f>
        <v>Outros bens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s="4">
        <v>0</v>
      </c>
      <c r="X612" s="4">
        <v>0</v>
      </c>
    </row>
    <row r="613" spans="1:24" x14ac:dyDescent="0.25">
      <c r="A613" s="1" t="s">
        <v>148</v>
      </c>
      <c r="B613" s="1">
        <v>202103</v>
      </c>
      <c r="C613" s="2">
        <v>6</v>
      </c>
      <c r="D613" s="1" t="str">
        <f>INDEX(Codigos_Bens[Segmentação],MATCH(Base[[#This Row],[Código_do_segmento]],Codigos_Bens[Cod.],0))</f>
        <v>Serviços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s="4">
        <v>0</v>
      </c>
      <c r="X613" s="4">
        <v>0</v>
      </c>
    </row>
    <row r="614" spans="1:24" x14ac:dyDescent="0.25">
      <c r="A614" s="1" t="s">
        <v>126</v>
      </c>
      <c r="B614" s="1">
        <v>202103</v>
      </c>
      <c r="C614" s="2">
        <v>1</v>
      </c>
      <c r="D614" s="1" t="str">
        <f>INDEX(Codigos_Bens[Segmentação],MATCH(Base[[#This Row],[Código_do_segmento]],Codigos_Bens[Cod.],0))</f>
        <v>Imóveis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s="4">
        <v>0</v>
      </c>
      <c r="X614" s="4">
        <v>0</v>
      </c>
    </row>
    <row r="615" spans="1:24" x14ac:dyDescent="0.25">
      <c r="A615" s="1" t="s">
        <v>126</v>
      </c>
      <c r="B615" s="1">
        <v>202103</v>
      </c>
      <c r="C615" s="2">
        <v>2</v>
      </c>
      <c r="D615" s="1" t="str">
        <f>INDEX(Codigos_Bens[Segmentação],MATCH(Base[[#This Row],[Código_do_segmento]],Codigos_Bens[Cod.],0))</f>
        <v>Veículos Pesados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s="4">
        <v>0</v>
      </c>
      <c r="X615" s="4">
        <v>0</v>
      </c>
    </row>
    <row r="616" spans="1:24" x14ac:dyDescent="0.25">
      <c r="A616" s="1" t="s">
        <v>126</v>
      </c>
      <c r="B616" s="1">
        <v>202103</v>
      </c>
      <c r="C616" s="2">
        <v>3</v>
      </c>
      <c r="D616" s="1" t="str">
        <f>INDEX(Codigos_Bens[Segmentação],MATCH(Base[[#This Row],[Código_do_segmento]],Codigos_Bens[Cod.],0))</f>
        <v>Veículos Leves</v>
      </c>
      <c r="E616">
        <v>12.1983</v>
      </c>
      <c r="F616">
        <v>7</v>
      </c>
      <c r="G616">
        <v>0</v>
      </c>
      <c r="H616">
        <v>0</v>
      </c>
      <c r="I616">
        <v>2</v>
      </c>
      <c r="J616">
        <v>61</v>
      </c>
      <c r="K616">
        <v>430</v>
      </c>
      <c r="L616">
        <v>213</v>
      </c>
      <c r="M616">
        <v>10</v>
      </c>
      <c r="N616">
        <v>475</v>
      </c>
      <c r="O616">
        <v>91</v>
      </c>
      <c r="P616">
        <v>77</v>
      </c>
      <c r="Q616">
        <v>77</v>
      </c>
      <c r="R616">
        <v>164</v>
      </c>
      <c r="S616">
        <v>25</v>
      </c>
      <c r="T616">
        <v>643</v>
      </c>
      <c r="U616">
        <v>77</v>
      </c>
      <c r="V616">
        <v>720</v>
      </c>
      <c r="W616" s="4">
        <v>0.10694444444444444</v>
      </c>
      <c r="X616" s="4">
        <v>0.8930555555555556</v>
      </c>
    </row>
    <row r="617" spans="1:24" x14ac:dyDescent="0.25">
      <c r="A617" s="1" t="s">
        <v>126</v>
      </c>
      <c r="B617" s="1">
        <v>202103</v>
      </c>
      <c r="C617" s="2">
        <v>4</v>
      </c>
      <c r="D617" s="1" t="str">
        <f>INDEX(Codigos_Bens[Segmentação],MATCH(Base[[#This Row],[Código_do_segmento]],Codigos_Bens[Cod.],0))</f>
        <v>Motocicletas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s="4">
        <v>0</v>
      </c>
      <c r="X617" s="4">
        <v>0</v>
      </c>
    </row>
    <row r="618" spans="1:24" x14ac:dyDescent="0.25">
      <c r="A618" s="1" t="s">
        <v>126</v>
      </c>
      <c r="B618" s="1">
        <v>202103</v>
      </c>
      <c r="C618" s="2">
        <v>5</v>
      </c>
      <c r="D618" s="1" t="str">
        <f>INDEX(Codigos_Bens[Segmentação],MATCH(Base[[#This Row],[Código_do_segmento]],Codigos_Bens[Cod.],0))</f>
        <v>Outros bens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s="4">
        <v>0</v>
      </c>
      <c r="X618" s="4">
        <v>0</v>
      </c>
    </row>
    <row r="619" spans="1:24" x14ac:dyDescent="0.25">
      <c r="A619" s="1" t="s">
        <v>126</v>
      </c>
      <c r="B619" s="1">
        <v>202103</v>
      </c>
      <c r="C619" s="2">
        <v>6</v>
      </c>
      <c r="D619" s="1" t="str">
        <f>INDEX(Codigos_Bens[Segmentação],MATCH(Base[[#This Row],[Código_do_segmento]],Codigos_Bens[Cod.],0))</f>
        <v>Serviços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s="4">
        <v>0</v>
      </c>
      <c r="X619" s="4">
        <v>0</v>
      </c>
    </row>
    <row r="620" spans="1:24" x14ac:dyDescent="0.25">
      <c r="A620" s="1" t="s">
        <v>127</v>
      </c>
      <c r="B620" s="1">
        <v>202103</v>
      </c>
      <c r="C620" s="2">
        <v>1</v>
      </c>
      <c r="D620" s="1" t="str">
        <f>INDEX(Codigos_Bens[Segmentação],MATCH(Base[[#This Row],[Código_do_segmento]],Codigos_Bens[Cod.],0))</f>
        <v>Imóveis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s="4">
        <v>0</v>
      </c>
      <c r="X620" s="4">
        <v>0</v>
      </c>
    </row>
    <row r="621" spans="1:24" x14ac:dyDescent="0.25">
      <c r="A621" s="1" t="s">
        <v>127</v>
      </c>
      <c r="B621" s="1">
        <v>202103</v>
      </c>
      <c r="C621" s="2">
        <v>2</v>
      </c>
      <c r="D621" s="1" t="str">
        <f>INDEX(Codigos_Bens[Segmentação],MATCH(Base[[#This Row],[Código_do_segmento]],Codigos_Bens[Cod.],0))</f>
        <v>Veículos Pesados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s="4">
        <v>0</v>
      </c>
      <c r="X621" s="4">
        <v>0</v>
      </c>
    </row>
    <row r="622" spans="1:24" x14ac:dyDescent="0.25">
      <c r="A622" s="1" t="s">
        <v>127</v>
      </c>
      <c r="B622" s="1">
        <v>202103</v>
      </c>
      <c r="C622" s="2">
        <v>3</v>
      </c>
      <c r="D622" s="1" t="str">
        <f>INDEX(Codigos_Bens[Segmentação],MATCH(Base[[#This Row],[Código_do_segmento]],Codigos_Bens[Cod.],0))</f>
        <v>Veículos Leves</v>
      </c>
      <c r="E622">
        <v>9.8118300000000005</v>
      </c>
      <c r="F622">
        <v>1</v>
      </c>
      <c r="G622">
        <v>0</v>
      </c>
      <c r="H622">
        <v>0</v>
      </c>
      <c r="I622">
        <v>10</v>
      </c>
      <c r="J622">
        <v>7</v>
      </c>
      <c r="K622">
        <v>50</v>
      </c>
      <c r="L622">
        <v>136</v>
      </c>
      <c r="M622">
        <v>5</v>
      </c>
      <c r="N622">
        <v>149</v>
      </c>
      <c r="O622">
        <v>5</v>
      </c>
      <c r="P622">
        <v>32</v>
      </c>
      <c r="Q622">
        <v>102</v>
      </c>
      <c r="R622">
        <v>3</v>
      </c>
      <c r="S622">
        <v>19</v>
      </c>
      <c r="T622">
        <v>186</v>
      </c>
      <c r="U622">
        <v>102</v>
      </c>
      <c r="V622">
        <v>288</v>
      </c>
      <c r="W622" s="4">
        <v>0.35416666666666669</v>
      </c>
      <c r="X622" s="4">
        <v>0.64583333333333337</v>
      </c>
    </row>
    <row r="623" spans="1:24" x14ac:dyDescent="0.25">
      <c r="A623" s="1" t="s">
        <v>127</v>
      </c>
      <c r="B623" s="1">
        <v>202103</v>
      </c>
      <c r="C623" s="2">
        <v>4</v>
      </c>
      <c r="D623" s="1" t="str">
        <f>INDEX(Codigos_Bens[Segmentação],MATCH(Base[[#This Row],[Código_do_segmento]],Codigos_Bens[Cod.],0))</f>
        <v>Motocicletas</v>
      </c>
      <c r="E623">
        <v>18.73789</v>
      </c>
      <c r="F623">
        <v>21</v>
      </c>
      <c r="G623">
        <v>1</v>
      </c>
      <c r="H623">
        <v>0</v>
      </c>
      <c r="I623">
        <v>470</v>
      </c>
      <c r="J623">
        <v>1358</v>
      </c>
      <c r="K623">
        <v>2592</v>
      </c>
      <c r="L623">
        <v>3289</v>
      </c>
      <c r="M623">
        <v>134</v>
      </c>
      <c r="N623">
        <v>4952</v>
      </c>
      <c r="O623">
        <v>351</v>
      </c>
      <c r="P623">
        <v>578</v>
      </c>
      <c r="Q623">
        <v>5919</v>
      </c>
      <c r="R623">
        <v>690</v>
      </c>
      <c r="S623">
        <v>565</v>
      </c>
      <c r="T623">
        <v>5881</v>
      </c>
      <c r="U623">
        <v>5919</v>
      </c>
      <c r="V623">
        <v>11800</v>
      </c>
      <c r="W623" s="4">
        <v>0.50161016949152537</v>
      </c>
      <c r="X623" s="4">
        <v>0.49838983050847457</v>
      </c>
    </row>
    <row r="624" spans="1:24" x14ac:dyDescent="0.25">
      <c r="A624" s="1" t="s">
        <v>127</v>
      </c>
      <c r="B624" s="1">
        <v>202103</v>
      </c>
      <c r="C624" s="2">
        <v>5</v>
      </c>
      <c r="D624" s="1" t="str">
        <f>INDEX(Codigos_Bens[Segmentação],MATCH(Base[[#This Row],[Código_do_segmento]],Codigos_Bens[Cod.],0))</f>
        <v>Outros bens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 s="4">
        <v>0</v>
      </c>
      <c r="X624" s="4">
        <v>0</v>
      </c>
    </row>
    <row r="625" spans="1:24" x14ac:dyDescent="0.25">
      <c r="A625" s="1" t="s">
        <v>127</v>
      </c>
      <c r="B625" s="1">
        <v>202103</v>
      </c>
      <c r="C625" s="2">
        <v>6</v>
      </c>
      <c r="D625" s="1" t="str">
        <f>INDEX(Codigos_Bens[Segmentação],MATCH(Base[[#This Row],[Código_do_segmento]],Codigos_Bens[Cod.],0))</f>
        <v>Serviços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s="4">
        <v>0</v>
      </c>
      <c r="X625" s="4">
        <v>0</v>
      </c>
    </row>
    <row r="626" spans="1:24" x14ac:dyDescent="0.25">
      <c r="A626" s="1" t="s">
        <v>128</v>
      </c>
      <c r="B626" s="1">
        <v>202103</v>
      </c>
      <c r="C626" s="2">
        <v>1</v>
      </c>
      <c r="D626" s="1" t="str">
        <f>INDEX(Codigos_Bens[Segmentação],MATCH(Base[[#This Row],[Código_do_segmento]],Codigos_Bens[Cod.],0))</f>
        <v>Imóveis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s="4">
        <v>0</v>
      </c>
      <c r="X626" s="4">
        <v>0</v>
      </c>
    </row>
    <row r="627" spans="1:24" x14ac:dyDescent="0.25">
      <c r="A627" s="1" t="s">
        <v>128</v>
      </c>
      <c r="B627" s="1">
        <v>202103</v>
      </c>
      <c r="C627" s="2">
        <v>2</v>
      </c>
      <c r="D627" s="1" t="str">
        <f>INDEX(Codigos_Bens[Segmentação],MATCH(Base[[#This Row],[Código_do_segmento]],Codigos_Bens[Cod.],0))</f>
        <v>Veículos Pesados</v>
      </c>
      <c r="E627">
        <v>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3</v>
      </c>
      <c r="L627">
        <v>0</v>
      </c>
      <c r="M627">
        <v>0</v>
      </c>
      <c r="N627">
        <v>3</v>
      </c>
      <c r="O627">
        <v>0</v>
      </c>
      <c r="P627">
        <v>0</v>
      </c>
      <c r="Q627">
        <v>2</v>
      </c>
      <c r="R627">
        <v>3</v>
      </c>
      <c r="S627">
        <v>0</v>
      </c>
      <c r="T627">
        <v>3</v>
      </c>
      <c r="U627">
        <v>2</v>
      </c>
      <c r="V627">
        <v>5</v>
      </c>
      <c r="W627" s="4">
        <v>0.4</v>
      </c>
      <c r="X627" s="4">
        <v>0.6</v>
      </c>
    </row>
    <row r="628" spans="1:24" x14ac:dyDescent="0.25">
      <c r="A628" s="1" t="s">
        <v>128</v>
      </c>
      <c r="B628" s="1">
        <v>202103</v>
      </c>
      <c r="C628" s="2">
        <v>3</v>
      </c>
      <c r="D628" s="1" t="str">
        <f>INDEX(Codigos_Bens[Segmentação],MATCH(Base[[#This Row],[Código_do_segmento]],Codigos_Bens[Cod.],0))</f>
        <v>Veículos Leves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s="4">
        <v>0</v>
      </c>
      <c r="X628" s="4">
        <v>0</v>
      </c>
    </row>
    <row r="629" spans="1:24" x14ac:dyDescent="0.25">
      <c r="A629" s="1" t="s">
        <v>128</v>
      </c>
      <c r="B629" s="1">
        <v>202103</v>
      </c>
      <c r="C629" s="2">
        <v>4</v>
      </c>
      <c r="D629" s="1" t="str">
        <f>INDEX(Codigos_Bens[Segmentação],MATCH(Base[[#This Row],[Código_do_segmento]],Codigos_Bens[Cod.],0))</f>
        <v>Motocicletas</v>
      </c>
      <c r="E629">
        <v>4.2869200000000003</v>
      </c>
      <c r="F629">
        <v>21</v>
      </c>
      <c r="G629">
        <v>0</v>
      </c>
      <c r="H629">
        <v>1</v>
      </c>
      <c r="I629">
        <v>164</v>
      </c>
      <c r="J629">
        <v>653</v>
      </c>
      <c r="K629">
        <v>14167</v>
      </c>
      <c r="L629">
        <v>9305</v>
      </c>
      <c r="M629">
        <v>383</v>
      </c>
      <c r="N629">
        <v>20605</v>
      </c>
      <c r="O629">
        <v>1083</v>
      </c>
      <c r="P629">
        <v>1784</v>
      </c>
      <c r="Q629">
        <v>7272</v>
      </c>
      <c r="R629">
        <v>6441</v>
      </c>
      <c r="S629">
        <v>1307</v>
      </c>
      <c r="T629">
        <v>23472</v>
      </c>
      <c r="U629">
        <v>7272</v>
      </c>
      <c r="V629">
        <v>30744</v>
      </c>
      <c r="W629" s="4">
        <v>0.23653395784543327</v>
      </c>
      <c r="X629" s="4">
        <v>0.7634660421545667</v>
      </c>
    </row>
    <row r="630" spans="1:24" x14ac:dyDescent="0.25">
      <c r="A630" s="1" t="s">
        <v>128</v>
      </c>
      <c r="B630" s="1">
        <v>202103</v>
      </c>
      <c r="C630" s="2">
        <v>5</v>
      </c>
      <c r="D630" s="1" t="str">
        <f>INDEX(Codigos_Bens[Segmentação],MATCH(Base[[#This Row],[Código_do_segmento]],Codigos_Bens[Cod.],0))</f>
        <v>Outros bens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s="4">
        <v>0</v>
      </c>
      <c r="X630" s="4">
        <v>0</v>
      </c>
    </row>
    <row r="631" spans="1:24" x14ac:dyDescent="0.25">
      <c r="A631" s="1" t="s">
        <v>128</v>
      </c>
      <c r="B631" s="1">
        <v>202103</v>
      </c>
      <c r="C631" s="2">
        <v>6</v>
      </c>
      <c r="D631" s="1" t="str">
        <f>INDEX(Codigos_Bens[Segmentação],MATCH(Base[[#This Row],[Código_do_segmento]],Codigos_Bens[Cod.],0))</f>
        <v>Serviços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 s="4">
        <v>0</v>
      </c>
      <c r="X631" s="4">
        <v>0</v>
      </c>
    </row>
    <row r="632" spans="1:24" x14ac:dyDescent="0.25">
      <c r="A632" s="1" t="s">
        <v>129</v>
      </c>
      <c r="B632" s="1">
        <v>202103</v>
      </c>
      <c r="C632" s="2">
        <v>1</v>
      </c>
      <c r="D632" s="1" t="str">
        <f>INDEX(Codigos_Bens[Segmentação],MATCH(Base[[#This Row],[Código_do_segmento]],Codigos_Bens[Cod.],0))</f>
        <v>Imóveis</v>
      </c>
      <c r="E632">
        <v>22.689630000000001</v>
      </c>
      <c r="F632">
        <v>8</v>
      </c>
      <c r="G632">
        <v>0</v>
      </c>
      <c r="H632">
        <v>0</v>
      </c>
      <c r="I632">
        <v>42</v>
      </c>
      <c r="J632">
        <v>1530</v>
      </c>
      <c r="K632">
        <v>746</v>
      </c>
      <c r="L632">
        <v>691</v>
      </c>
      <c r="M632">
        <v>10</v>
      </c>
      <c r="N632">
        <v>990</v>
      </c>
      <c r="O632">
        <v>110</v>
      </c>
      <c r="P632">
        <v>337</v>
      </c>
      <c r="Q632">
        <v>5656</v>
      </c>
      <c r="R632">
        <v>249</v>
      </c>
      <c r="S632">
        <v>129</v>
      </c>
      <c r="T632">
        <v>1437</v>
      </c>
      <c r="U632">
        <v>5656</v>
      </c>
      <c r="V632">
        <v>7093</v>
      </c>
      <c r="W632" s="4">
        <v>0.79740589313407584</v>
      </c>
      <c r="X632" s="4">
        <v>0.20259410686592416</v>
      </c>
    </row>
    <row r="633" spans="1:24" x14ac:dyDescent="0.25">
      <c r="A633" s="1" t="s">
        <v>129</v>
      </c>
      <c r="B633" s="1">
        <v>202103</v>
      </c>
      <c r="C633" s="2">
        <v>2</v>
      </c>
      <c r="D633" s="1" t="str">
        <f>INDEX(Codigos_Bens[Segmentação],MATCH(Base[[#This Row],[Código_do_segmento]],Codigos_Bens[Cod.],0))</f>
        <v>Veículos Pesados</v>
      </c>
      <c r="E633">
        <v>13.560969999999999</v>
      </c>
      <c r="F633">
        <v>2</v>
      </c>
      <c r="G633">
        <v>0</v>
      </c>
      <c r="H633">
        <v>0</v>
      </c>
      <c r="I633">
        <v>2</v>
      </c>
      <c r="J633">
        <v>164</v>
      </c>
      <c r="K633">
        <v>320</v>
      </c>
      <c r="L633">
        <v>90</v>
      </c>
      <c r="M633">
        <v>3</v>
      </c>
      <c r="N633">
        <v>321</v>
      </c>
      <c r="O633">
        <v>61</v>
      </c>
      <c r="P633">
        <v>28</v>
      </c>
      <c r="Q633">
        <v>1599</v>
      </c>
      <c r="R633">
        <v>189</v>
      </c>
      <c r="S633">
        <v>23</v>
      </c>
      <c r="T633">
        <v>410</v>
      </c>
      <c r="U633">
        <v>1599</v>
      </c>
      <c r="V633">
        <v>2009</v>
      </c>
      <c r="W633" s="4">
        <v>0.79591836734693877</v>
      </c>
      <c r="X633" s="4">
        <v>0.20408163265306123</v>
      </c>
    </row>
    <row r="634" spans="1:24" x14ac:dyDescent="0.25">
      <c r="A634" s="1" t="s">
        <v>129</v>
      </c>
      <c r="B634" s="1">
        <v>202103</v>
      </c>
      <c r="C634" s="2">
        <v>3</v>
      </c>
      <c r="D634" s="1" t="str">
        <f>INDEX(Codigos_Bens[Segmentação],MATCH(Base[[#This Row],[Código_do_segmento]],Codigos_Bens[Cod.],0))</f>
        <v>Veículos Leves</v>
      </c>
      <c r="E634">
        <v>14.15372</v>
      </c>
      <c r="F634">
        <v>8</v>
      </c>
      <c r="G634">
        <v>0</v>
      </c>
      <c r="H634">
        <v>0</v>
      </c>
      <c r="I634">
        <v>38</v>
      </c>
      <c r="J634">
        <v>626</v>
      </c>
      <c r="K634">
        <v>1086</v>
      </c>
      <c r="L634">
        <v>1282</v>
      </c>
      <c r="M634">
        <v>34</v>
      </c>
      <c r="N634">
        <v>1721</v>
      </c>
      <c r="O634">
        <v>140</v>
      </c>
      <c r="P634">
        <v>507</v>
      </c>
      <c r="Q634">
        <v>2203</v>
      </c>
      <c r="R634">
        <v>335</v>
      </c>
      <c r="S634">
        <v>145</v>
      </c>
      <c r="T634">
        <v>2368</v>
      </c>
      <c r="U634">
        <v>2203</v>
      </c>
      <c r="V634">
        <v>4571</v>
      </c>
      <c r="W634" s="4">
        <v>0.48195143294683879</v>
      </c>
      <c r="X634" s="4">
        <v>0.51804856705316127</v>
      </c>
    </row>
    <row r="635" spans="1:24" x14ac:dyDescent="0.25">
      <c r="A635" s="1" t="s">
        <v>129</v>
      </c>
      <c r="B635" s="1">
        <v>202103</v>
      </c>
      <c r="C635" s="2">
        <v>4</v>
      </c>
      <c r="D635" s="1" t="str">
        <f>INDEX(Codigos_Bens[Segmentação],MATCH(Base[[#This Row],[Código_do_segmento]],Codigos_Bens[Cod.],0))</f>
        <v>Motocicletas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s="4">
        <v>0</v>
      </c>
      <c r="X635" s="4">
        <v>0</v>
      </c>
    </row>
    <row r="636" spans="1:24" x14ac:dyDescent="0.25">
      <c r="A636" s="1" t="s">
        <v>129</v>
      </c>
      <c r="B636" s="1">
        <v>202103</v>
      </c>
      <c r="C636" s="2">
        <v>5</v>
      </c>
      <c r="D636" s="1" t="str">
        <f>INDEX(Codigos_Bens[Segmentação],MATCH(Base[[#This Row],[Código_do_segmento]],Codigos_Bens[Cod.],0))</f>
        <v>Outros bens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s="4">
        <v>0</v>
      </c>
      <c r="X636" s="4">
        <v>0</v>
      </c>
    </row>
    <row r="637" spans="1:24" x14ac:dyDescent="0.25">
      <c r="A637" s="1" t="s">
        <v>129</v>
      </c>
      <c r="B637" s="1">
        <v>202103</v>
      </c>
      <c r="C637" s="2">
        <v>6</v>
      </c>
      <c r="D637" s="1" t="str">
        <f>INDEX(Codigos_Bens[Segmentação],MATCH(Base[[#This Row],[Código_do_segmento]],Codigos_Bens[Cod.],0))</f>
        <v>Serviços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 s="4">
        <v>0</v>
      </c>
      <c r="X637" s="4">
        <v>0</v>
      </c>
    </row>
    <row r="638" spans="1:24" x14ac:dyDescent="0.25">
      <c r="A638" s="1" t="s">
        <v>130</v>
      </c>
      <c r="B638" s="1">
        <v>202103</v>
      </c>
      <c r="C638" s="2">
        <v>1</v>
      </c>
      <c r="D638" s="1" t="str">
        <f>INDEX(Codigos_Bens[Segmentação],MATCH(Base[[#This Row],[Código_do_segmento]],Codigos_Bens[Cod.],0))</f>
        <v>Imóveis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 s="4">
        <v>0</v>
      </c>
      <c r="X638" s="4">
        <v>0</v>
      </c>
    </row>
    <row r="639" spans="1:24" x14ac:dyDescent="0.25">
      <c r="A639" s="1" t="s">
        <v>130</v>
      </c>
      <c r="B639" s="1">
        <v>202103</v>
      </c>
      <c r="C639" s="2">
        <v>2</v>
      </c>
      <c r="D639" s="1" t="str">
        <f>INDEX(Codigos_Bens[Segmentação],MATCH(Base[[#This Row],[Código_do_segmento]],Codigos_Bens[Cod.],0))</f>
        <v>Veículos Pesados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s="4">
        <v>0</v>
      </c>
      <c r="X639" s="4">
        <v>0</v>
      </c>
    </row>
    <row r="640" spans="1:24" x14ac:dyDescent="0.25">
      <c r="A640" s="1" t="s">
        <v>130</v>
      </c>
      <c r="B640" s="1">
        <v>202103</v>
      </c>
      <c r="C640" s="2">
        <v>3</v>
      </c>
      <c r="D640" s="1" t="str">
        <f>INDEX(Codigos_Bens[Segmentação],MATCH(Base[[#This Row],[Código_do_segmento]],Codigos_Bens[Cod.],0))</f>
        <v>Veículos Leves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s="4">
        <v>0</v>
      </c>
      <c r="X640" s="4">
        <v>0</v>
      </c>
    </row>
    <row r="641" spans="1:24" x14ac:dyDescent="0.25">
      <c r="A641" s="1" t="s">
        <v>130</v>
      </c>
      <c r="B641" s="1">
        <v>202103</v>
      </c>
      <c r="C641" s="2">
        <v>4</v>
      </c>
      <c r="D641" s="1" t="str">
        <f>INDEX(Codigos_Bens[Segmentação],MATCH(Base[[#This Row],[Código_do_segmento]],Codigos_Bens[Cod.],0))</f>
        <v>Motocicletas</v>
      </c>
      <c r="E641">
        <v>19.864599999999999</v>
      </c>
      <c r="F641">
        <v>29</v>
      </c>
      <c r="G641">
        <v>0</v>
      </c>
      <c r="H641">
        <v>0</v>
      </c>
      <c r="I641">
        <v>147</v>
      </c>
      <c r="J641">
        <v>581</v>
      </c>
      <c r="K641">
        <v>2534</v>
      </c>
      <c r="L641">
        <v>1307</v>
      </c>
      <c r="M641">
        <v>56</v>
      </c>
      <c r="N641">
        <v>3280</v>
      </c>
      <c r="O641">
        <v>343</v>
      </c>
      <c r="P641">
        <v>218</v>
      </c>
      <c r="Q641">
        <v>5257</v>
      </c>
      <c r="R641">
        <v>943</v>
      </c>
      <c r="S641">
        <v>349</v>
      </c>
      <c r="T641">
        <v>3841</v>
      </c>
      <c r="U641">
        <v>5257</v>
      </c>
      <c r="V641">
        <v>9098</v>
      </c>
      <c r="W641" s="4">
        <v>0.57781930094526268</v>
      </c>
      <c r="X641" s="4">
        <v>0.42218069905473732</v>
      </c>
    </row>
    <row r="642" spans="1:24" x14ac:dyDescent="0.25">
      <c r="A642" s="1" t="s">
        <v>130</v>
      </c>
      <c r="B642" s="1">
        <v>202103</v>
      </c>
      <c r="C642" s="2">
        <v>5</v>
      </c>
      <c r="D642" s="1" t="str">
        <f>INDEX(Codigos_Bens[Segmentação],MATCH(Base[[#This Row],[Código_do_segmento]],Codigos_Bens[Cod.],0))</f>
        <v>Outros bens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s="4">
        <v>0</v>
      </c>
      <c r="X642" s="4">
        <v>0</v>
      </c>
    </row>
    <row r="643" spans="1:24" x14ac:dyDescent="0.25">
      <c r="A643" s="1" t="s">
        <v>130</v>
      </c>
      <c r="B643" s="1">
        <v>202103</v>
      </c>
      <c r="C643" s="2">
        <v>6</v>
      </c>
      <c r="D643" s="1" t="str">
        <f>INDEX(Codigos_Bens[Segmentação],MATCH(Base[[#This Row],[Código_do_segmento]],Codigos_Bens[Cod.],0))</f>
        <v>Serviços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s="4">
        <v>0</v>
      </c>
      <c r="X643" s="4">
        <v>0</v>
      </c>
    </row>
    <row r="644" spans="1:24" x14ac:dyDescent="0.25">
      <c r="A644" s="1" t="s">
        <v>131</v>
      </c>
      <c r="B644" s="1">
        <v>202103</v>
      </c>
      <c r="C644" s="2">
        <v>1</v>
      </c>
      <c r="D644" s="1" t="str">
        <f>INDEX(Codigos_Bens[Segmentação],MATCH(Base[[#This Row],[Código_do_segmento]],Codigos_Bens[Cod.],0))</f>
        <v>Imóveis</v>
      </c>
      <c r="E644">
        <v>24.76192</v>
      </c>
      <c r="F644">
        <v>3</v>
      </c>
      <c r="G644">
        <v>0</v>
      </c>
      <c r="H644">
        <v>0</v>
      </c>
      <c r="I644">
        <v>61</v>
      </c>
      <c r="J644">
        <v>343</v>
      </c>
      <c r="K644">
        <v>330</v>
      </c>
      <c r="L644">
        <v>849</v>
      </c>
      <c r="M644">
        <v>3</v>
      </c>
      <c r="N644">
        <v>930</v>
      </c>
      <c r="O644">
        <v>47</v>
      </c>
      <c r="P644">
        <v>202</v>
      </c>
      <c r="Q644">
        <v>1476</v>
      </c>
      <c r="R644">
        <v>153</v>
      </c>
      <c r="S644">
        <v>91</v>
      </c>
      <c r="T644">
        <v>1179</v>
      </c>
      <c r="U644">
        <v>1476</v>
      </c>
      <c r="V644">
        <v>2655</v>
      </c>
      <c r="W644" s="4">
        <v>0.55593220338983051</v>
      </c>
      <c r="X644" s="4">
        <v>0.44406779661016949</v>
      </c>
    </row>
    <row r="645" spans="1:24" x14ac:dyDescent="0.25">
      <c r="A645" s="1" t="s">
        <v>131</v>
      </c>
      <c r="B645" s="1">
        <v>202103</v>
      </c>
      <c r="C645" s="2">
        <v>2</v>
      </c>
      <c r="D645" s="1" t="str">
        <f>INDEX(Codigos_Bens[Segmentação],MATCH(Base[[#This Row],[Código_do_segmento]],Codigos_Bens[Cod.],0))</f>
        <v>Veículos Pesados</v>
      </c>
      <c r="E645">
        <v>15.33845</v>
      </c>
      <c r="F645">
        <v>2</v>
      </c>
      <c r="G645">
        <v>0</v>
      </c>
      <c r="H645">
        <v>0</v>
      </c>
      <c r="I645">
        <v>20</v>
      </c>
      <c r="J645">
        <v>25</v>
      </c>
      <c r="K645">
        <v>336</v>
      </c>
      <c r="L645">
        <v>426</v>
      </c>
      <c r="M645">
        <v>5</v>
      </c>
      <c r="N645">
        <v>632</v>
      </c>
      <c r="O645">
        <v>44</v>
      </c>
      <c r="P645">
        <v>86</v>
      </c>
      <c r="Q645">
        <v>599</v>
      </c>
      <c r="R645">
        <v>169</v>
      </c>
      <c r="S645">
        <v>41</v>
      </c>
      <c r="T645">
        <v>762</v>
      </c>
      <c r="U645">
        <v>599</v>
      </c>
      <c r="V645">
        <v>1361</v>
      </c>
      <c r="W645" s="4">
        <v>0.44011756061719326</v>
      </c>
      <c r="X645" s="4">
        <v>0.5598824393828068</v>
      </c>
    </row>
    <row r="646" spans="1:24" x14ac:dyDescent="0.25">
      <c r="A646" s="1" t="s">
        <v>131</v>
      </c>
      <c r="B646" s="1">
        <v>202103</v>
      </c>
      <c r="C646" s="2">
        <v>3</v>
      </c>
      <c r="D646" s="1" t="str">
        <f>INDEX(Codigos_Bens[Segmentação],MATCH(Base[[#This Row],[Código_do_segmento]],Codigos_Bens[Cod.],0))</f>
        <v>Veículos Leves</v>
      </c>
      <c r="E646">
        <v>19.046620000000001</v>
      </c>
      <c r="F646">
        <v>12</v>
      </c>
      <c r="G646">
        <v>0</v>
      </c>
      <c r="H646">
        <v>1</v>
      </c>
      <c r="I646">
        <v>146</v>
      </c>
      <c r="J646">
        <v>308</v>
      </c>
      <c r="K646">
        <v>3664</v>
      </c>
      <c r="L646">
        <v>2606</v>
      </c>
      <c r="M646">
        <v>84</v>
      </c>
      <c r="N646">
        <v>5114</v>
      </c>
      <c r="O646">
        <v>493</v>
      </c>
      <c r="P646">
        <v>663</v>
      </c>
      <c r="Q646">
        <v>4182</v>
      </c>
      <c r="R646">
        <v>1834</v>
      </c>
      <c r="S646">
        <v>344</v>
      </c>
      <c r="T646">
        <v>6270</v>
      </c>
      <c r="U646">
        <v>4182</v>
      </c>
      <c r="V646">
        <v>10452</v>
      </c>
      <c r="W646" s="4">
        <v>0.40011481056257175</v>
      </c>
      <c r="X646" s="4">
        <v>0.59988518943742819</v>
      </c>
    </row>
    <row r="647" spans="1:24" x14ac:dyDescent="0.25">
      <c r="A647" s="1" t="s">
        <v>131</v>
      </c>
      <c r="B647" s="1">
        <v>202103</v>
      </c>
      <c r="C647" s="2">
        <v>4</v>
      </c>
      <c r="D647" s="1" t="str">
        <f>INDEX(Codigos_Bens[Segmentação],MATCH(Base[[#This Row],[Código_do_segmento]],Codigos_Bens[Cod.],0))</f>
        <v>Motocicletas</v>
      </c>
      <c r="E647">
        <v>19.333860000000001</v>
      </c>
      <c r="F647">
        <v>12</v>
      </c>
      <c r="G647">
        <v>0</v>
      </c>
      <c r="H647">
        <v>1</v>
      </c>
      <c r="I647">
        <v>142</v>
      </c>
      <c r="J647">
        <v>269</v>
      </c>
      <c r="K647">
        <v>2774</v>
      </c>
      <c r="L647">
        <v>3259</v>
      </c>
      <c r="M647">
        <v>96</v>
      </c>
      <c r="N647">
        <v>4735</v>
      </c>
      <c r="O647">
        <v>449</v>
      </c>
      <c r="P647">
        <v>849</v>
      </c>
      <c r="Q647">
        <v>3750</v>
      </c>
      <c r="R647">
        <v>869</v>
      </c>
      <c r="S647">
        <v>435</v>
      </c>
      <c r="T647">
        <v>6033</v>
      </c>
      <c r="U647">
        <v>3750</v>
      </c>
      <c r="V647">
        <v>9783</v>
      </c>
      <c r="W647" s="4">
        <v>0.38331800061330878</v>
      </c>
      <c r="X647" s="4">
        <v>0.61668199938669122</v>
      </c>
    </row>
    <row r="648" spans="1:24" x14ac:dyDescent="0.25">
      <c r="A648" s="1" t="s">
        <v>131</v>
      </c>
      <c r="B648" s="1">
        <v>202103</v>
      </c>
      <c r="C648" s="2">
        <v>5</v>
      </c>
      <c r="D648" s="1" t="str">
        <f>INDEX(Codigos_Bens[Segmentação],MATCH(Base[[#This Row],[Código_do_segmento]],Codigos_Bens[Cod.],0))</f>
        <v>Outros bens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s="4">
        <v>0</v>
      </c>
      <c r="X648" s="4">
        <v>0</v>
      </c>
    </row>
    <row r="649" spans="1:24" x14ac:dyDescent="0.25">
      <c r="A649" s="1" t="s">
        <v>131</v>
      </c>
      <c r="B649" s="1">
        <v>202103</v>
      </c>
      <c r="C649" s="2">
        <v>6</v>
      </c>
      <c r="D649" s="1" t="str">
        <f>INDEX(Codigos_Bens[Segmentação],MATCH(Base[[#This Row],[Código_do_segmento]],Codigos_Bens[Cod.],0))</f>
        <v>Serviços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s="4">
        <v>0</v>
      </c>
      <c r="X649" s="4">
        <v>0</v>
      </c>
    </row>
    <row r="650" spans="1:24" x14ac:dyDescent="0.25">
      <c r="A650" s="1" t="s">
        <v>132</v>
      </c>
      <c r="B650" s="1">
        <v>202103</v>
      </c>
      <c r="C650" s="2">
        <v>1</v>
      </c>
      <c r="D650" s="1" t="str">
        <f>INDEX(Codigos_Bens[Segmentação],MATCH(Base[[#This Row],[Código_do_segmento]],Codigos_Bens[Cod.],0))</f>
        <v>Imóveis</v>
      </c>
      <c r="E650">
        <v>23.566050000000001</v>
      </c>
      <c r="F650">
        <v>2</v>
      </c>
      <c r="G650">
        <v>0</v>
      </c>
      <c r="H650">
        <v>0</v>
      </c>
      <c r="I650">
        <v>93</v>
      </c>
      <c r="J650">
        <v>708</v>
      </c>
      <c r="K650">
        <v>233</v>
      </c>
      <c r="L650">
        <v>682</v>
      </c>
      <c r="M650">
        <v>3</v>
      </c>
      <c r="N650">
        <v>640</v>
      </c>
      <c r="O650">
        <v>16</v>
      </c>
      <c r="P650">
        <v>259</v>
      </c>
      <c r="Q650">
        <v>1588</v>
      </c>
      <c r="R650">
        <v>176</v>
      </c>
      <c r="S650">
        <v>25</v>
      </c>
      <c r="T650">
        <v>915</v>
      </c>
      <c r="U650">
        <v>1588</v>
      </c>
      <c r="V650">
        <v>2503</v>
      </c>
      <c r="W650" s="4">
        <v>0.63443867359168993</v>
      </c>
      <c r="X650" s="4">
        <v>0.36556132640831002</v>
      </c>
    </row>
    <row r="651" spans="1:24" x14ac:dyDescent="0.25">
      <c r="A651" s="1" t="s">
        <v>132</v>
      </c>
      <c r="B651" s="1">
        <v>202103</v>
      </c>
      <c r="C651" s="2">
        <v>2</v>
      </c>
      <c r="D651" s="1" t="str">
        <f>INDEX(Codigos_Bens[Segmentação],MATCH(Base[[#This Row],[Código_do_segmento]],Codigos_Bens[Cod.],0))</f>
        <v>Veículos Pesados</v>
      </c>
      <c r="E651">
        <v>20.10294</v>
      </c>
      <c r="F651">
        <v>1</v>
      </c>
      <c r="G651">
        <v>0</v>
      </c>
      <c r="H651">
        <v>0</v>
      </c>
      <c r="I651">
        <v>30</v>
      </c>
      <c r="J651">
        <v>254</v>
      </c>
      <c r="K651">
        <v>7</v>
      </c>
      <c r="L651">
        <v>129</v>
      </c>
      <c r="M651">
        <v>1</v>
      </c>
      <c r="N651">
        <v>84</v>
      </c>
      <c r="O651">
        <v>2</v>
      </c>
      <c r="P651">
        <v>50</v>
      </c>
      <c r="Q651">
        <v>305</v>
      </c>
      <c r="R651">
        <v>0</v>
      </c>
      <c r="S651">
        <v>2</v>
      </c>
      <c r="T651">
        <v>136</v>
      </c>
      <c r="U651">
        <v>305</v>
      </c>
      <c r="V651">
        <v>441</v>
      </c>
      <c r="W651" s="4">
        <v>0.69160997732426299</v>
      </c>
      <c r="X651" s="4">
        <v>0.30839002267573695</v>
      </c>
    </row>
    <row r="652" spans="1:24" x14ac:dyDescent="0.25">
      <c r="A652" s="1" t="s">
        <v>132</v>
      </c>
      <c r="B652" s="1">
        <v>202103</v>
      </c>
      <c r="C652" s="2">
        <v>3</v>
      </c>
      <c r="D652" s="1" t="str">
        <f>INDEX(Codigos_Bens[Segmentação],MATCH(Base[[#This Row],[Código_do_segmento]],Codigos_Bens[Cod.],0))</f>
        <v>Veículos Leves</v>
      </c>
      <c r="E652">
        <v>20.404720000000001</v>
      </c>
      <c r="F652">
        <v>12</v>
      </c>
      <c r="G652">
        <v>1</v>
      </c>
      <c r="H652">
        <v>1</v>
      </c>
      <c r="I652">
        <v>1530</v>
      </c>
      <c r="J652">
        <v>5637</v>
      </c>
      <c r="K652">
        <v>3220</v>
      </c>
      <c r="L652">
        <v>7359</v>
      </c>
      <c r="M652">
        <v>87</v>
      </c>
      <c r="N652">
        <v>7759</v>
      </c>
      <c r="O652">
        <v>377</v>
      </c>
      <c r="P652">
        <v>2443</v>
      </c>
      <c r="Q652">
        <v>24953</v>
      </c>
      <c r="R652">
        <v>988</v>
      </c>
      <c r="S652">
        <v>381</v>
      </c>
      <c r="T652">
        <v>10579</v>
      </c>
      <c r="U652">
        <v>24953</v>
      </c>
      <c r="V652">
        <v>35532</v>
      </c>
      <c r="W652" s="4">
        <v>0.70226837780029272</v>
      </c>
      <c r="X652" s="4">
        <v>0.29773162219970728</v>
      </c>
    </row>
    <row r="653" spans="1:24" x14ac:dyDescent="0.25">
      <c r="A653" s="1" t="s">
        <v>132</v>
      </c>
      <c r="B653" s="1">
        <v>202103</v>
      </c>
      <c r="C653" s="2">
        <v>4</v>
      </c>
      <c r="D653" s="1" t="str">
        <f>INDEX(Codigos_Bens[Segmentação],MATCH(Base[[#This Row],[Código_do_segmento]],Codigos_Bens[Cod.],0))</f>
        <v>Motocicletas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s="4">
        <v>0</v>
      </c>
      <c r="X653" s="4">
        <v>0</v>
      </c>
    </row>
    <row r="654" spans="1:24" x14ac:dyDescent="0.25">
      <c r="A654" s="1" t="s">
        <v>132</v>
      </c>
      <c r="B654" s="1">
        <v>202103</v>
      </c>
      <c r="C654" s="2">
        <v>5</v>
      </c>
      <c r="D654" s="1" t="str">
        <f>INDEX(Codigos_Bens[Segmentação],MATCH(Base[[#This Row],[Código_do_segmento]],Codigos_Bens[Cod.],0))</f>
        <v>Outros bens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 s="4">
        <v>0</v>
      </c>
      <c r="X654" s="4">
        <v>0</v>
      </c>
    </row>
    <row r="655" spans="1:24" x14ac:dyDescent="0.25">
      <c r="A655" s="1" t="s">
        <v>132</v>
      </c>
      <c r="B655" s="1">
        <v>202103</v>
      </c>
      <c r="C655" s="2">
        <v>6</v>
      </c>
      <c r="D655" s="1" t="str">
        <f>INDEX(Codigos_Bens[Segmentação],MATCH(Base[[#This Row],[Código_do_segmento]],Codigos_Bens[Cod.],0))</f>
        <v>Serviços</v>
      </c>
      <c r="E655">
        <v>16.714279999999999</v>
      </c>
      <c r="F655">
        <v>1</v>
      </c>
      <c r="G655">
        <v>0</v>
      </c>
      <c r="H655">
        <v>0</v>
      </c>
      <c r="I655">
        <v>2</v>
      </c>
      <c r="J655">
        <v>71</v>
      </c>
      <c r="K655">
        <v>18</v>
      </c>
      <c r="L655">
        <v>31</v>
      </c>
      <c r="M655">
        <v>1</v>
      </c>
      <c r="N655">
        <v>37</v>
      </c>
      <c r="O655">
        <v>1</v>
      </c>
      <c r="P655">
        <v>11</v>
      </c>
      <c r="Q655">
        <v>74</v>
      </c>
      <c r="R655">
        <v>2</v>
      </c>
      <c r="S655">
        <v>8</v>
      </c>
      <c r="T655">
        <v>49</v>
      </c>
      <c r="U655">
        <v>74</v>
      </c>
      <c r="V655">
        <v>123</v>
      </c>
      <c r="W655" s="4">
        <v>0.60162601626016265</v>
      </c>
      <c r="X655" s="4">
        <v>0.3983739837398374</v>
      </c>
    </row>
    <row r="656" spans="1:24" x14ac:dyDescent="0.25">
      <c r="A656" s="1" t="s">
        <v>133</v>
      </c>
      <c r="B656" s="1">
        <v>202103</v>
      </c>
      <c r="C656" s="2">
        <v>1</v>
      </c>
      <c r="D656" s="1" t="str">
        <f>INDEX(Codigos_Bens[Segmentação],MATCH(Base[[#This Row],[Código_do_segmento]],Codigos_Bens[Cod.],0))</f>
        <v>Imóveis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 s="4">
        <v>0</v>
      </c>
      <c r="X656" s="4">
        <v>0</v>
      </c>
    </row>
    <row r="657" spans="1:24" x14ac:dyDescent="0.25">
      <c r="A657" s="1" t="s">
        <v>133</v>
      </c>
      <c r="B657" s="1">
        <v>202103</v>
      </c>
      <c r="C657" s="2">
        <v>2</v>
      </c>
      <c r="D657" s="1" t="str">
        <f>INDEX(Codigos_Bens[Segmentação],MATCH(Base[[#This Row],[Código_do_segmento]],Codigos_Bens[Cod.],0))</f>
        <v>Veículos Pesados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s="4">
        <v>0</v>
      </c>
      <c r="X657" s="4">
        <v>0</v>
      </c>
    </row>
    <row r="658" spans="1:24" x14ac:dyDescent="0.25">
      <c r="A658" s="1" t="s">
        <v>133</v>
      </c>
      <c r="B658" s="1">
        <v>202103</v>
      </c>
      <c r="C658" s="2">
        <v>3</v>
      </c>
      <c r="D658" s="1" t="str">
        <f>INDEX(Codigos_Bens[Segmentação],MATCH(Base[[#This Row],[Código_do_segmento]],Codigos_Bens[Cod.],0))</f>
        <v>Veículos Leves</v>
      </c>
      <c r="E658">
        <v>5</v>
      </c>
      <c r="F658">
        <v>4</v>
      </c>
      <c r="G658">
        <v>0</v>
      </c>
      <c r="H658">
        <v>0</v>
      </c>
      <c r="I658">
        <v>2</v>
      </c>
      <c r="J658">
        <v>18</v>
      </c>
      <c r="K658">
        <v>246</v>
      </c>
      <c r="L658">
        <v>133</v>
      </c>
      <c r="M658">
        <v>7</v>
      </c>
      <c r="N658">
        <v>378</v>
      </c>
      <c r="O658">
        <v>0</v>
      </c>
      <c r="P658">
        <v>1</v>
      </c>
      <c r="Q658">
        <v>18</v>
      </c>
      <c r="R658">
        <v>105</v>
      </c>
      <c r="S658">
        <v>47</v>
      </c>
      <c r="T658">
        <v>379</v>
      </c>
      <c r="U658">
        <v>18</v>
      </c>
      <c r="V658">
        <v>397</v>
      </c>
      <c r="W658" s="4">
        <v>4.534005037783375E-2</v>
      </c>
      <c r="X658" s="4">
        <v>0.95465994962216627</v>
      </c>
    </row>
    <row r="659" spans="1:24" x14ac:dyDescent="0.25">
      <c r="A659" s="1" t="s">
        <v>133</v>
      </c>
      <c r="B659" s="1">
        <v>202103</v>
      </c>
      <c r="C659" s="2">
        <v>4</v>
      </c>
      <c r="D659" s="1" t="str">
        <f>INDEX(Codigos_Bens[Segmentação],MATCH(Base[[#This Row],[Código_do_segmento]],Codigos_Bens[Cod.],0))</f>
        <v>Motocicletas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s="4">
        <v>0</v>
      </c>
      <c r="X659" s="4">
        <v>0</v>
      </c>
    </row>
    <row r="660" spans="1:24" x14ac:dyDescent="0.25">
      <c r="A660" s="1" t="s">
        <v>133</v>
      </c>
      <c r="B660" s="1">
        <v>202103</v>
      </c>
      <c r="C660" s="2">
        <v>5</v>
      </c>
      <c r="D660" s="1" t="str">
        <f>INDEX(Codigos_Bens[Segmentação],MATCH(Base[[#This Row],[Código_do_segmento]],Codigos_Bens[Cod.],0))</f>
        <v>Outros bens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 s="4">
        <v>0</v>
      </c>
      <c r="X660" s="4">
        <v>0</v>
      </c>
    </row>
    <row r="661" spans="1:24" x14ac:dyDescent="0.25">
      <c r="A661" s="1" t="s">
        <v>133</v>
      </c>
      <c r="B661" s="1">
        <v>202103</v>
      </c>
      <c r="C661" s="2">
        <v>6</v>
      </c>
      <c r="D661" s="1" t="str">
        <f>INDEX(Codigos_Bens[Segmentação],MATCH(Base[[#This Row],[Código_do_segmento]],Codigos_Bens[Cod.],0))</f>
        <v>Serviços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 s="4">
        <v>0</v>
      </c>
      <c r="X661" s="4">
        <v>0</v>
      </c>
    </row>
    <row r="662" spans="1:24" x14ac:dyDescent="0.25">
      <c r="A662" s="1" t="s">
        <v>149</v>
      </c>
      <c r="B662" s="1">
        <v>202103</v>
      </c>
      <c r="C662" s="2">
        <v>1</v>
      </c>
      <c r="D662" s="1" t="str">
        <f>INDEX(Codigos_Bens[Segmentação],MATCH(Base[[#This Row],[Código_do_segmento]],Codigos_Bens[Cod.],0))</f>
        <v>Imóveis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 s="4">
        <v>0</v>
      </c>
      <c r="X662" s="4">
        <v>0</v>
      </c>
    </row>
    <row r="663" spans="1:24" x14ac:dyDescent="0.25">
      <c r="A663" s="1" t="s">
        <v>149</v>
      </c>
      <c r="B663" s="1">
        <v>202103</v>
      </c>
      <c r="C663" s="2">
        <v>2</v>
      </c>
      <c r="D663" s="1" t="str">
        <f>INDEX(Codigos_Bens[Segmentação],MATCH(Base[[#This Row],[Código_do_segmento]],Codigos_Bens[Cod.],0))</f>
        <v>Veículos Pesados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 s="4">
        <v>0</v>
      </c>
      <c r="X663" s="4">
        <v>0</v>
      </c>
    </row>
    <row r="664" spans="1:24" x14ac:dyDescent="0.25">
      <c r="A664" s="1" t="s">
        <v>149</v>
      </c>
      <c r="B664" s="1">
        <v>202103</v>
      </c>
      <c r="C664" s="2">
        <v>3</v>
      </c>
      <c r="D664" s="1" t="str">
        <f>INDEX(Codigos_Bens[Segmentação],MATCH(Base[[#This Row],[Código_do_segmento]],Codigos_Bens[Cod.],0))</f>
        <v>Veículos Leves</v>
      </c>
      <c r="E664">
        <v>13.19894</v>
      </c>
      <c r="F664">
        <v>1</v>
      </c>
      <c r="G664">
        <v>0</v>
      </c>
      <c r="H664">
        <v>0</v>
      </c>
      <c r="I664">
        <v>0</v>
      </c>
      <c r="J664">
        <v>78</v>
      </c>
      <c r="K664">
        <v>97</v>
      </c>
      <c r="L664">
        <v>2</v>
      </c>
      <c r="M664">
        <v>19</v>
      </c>
      <c r="N664">
        <v>99</v>
      </c>
      <c r="O664">
        <v>0</v>
      </c>
      <c r="P664">
        <v>0</v>
      </c>
      <c r="Q664">
        <v>93</v>
      </c>
      <c r="R664">
        <v>96</v>
      </c>
      <c r="S664">
        <v>3</v>
      </c>
      <c r="T664">
        <v>99</v>
      </c>
      <c r="U664">
        <v>93</v>
      </c>
      <c r="V664">
        <v>192</v>
      </c>
      <c r="W664" s="4">
        <v>0.484375</v>
      </c>
      <c r="X664" s="4">
        <v>0.515625</v>
      </c>
    </row>
    <row r="665" spans="1:24" x14ac:dyDescent="0.25">
      <c r="A665" s="1" t="s">
        <v>149</v>
      </c>
      <c r="B665" s="1">
        <v>202103</v>
      </c>
      <c r="C665" s="2">
        <v>4</v>
      </c>
      <c r="D665" s="1" t="str">
        <f>INDEX(Codigos_Bens[Segmentação],MATCH(Base[[#This Row],[Código_do_segmento]],Codigos_Bens[Cod.],0))</f>
        <v>Motocicletas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s="4">
        <v>0</v>
      </c>
      <c r="X665" s="4">
        <v>0</v>
      </c>
    </row>
    <row r="666" spans="1:24" x14ac:dyDescent="0.25">
      <c r="A666" s="1" t="s">
        <v>149</v>
      </c>
      <c r="B666" s="1">
        <v>202103</v>
      </c>
      <c r="C666" s="2">
        <v>5</v>
      </c>
      <c r="D666" s="1" t="str">
        <f>INDEX(Codigos_Bens[Segmentação],MATCH(Base[[#This Row],[Código_do_segmento]],Codigos_Bens[Cod.],0))</f>
        <v>Outros bens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s="4">
        <v>0</v>
      </c>
      <c r="X666" s="4">
        <v>0</v>
      </c>
    </row>
    <row r="667" spans="1:24" x14ac:dyDescent="0.25">
      <c r="A667" s="1" t="s">
        <v>149</v>
      </c>
      <c r="B667" s="1">
        <v>202103</v>
      </c>
      <c r="C667" s="2">
        <v>6</v>
      </c>
      <c r="D667" s="1" t="str">
        <f>INDEX(Codigos_Bens[Segmentação],MATCH(Base[[#This Row],[Código_do_segmento]],Codigos_Bens[Cod.],0))</f>
        <v>Serviços</v>
      </c>
      <c r="E667">
        <v>21.921050000000001</v>
      </c>
      <c r="F667">
        <v>1</v>
      </c>
      <c r="G667">
        <v>0</v>
      </c>
      <c r="H667">
        <v>0</v>
      </c>
      <c r="I667">
        <v>21</v>
      </c>
      <c r="J667">
        <v>1</v>
      </c>
      <c r="K667">
        <v>5</v>
      </c>
      <c r="L667">
        <v>166</v>
      </c>
      <c r="M667">
        <v>2</v>
      </c>
      <c r="N667">
        <v>164</v>
      </c>
      <c r="O667">
        <v>0</v>
      </c>
      <c r="P667">
        <v>7</v>
      </c>
      <c r="Q667">
        <v>1</v>
      </c>
      <c r="R667">
        <v>0</v>
      </c>
      <c r="S667">
        <v>4</v>
      </c>
      <c r="T667">
        <v>171</v>
      </c>
      <c r="U667">
        <v>1</v>
      </c>
      <c r="V667">
        <v>172</v>
      </c>
      <c r="W667" s="4">
        <v>5.8139534883720929E-3</v>
      </c>
      <c r="X667" s="4">
        <v>0.9941860465116279</v>
      </c>
    </row>
    <row r="668" spans="1:24" x14ac:dyDescent="0.25">
      <c r="A668" s="1" t="s">
        <v>35</v>
      </c>
      <c r="B668" s="1">
        <v>202103</v>
      </c>
      <c r="C668" s="2">
        <v>1</v>
      </c>
      <c r="D668" s="1" t="str">
        <f>INDEX(Codigos_Bens[Segmentação],MATCH(Base[[#This Row],[Código_do_segmento]],Codigos_Bens[Cod.],0))</f>
        <v>Imóveis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 s="4">
        <v>0</v>
      </c>
      <c r="X668" s="4">
        <v>0</v>
      </c>
    </row>
    <row r="669" spans="1:24" x14ac:dyDescent="0.25">
      <c r="A669" s="1" t="s">
        <v>35</v>
      </c>
      <c r="B669" s="1">
        <v>202103</v>
      </c>
      <c r="C669" s="2">
        <v>2</v>
      </c>
      <c r="D669" s="1" t="str">
        <f>INDEX(Codigos_Bens[Segmentação],MATCH(Base[[#This Row],[Código_do_segmento]],Codigos_Bens[Cod.],0))</f>
        <v>Veículos Pesados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 s="4">
        <v>0</v>
      </c>
      <c r="X669" s="4">
        <v>0</v>
      </c>
    </row>
    <row r="670" spans="1:24" x14ac:dyDescent="0.25">
      <c r="A670" s="1" t="s">
        <v>35</v>
      </c>
      <c r="B670" s="1">
        <v>202103</v>
      </c>
      <c r="C670" s="2">
        <v>3</v>
      </c>
      <c r="D670" s="1" t="str">
        <f>INDEX(Codigos_Bens[Segmentação],MATCH(Base[[#This Row],[Código_do_segmento]],Codigos_Bens[Cod.],0))</f>
        <v>Veículos Leves</v>
      </c>
      <c r="E670">
        <v>5</v>
      </c>
      <c r="F670">
        <v>1</v>
      </c>
      <c r="G670">
        <v>0</v>
      </c>
      <c r="H670">
        <v>0</v>
      </c>
      <c r="I670">
        <v>0</v>
      </c>
      <c r="J670">
        <v>4</v>
      </c>
      <c r="K670">
        <v>92</v>
      </c>
      <c r="L670">
        <v>4</v>
      </c>
      <c r="M670">
        <v>1</v>
      </c>
      <c r="N670">
        <v>93</v>
      </c>
      <c r="O670">
        <v>2</v>
      </c>
      <c r="P670">
        <v>1</v>
      </c>
      <c r="Q670">
        <v>5</v>
      </c>
      <c r="R670">
        <v>53</v>
      </c>
      <c r="S670">
        <v>18</v>
      </c>
      <c r="T670">
        <v>96</v>
      </c>
      <c r="U670">
        <v>5</v>
      </c>
      <c r="V670">
        <v>101</v>
      </c>
      <c r="W670" s="4">
        <v>4.9504950495049507E-2</v>
      </c>
      <c r="X670" s="4">
        <v>0.95049504950495045</v>
      </c>
    </row>
    <row r="671" spans="1:24" x14ac:dyDescent="0.25">
      <c r="A671" s="1" t="s">
        <v>35</v>
      </c>
      <c r="B671" s="1">
        <v>202103</v>
      </c>
      <c r="C671" s="2">
        <v>4</v>
      </c>
      <c r="D671" s="1" t="str">
        <f>INDEX(Codigos_Bens[Segmentação],MATCH(Base[[#This Row],[Código_do_segmento]],Codigos_Bens[Cod.],0))</f>
        <v>Motocicletas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 s="4">
        <v>0</v>
      </c>
      <c r="X671" s="4">
        <v>0</v>
      </c>
    </row>
    <row r="672" spans="1:24" x14ac:dyDescent="0.25">
      <c r="A672" s="1" t="s">
        <v>35</v>
      </c>
      <c r="B672" s="1">
        <v>202103</v>
      </c>
      <c r="C672" s="2">
        <v>5</v>
      </c>
      <c r="D672" s="1" t="str">
        <f>INDEX(Codigos_Bens[Segmentação],MATCH(Base[[#This Row],[Código_do_segmento]],Codigos_Bens[Cod.],0))</f>
        <v>Outros bens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 s="4">
        <v>0</v>
      </c>
      <c r="X672" s="4">
        <v>0</v>
      </c>
    </row>
    <row r="673" spans="1:24" x14ac:dyDescent="0.25">
      <c r="A673" s="1" t="s">
        <v>35</v>
      </c>
      <c r="B673" s="1">
        <v>202103</v>
      </c>
      <c r="C673" s="2">
        <v>6</v>
      </c>
      <c r="D673" s="1" t="str">
        <f>INDEX(Codigos_Bens[Segmentação],MATCH(Base[[#This Row],[Código_do_segmento]],Codigos_Bens[Cod.],0))</f>
        <v>Serviços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s="4">
        <v>0</v>
      </c>
      <c r="X673" s="4">
        <v>0</v>
      </c>
    </row>
    <row r="674" spans="1:24" x14ac:dyDescent="0.25">
      <c r="A674" s="1" t="s">
        <v>134</v>
      </c>
      <c r="B674" s="1">
        <v>202103</v>
      </c>
      <c r="C674" s="2">
        <v>1</v>
      </c>
      <c r="D674" s="1" t="str">
        <f>INDEX(Codigos_Bens[Segmentação],MATCH(Base[[#This Row],[Código_do_segmento]],Codigos_Bens[Cod.],0))</f>
        <v>Imóveis</v>
      </c>
      <c r="E674">
        <v>21.429290000000002</v>
      </c>
      <c r="F674">
        <v>17</v>
      </c>
      <c r="G674">
        <v>0</v>
      </c>
      <c r="H674">
        <v>0</v>
      </c>
      <c r="I674">
        <v>361</v>
      </c>
      <c r="J674">
        <v>2852</v>
      </c>
      <c r="K674">
        <v>3151</v>
      </c>
      <c r="L674">
        <v>4013</v>
      </c>
      <c r="M674">
        <v>70</v>
      </c>
      <c r="N674">
        <v>6547</v>
      </c>
      <c r="O674">
        <v>341</v>
      </c>
      <c r="P674">
        <v>276</v>
      </c>
      <c r="Q674">
        <v>25270</v>
      </c>
      <c r="R674">
        <v>786</v>
      </c>
      <c r="S674">
        <v>831</v>
      </c>
      <c r="T674">
        <v>7164</v>
      </c>
      <c r="U674">
        <v>25270</v>
      </c>
      <c r="V674">
        <v>32434</v>
      </c>
      <c r="W674" s="4">
        <v>0.77912067583400135</v>
      </c>
      <c r="X674" s="4">
        <v>0.22087932416599865</v>
      </c>
    </row>
    <row r="675" spans="1:24" x14ac:dyDescent="0.25">
      <c r="A675" s="1" t="s">
        <v>134</v>
      </c>
      <c r="B675" s="1">
        <v>202103</v>
      </c>
      <c r="C675" s="2">
        <v>2</v>
      </c>
      <c r="D675" s="1" t="str">
        <f>INDEX(Codigos_Bens[Segmentação],MATCH(Base[[#This Row],[Código_do_segmento]],Codigos_Bens[Cod.],0))</f>
        <v>Veículos Pesados</v>
      </c>
      <c r="E675">
        <v>16.2226</v>
      </c>
      <c r="F675">
        <v>4</v>
      </c>
      <c r="G675">
        <v>0</v>
      </c>
      <c r="H675">
        <v>0</v>
      </c>
      <c r="I675">
        <v>72</v>
      </c>
      <c r="J675">
        <v>338</v>
      </c>
      <c r="K675">
        <v>849</v>
      </c>
      <c r="L675">
        <v>476</v>
      </c>
      <c r="M675">
        <v>19</v>
      </c>
      <c r="N675">
        <v>1200</v>
      </c>
      <c r="O675">
        <v>80</v>
      </c>
      <c r="P675">
        <v>45</v>
      </c>
      <c r="Q675">
        <v>3209</v>
      </c>
      <c r="R675">
        <v>537</v>
      </c>
      <c r="S675">
        <v>66</v>
      </c>
      <c r="T675">
        <v>1325</v>
      </c>
      <c r="U675">
        <v>3209</v>
      </c>
      <c r="V675">
        <v>4534</v>
      </c>
      <c r="W675" s="4">
        <v>0.70776356418173803</v>
      </c>
      <c r="X675" s="4">
        <v>0.29223643581826203</v>
      </c>
    </row>
    <row r="676" spans="1:24" x14ac:dyDescent="0.25">
      <c r="A676" s="1" t="s">
        <v>134</v>
      </c>
      <c r="B676" s="1">
        <v>202103</v>
      </c>
      <c r="C676" s="2">
        <v>3</v>
      </c>
      <c r="D676" s="1" t="str">
        <f>INDEX(Codigos_Bens[Segmentação],MATCH(Base[[#This Row],[Código_do_segmento]],Codigos_Bens[Cod.],0))</f>
        <v>Veículos Leves</v>
      </c>
      <c r="E676">
        <v>15.929489999999999</v>
      </c>
      <c r="F676">
        <v>22</v>
      </c>
      <c r="G676">
        <v>0</v>
      </c>
      <c r="H676">
        <v>0</v>
      </c>
      <c r="I676">
        <v>373</v>
      </c>
      <c r="J676">
        <v>1598</v>
      </c>
      <c r="K676">
        <v>4969</v>
      </c>
      <c r="L676">
        <v>3278</v>
      </c>
      <c r="M676">
        <v>129</v>
      </c>
      <c r="N676">
        <v>7529</v>
      </c>
      <c r="O676">
        <v>412</v>
      </c>
      <c r="P676">
        <v>306</v>
      </c>
      <c r="Q676">
        <v>11730</v>
      </c>
      <c r="R676">
        <v>2426</v>
      </c>
      <c r="S676">
        <v>633</v>
      </c>
      <c r="T676">
        <v>8247</v>
      </c>
      <c r="U676">
        <v>11730</v>
      </c>
      <c r="V676">
        <v>19977</v>
      </c>
      <c r="W676" s="4">
        <v>0.58717525153927019</v>
      </c>
      <c r="X676" s="4">
        <v>0.41282474846072986</v>
      </c>
    </row>
    <row r="677" spans="1:24" x14ac:dyDescent="0.25">
      <c r="A677" s="1" t="s">
        <v>134</v>
      </c>
      <c r="B677" s="1">
        <v>202103</v>
      </c>
      <c r="C677" s="2">
        <v>4</v>
      </c>
      <c r="D677" s="1" t="str">
        <f>INDEX(Codigos_Bens[Segmentação],MATCH(Base[[#This Row],[Código_do_segmento]],Codigos_Bens[Cod.],0))</f>
        <v>Motocicletas</v>
      </c>
      <c r="E677">
        <v>16.657039999999999</v>
      </c>
      <c r="F677">
        <v>11</v>
      </c>
      <c r="G677">
        <v>0</v>
      </c>
      <c r="H677">
        <v>0</v>
      </c>
      <c r="I677">
        <v>169</v>
      </c>
      <c r="J677">
        <v>301</v>
      </c>
      <c r="K677">
        <v>1483</v>
      </c>
      <c r="L677">
        <v>1215</v>
      </c>
      <c r="M677">
        <v>60</v>
      </c>
      <c r="N677">
        <v>2392</v>
      </c>
      <c r="O677">
        <v>160</v>
      </c>
      <c r="P677">
        <v>146</v>
      </c>
      <c r="Q677">
        <v>5062</v>
      </c>
      <c r="R677">
        <v>531</v>
      </c>
      <c r="S677">
        <v>446</v>
      </c>
      <c r="T677">
        <v>2698</v>
      </c>
      <c r="U677">
        <v>5062</v>
      </c>
      <c r="V677">
        <v>7760</v>
      </c>
      <c r="W677" s="4">
        <v>0.65231958762886599</v>
      </c>
      <c r="X677" s="4">
        <v>0.34768041237113401</v>
      </c>
    </row>
    <row r="678" spans="1:24" x14ac:dyDescent="0.25">
      <c r="A678" s="1" t="s">
        <v>134</v>
      </c>
      <c r="B678" s="1">
        <v>202103</v>
      </c>
      <c r="C678" s="2">
        <v>5</v>
      </c>
      <c r="D678" s="1" t="str">
        <f>INDEX(Codigos_Bens[Segmentação],MATCH(Base[[#This Row],[Código_do_segmento]],Codigos_Bens[Cod.],0))</f>
        <v>Outros bens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s="4">
        <v>0</v>
      </c>
      <c r="X678" s="4">
        <v>0</v>
      </c>
    </row>
    <row r="679" spans="1:24" x14ac:dyDescent="0.25">
      <c r="A679" s="1" t="s">
        <v>134</v>
      </c>
      <c r="B679" s="1">
        <v>202103</v>
      </c>
      <c r="C679" s="2">
        <v>6</v>
      </c>
      <c r="D679" s="1" t="str">
        <f>INDEX(Codigos_Bens[Segmentação],MATCH(Base[[#This Row],[Código_do_segmento]],Codigos_Bens[Cod.],0))</f>
        <v>Serviços</v>
      </c>
      <c r="E679">
        <v>22.040369999999999</v>
      </c>
      <c r="F679">
        <v>5</v>
      </c>
      <c r="G679">
        <v>0</v>
      </c>
      <c r="H679">
        <v>0</v>
      </c>
      <c r="I679">
        <v>35</v>
      </c>
      <c r="J679">
        <v>109</v>
      </c>
      <c r="K679">
        <v>270</v>
      </c>
      <c r="L679">
        <v>207</v>
      </c>
      <c r="M679">
        <v>14</v>
      </c>
      <c r="N679">
        <v>414</v>
      </c>
      <c r="O679">
        <v>43</v>
      </c>
      <c r="P679">
        <v>20</v>
      </c>
      <c r="Q679">
        <v>729</v>
      </c>
      <c r="R679">
        <v>104</v>
      </c>
      <c r="S679">
        <v>82</v>
      </c>
      <c r="T679">
        <v>477</v>
      </c>
      <c r="U679">
        <v>729</v>
      </c>
      <c r="V679">
        <v>1206</v>
      </c>
      <c r="W679" s="4">
        <v>0.60447761194029848</v>
      </c>
      <c r="X679" s="4">
        <v>0.39552238805970147</v>
      </c>
    </row>
    <row r="680" spans="1:24" x14ac:dyDescent="0.25">
      <c r="A680" s="1" t="s">
        <v>135</v>
      </c>
      <c r="B680" s="1">
        <v>202103</v>
      </c>
      <c r="C680" s="2">
        <v>1</v>
      </c>
      <c r="D680" s="1" t="str">
        <f>INDEX(Codigos_Bens[Segmentação],MATCH(Base[[#This Row],[Código_do_segmento]],Codigos_Bens[Cod.],0))</f>
        <v>Imóveis</v>
      </c>
      <c r="E680">
        <v>22.157150000000001</v>
      </c>
      <c r="F680">
        <v>7</v>
      </c>
      <c r="G680">
        <v>0</v>
      </c>
      <c r="H680">
        <v>0</v>
      </c>
      <c r="I680">
        <v>90</v>
      </c>
      <c r="J680">
        <v>972</v>
      </c>
      <c r="K680">
        <v>1765</v>
      </c>
      <c r="L680">
        <v>2042</v>
      </c>
      <c r="M680">
        <v>20</v>
      </c>
      <c r="N680">
        <v>3309</v>
      </c>
      <c r="O680">
        <v>331</v>
      </c>
      <c r="P680">
        <v>167</v>
      </c>
      <c r="Q680">
        <v>5609</v>
      </c>
      <c r="R680">
        <v>560</v>
      </c>
      <c r="S680">
        <v>182</v>
      </c>
      <c r="T680">
        <v>3807</v>
      </c>
      <c r="U680">
        <v>5609</v>
      </c>
      <c r="V680">
        <v>9416</v>
      </c>
      <c r="W680" s="4">
        <v>0.59568819031435849</v>
      </c>
      <c r="X680" s="4">
        <v>0.40431180968564145</v>
      </c>
    </row>
    <row r="681" spans="1:24" x14ac:dyDescent="0.25">
      <c r="A681" s="1" t="s">
        <v>135</v>
      </c>
      <c r="B681" s="1">
        <v>202103</v>
      </c>
      <c r="C681" s="2">
        <v>2</v>
      </c>
      <c r="D681" s="1" t="str">
        <f>INDEX(Codigos_Bens[Segmentação],MATCH(Base[[#This Row],[Código_do_segmento]],Codigos_Bens[Cod.],0))</f>
        <v>Veículos Pesados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 s="4">
        <v>0</v>
      </c>
      <c r="X681" s="4">
        <v>0</v>
      </c>
    </row>
    <row r="682" spans="1:24" x14ac:dyDescent="0.25">
      <c r="A682" s="1" t="s">
        <v>135</v>
      </c>
      <c r="B682" s="1">
        <v>202103</v>
      </c>
      <c r="C682" s="2">
        <v>3</v>
      </c>
      <c r="D682" s="1" t="str">
        <f>INDEX(Codigos_Bens[Segmentação],MATCH(Base[[#This Row],[Código_do_segmento]],Codigos_Bens[Cod.],0))</f>
        <v>Veículos Leves</v>
      </c>
      <c r="E682">
        <v>13.7987</v>
      </c>
      <c r="F682">
        <v>21</v>
      </c>
      <c r="G682">
        <v>0</v>
      </c>
      <c r="H682">
        <v>0</v>
      </c>
      <c r="I682">
        <v>34</v>
      </c>
      <c r="J682">
        <v>219</v>
      </c>
      <c r="K682">
        <v>2537</v>
      </c>
      <c r="L682">
        <v>1568</v>
      </c>
      <c r="M682">
        <v>56</v>
      </c>
      <c r="N682">
        <v>3676</v>
      </c>
      <c r="O682">
        <v>251</v>
      </c>
      <c r="P682">
        <v>178</v>
      </c>
      <c r="Q682">
        <v>1572</v>
      </c>
      <c r="R682">
        <v>1117</v>
      </c>
      <c r="S682">
        <v>258</v>
      </c>
      <c r="T682">
        <v>4105</v>
      </c>
      <c r="U682">
        <v>1572</v>
      </c>
      <c r="V682">
        <v>5677</v>
      </c>
      <c r="W682" s="4">
        <v>0.27690681698079972</v>
      </c>
      <c r="X682" s="4">
        <v>0.72309318301920034</v>
      </c>
    </row>
    <row r="683" spans="1:24" x14ac:dyDescent="0.25">
      <c r="A683" s="1" t="s">
        <v>135</v>
      </c>
      <c r="B683" s="1">
        <v>202103</v>
      </c>
      <c r="C683" s="2">
        <v>4</v>
      </c>
      <c r="D683" s="1" t="str">
        <f>INDEX(Codigos_Bens[Segmentação],MATCH(Base[[#This Row],[Código_do_segmento]],Codigos_Bens[Cod.],0))</f>
        <v>Motocicletas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 s="4">
        <v>0</v>
      </c>
      <c r="X683" s="4">
        <v>0</v>
      </c>
    </row>
    <row r="684" spans="1:24" x14ac:dyDescent="0.25">
      <c r="A684" s="1" t="s">
        <v>135</v>
      </c>
      <c r="B684" s="1">
        <v>202103</v>
      </c>
      <c r="C684" s="2">
        <v>5</v>
      </c>
      <c r="D684" s="1" t="str">
        <f>INDEX(Codigos_Bens[Segmentação],MATCH(Base[[#This Row],[Código_do_segmento]],Codigos_Bens[Cod.],0))</f>
        <v>Outros bens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s="4">
        <v>0</v>
      </c>
      <c r="X684" s="4">
        <v>0</v>
      </c>
    </row>
    <row r="685" spans="1:24" x14ac:dyDescent="0.25">
      <c r="A685" s="1" t="s">
        <v>135</v>
      </c>
      <c r="B685" s="1">
        <v>202103</v>
      </c>
      <c r="C685" s="2">
        <v>6</v>
      </c>
      <c r="D685" s="1" t="str">
        <f>INDEX(Codigos_Bens[Segmentação],MATCH(Base[[#This Row],[Código_do_segmento]],Codigos_Bens[Cod.],0))</f>
        <v>Serviços</v>
      </c>
      <c r="E685">
        <v>18.3551</v>
      </c>
      <c r="F685">
        <v>6</v>
      </c>
      <c r="G685">
        <v>1</v>
      </c>
      <c r="H685">
        <v>0</v>
      </c>
      <c r="I685">
        <v>32</v>
      </c>
      <c r="J685">
        <v>14</v>
      </c>
      <c r="K685">
        <v>130</v>
      </c>
      <c r="L685">
        <v>146</v>
      </c>
      <c r="M685">
        <v>9</v>
      </c>
      <c r="N685">
        <v>256</v>
      </c>
      <c r="O685">
        <v>11</v>
      </c>
      <c r="P685">
        <v>9</v>
      </c>
      <c r="Q685">
        <v>44</v>
      </c>
      <c r="R685">
        <v>3</v>
      </c>
      <c r="S685">
        <v>25</v>
      </c>
      <c r="T685">
        <v>276</v>
      </c>
      <c r="U685">
        <v>44</v>
      </c>
      <c r="V685">
        <v>320</v>
      </c>
      <c r="W685" s="4">
        <v>0.13750000000000001</v>
      </c>
      <c r="X685" s="4">
        <v>0.86250000000000004</v>
      </c>
    </row>
    <row r="686" spans="1:24" x14ac:dyDescent="0.25">
      <c r="A686" s="1" t="s">
        <v>136</v>
      </c>
      <c r="B686" s="1">
        <v>202103</v>
      </c>
      <c r="C686" s="2">
        <v>1</v>
      </c>
      <c r="D686" s="1" t="str">
        <f>INDEX(Codigos_Bens[Segmentação],MATCH(Base[[#This Row],[Código_do_segmento]],Codigos_Bens[Cod.],0))</f>
        <v>Imóveis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s="4">
        <v>0</v>
      </c>
      <c r="X686" s="4">
        <v>0</v>
      </c>
    </row>
    <row r="687" spans="1:24" x14ac:dyDescent="0.25">
      <c r="A687" s="1" t="s">
        <v>136</v>
      </c>
      <c r="B687" s="1">
        <v>202103</v>
      </c>
      <c r="C687" s="2">
        <v>2</v>
      </c>
      <c r="D687" s="1" t="str">
        <f>INDEX(Codigos_Bens[Segmentação],MATCH(Base[[#This Row],[Código_do_segmento]],Codigos_Bens[Cod.],0))</f>
        <v>Veículos Pesados</v>
      </c>
      <c r="E687">
        <v>13.772729999999999</v>
      </c>
      <c r="F687">
        <v>21</v>
      </c>
      <c r="G687">
        <v>0</v>
      </c>
      <c r="H687">
        <v>0</v>
      </c>
      <c r="I687">
        <v>282</v>
      </c>
      <c r="J687">
        <v>1954</v>
      </c>
      <c r="K687">
        <v>11219</v>
      </c>
      <c r="L687">
        <v>5954</v>
      </c>
      <c r="M687">
        <v>164</v>
      </c>
      <c r="N687">
        <v>15639</v>
      </c>
      <c r="O687">
        <v>692</v>
      </c>
      <c r="P687">
        <v>842</v>
      </c>
      <c r="Q687">
        <v>8723</v>
      </c>
      <c r="R687">
        <v>6748</v>
      </c>
      <c r="S687">
        <v>650</v>
      </c>
      <c r="T687">
        <v>17173</v>
      </c>
      <c r="U687">
        <v>8723</v>
      </c>
      <c r="V687">
        <v>25896</v>
      </c>
      <c r="W687" s="4">
        <v>0.33684738955823296</v>
      </c>
      <c r="X687" s="4">
        <v>0.6631526104417671</v>
      </c>
    </row>
    <row r="688" spans="1:24" x14ac:dyDescent="0.25">
      <c r="A688" s="1" t="s">
        <v>136</v>
      </c>
      <c r="B688" s="1">
        <v>202103</v>
      </c>
      <c r="C688" s="2">
        <v>3</v>
      </c>
      <c r="D688" s="1" t="str">
        <f>INDEX(Codigos_Bens[Segmentação],MATCH(Base[[#This Row],[Código_do_segmento]],Codigos_Bens[Cod.],0))</f>
        <v>Veículos Leves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 s="4">
        <v>0</v>
      </c>
      <c r="X688" s="4">
        <v>0</v>
      </c>
    </row>
    <row r="689" spans="1:24" x14ac:dyDescent="0.25">
      <c r="A689" s="1" t="s">
        <v>136</v>
      </c>
      <c r="B689" s="1">
        <v>202103</v>
      </c>
      <c r="C689" s="2">
        <v>4</v>
      </c>
      <c r="D689" s="1" t="str">
        <f>INDEX(Codigos_Bens[Segmentação],MATCH(Base[[#This Row],[Código_do_segmento]],Codigos_Bens[Cod.],0))</f>
        <v>Motocicletas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s="4">
        <v>0</v>
      </c>
      <c r="X689" s="4">
        <v>0</v>
      </c>
    </row>
    <row r="690" spans="1:24" x14ac:dyDescent="0.25">
      <c r="A690" s="1" t="s">
        <v>136</v>
      </c>
      <c r="B690" s="1">
        <v>202103</v>
      </c>
      <c r="C690" s="2">
        <v>5</v>
      </c>
      <c r="D690" s="1" t="str">
        <f>INDEX(Codigos_Bens[Segmentação],MATCH(Base[[#This Row],[Código_do_segmento]],Codigos_Bens[Cod.],0))</f>
        <v>Outros bens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 s="4">
        <v>0</v>
      </c>
      <c r="X690" s="4">
        <v>0</v>
      </c>
    </row>
    <row r="691" spans="1:24" x14ac:dyDescent="0.25">
      <c r="A691" s="1" t="s">
        <v>136</v>
      </c>
      <c r="B691" s="1">
        <v>202103</v>
      </c>
      <c r="C691" s="2">
        <v>6</v>
      </c>
      <c r="D691" s="1" t="str">
        <f>INDEX(Codigos_Bens[Segmentação],MATCH(Base[[#This Row],[Código_do_segmento]],Codigos_Bens[Cod.],0))</f>
        <v>Serviços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s="4">
        <v>0</v>
      </c>
      <c r="X691" s="4">
        <v>0</v>
      </c>
    </row>
    <row r="692" spans="1:24" x14ac:dyDescent="0.25">
      <c r="A692" s="1" t="s">
        <v>137</v>
      </c>
      <c r="B692" s="1">
        <v>202103</v>
      </c>
      <c r="C692" s="2">
        <v>1</v>
      </c>
      <c r="D692" s="1" t="str">
        <f>INDEX(Codigos_Bens[Segmentação],MATCH(Base[[#This Row],[Código_do_segmento]],Codigos_Bens[Cod.],0))</f>
        <v>Imóveis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s="4">
        <v>0</v>
      </c>
      <c r="X692" s="4">
        <v>0</v>
      </c>
    </row>
    <row r="693" spans="1:24" x14ac:dyDescent="0.25">
      <c r="A693" s="1" t="s">
        <v>137</v>
      </c>
      <c r="B693" s="1">
        <v>202103</v>
      </c>
      <c r="C693" s="2">
        <v>2</v>
      </c>
      <c r="D693" s="1" t="str">
        <f>INDEX(Codigos_Bens[Segmentação],MATCH(Base[[#This Row],[Código_do_segmento]],Codigos_Bens[Cod.],0))</f>
        <v>Veículos Pesados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s="4">
        <v>0</v>
      </c>
      <c r="X693" s="4">
        <v>0</v>
      </c>
    </row>
    <row r="694" spans="1:24" x14ac:dyDescent="0.25">
      <c r="A694" s="1" t="s">
        <v>137</v>
      </c>
      <c r="B694" s="1">
        <v>202103</v>
      </c>
      <c r="C694" s="2">
        <v>3</v>
      </c>
      <c r="D694" s="1" t="str">
        <f>INDEX(Codigos_Bens[Segmentação],MATCH(Base[[#This Row],[Código_do_segmento]],Codigos_Bens[Cod.],0))</f>
        <v>Veículos Leves</v>
      </c>
      <c r="E694">
        <v>14.10591</v>
      </c>
      <c r="F694">
        <v>6</v>
      </c>
      <c r="G694">
        <v>0</v>
      </c>
      <c r="H694">
        <v>0</v>
      </c>
      <c r="I694">
        <v>6</v>
      </c>
      <c r="J694">
        <v>47</v>
      </c>
      <c r="K694">
        <v>654</v>
      </c>
      <c r="L694">
        <v>328</v>
      </c>
      <c r="M694">
        <v>22</v>
      </c>
      <c r="N694">
        <v>798</v>
      </c>
      <c r="O694">
        <v>112</v>
      </c>
      <c r="P694">
        <v>72</v>
      </c>
      <c r="Q694">
        <v>1004</v>
      </c>
      <c r="R694">
        <v>358</v>
      </c>
      <c r="S694">
        <v>103</v>
      </c>
      <c r="T694">
        <v>982</v>
      </c>
      <c r="U694">
        <v>1004</v>
      </c>
      <c r="V694">
        <v>1986</v>
      </c>
      <c r="W694" s="4">
        <v>0.50553877139979864</v>
      </c>
      <c r="X694" s="4">
        <v>0.49446122860020142</v>
      </c>
    </row>
    <row r="695" spans="1:24" x14ac:dyDescent="0.25">
      <c r="A695" s="1" t="s">
        <v>137</v>
      </c>
      <c r="B695" s="1">
        <v>202103</v>
      </c>
      <c r="C695" s="2">
        <v>4</v>
      </c>
      <c r="D695" s="1" t="str">
        <f>INDEX(Codigos_Bens[Segmentação],MATCH(Base[[#This Row],[Código_do_segmento]],Codigos_Bens[Cod.],0))</f>
        <v>Motocicletas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s="4">
        <v>0</v>
      </c>
      <c r="X695" s="4">
        <v>0</v>
      </c>
    </row>
    <row r="696" spans="1:24" x14ac:dyDescent="0.25">
      <c r="A696" s="1" t="s">
        <v>137</v>
      </c>
      <c r="B696" s="1">
        <v>202103</v>
      </c>
      <c r="C696" s="2">
        <v>5</v>
      </c>
      <c r="D696" s="1" t="str">
        <f>INDEX(Codigos_Bens[Segmentação],MATCH(Base[[#This Row],[Código_do_segmento]],Codigos_Bens[Cod.],0))</f>
        <v>Outros bens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s="4">
        <v>0</v>
      </c>
      <c r="X696" s="4">
        <v>0</v>
      </c>
    </row>
    <row r="697" spans="1:24" x14ac:dyDescent="0.25">
      <c r="A697" s="1" t="s">
        <v>137</v>
      </c>
      <c r="B697" s="1">
        <v>202103</v>
      </c>
      <c r="C697" s="2">
        <v>6</v>
      </c>
      <c r="D697" s="1" t="str">
        <f>INDEX(Codigos_Bens[Segmentação],MATCH(Base[[#This Row],[Código_do_segmento]],Codigos_Bens[Cod.],0))</f>
        <v>Serviços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s="4">
        <v>0</v>
      </c>
      <c r="X697" s="4">
        <v>0</v>
      </c>
    </row>
    <row r="698" spans="1:24" x14ac:dyDescent="0.25">
      <c r="A698" s="1" t="s">
        <v>150</v>
      </c>
      <c r="B698" s="1">
        <v>202103</v>
      </c>
      <c r="C698" s="2">
        <v>1</v>
      </c>
      <c r="D698" s="1" t="str">
        <f>INDEX(Codigos_Bens[Segmentação],MATCH(Base[[#This Row],[Código_do_segmento]],Codigos_Bens[Cod.],0))</f>
        <v>Imóveis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s="4">
        <v>0</v>
      </c>
      <c r="X698" s="4">
        <v>0</v>
      </c>
    </row>
    <row r="699" spans="1:24" x14ac:dyDescent="0.25">
      <c r="A699" s="1" t="s">
        <v>150</v>
      </c>
      <c r="B699" s="1">
        <v>202103</v>
      </c>
      <c r="C699" s="2">
        <v>2</v>
      </c>
      <c r="D699" s="1" t="str">
        <f>INDEX(Codigos_Bens[Segmentação],MATCH(Base[[#This Row],[Código_do_segmento]],Codigos_Bens[Cod.],0))</f>
        <v>Veículos Pesados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s="4">
        <v>0</v>
      </c>
      <c r="X699" s="4">
        <v>0</v>
      </c>
    </row>
    <row r="700" spans="1:24" x14ac:dyDescent="0.25">
      <c r="A700" s="1" t="s">
        <v>150</v>
      </c>
      <c r="B700" s="1">
        <v>202103</v>
      </c>
      <c r="C700" s="2">
        <v>3</v>
      </c>
      <c r="D700" s="1" t="str">
        <f>INDEX(Codigos_Bens[Segmentação],MATCH(Base[[#This Row],[Código_do_segmento]],Codigos_Bens[Cod.],0))</f>
        <v>Veículos Leves</v>
      </c>
      <c r="E700">
        <v>16.069610000000001</v>
      </c>
      <c r="F700">
        <v>4</v>
      </c>
      <c r="G700">
        <v>0</v>
      </c>
      <c r="H700">
        <v>0</v>
      </c>
      <c r="I700">
        <v>13</v>
      </c>
      <c r="J700">
        <v>149</v>
      </c>
      <c r="K700">
        <v>365</v>
      </c>
      <c r="L700">
        <v>382</v>
      </c>
      <c r="M700">
        <v>14</v>
      </c>
      <c r="N700">
        <v>638</v>
      </c>
      <c r="O700">
        <v>41</v>
      </c>
      <c r="P700">
        <v>68</v>
      </c>
      <c r="Q700">
        <v>768</v>
      </c>
      <c r="R700">
        <v>80</v>
      </c>
      <c r="S700">
        <v>75</v>
      </c>
      <c r="T700">
        <v>747</v>
      </c>
      <c r="U700">
        <v>768</v>
      </c>
      <c r="V700">
        <v>1515</v>
      </c>
      <c r="W700" s="4">
        <v>0.50693069306930694</v>
      </c>
      <c r="X700" s="4">
        <v>0.49306930693069306</v>
      </c>
    </row>
    <row r="701" spans="1:24" x14ac:dyDescent="0.25">
      <c r="A701" s="1" t="s">
        <v>150</v>
      </c>
      <c r="B701" s="1">
        <v>202103</v>
      </c>
      <c r="C701" s="2">
        <v>4</v>
      </c>
      <c r="D701" s="1" t="str">
        <f>INDEX(Codigos_Bens[Segmentação],MATCH(Base[[#This Row],[Código_do_segmento]],Codigos_Bens[Cod.],0))</f>
        <v>Motocicletas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 s="4">
        <v>0</v>
      </c>
      <c r="X701" s="4">
        <v>0</v>
      </c>
    </row>
    <row r="702" spans="1:24" x14ac:dyDescent="0.25">
      <c r="A702" s="1" t="s">
        <v>150</v>
      </c>
      <c r="B702" s="1">
        <v>202103</v>
      </c>
      <c r="C702" s="2">
        <v>5</v>
      </c>
      <c r="D702" s="1" t="str">
        <f>INDEX(Codigos_Bens[Segmentação],MATCH(Base[[#This Row],[Código_do_segmento]],Codigos_Bens[Cod.],0))</f>
        <v>Outros bens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s="4">
        <v>0</v>
      </c>
      <c r="X702" s="4">
        <v>0</v>
      </c>
    </row>
    <row r="703" spans="1:24" x14ac:dyDescent="0.25">
      <c r="A703" s="1" t="s">
        <v>150</v>
      </c>
      <c r="B703" s="1">
        <v>202103</v>
      </c>
      <c r="C703" s="2">
        <v>6</v>
      </c>
      <c r="D703" s="1" t="str">
        <f>INDEX(Codigos_Bens[Segmentação],MATCH(Base[[#This Row],[Código_do_segmento]],Codigos_Bens[Cod.],0))</f>
        <v>Serviços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s="4">
        <v>0</v>
      </c>
      <c r="X703" s="4">
        <v>0</v>
      </c>
    </row>
    <row r="704" spans="1:24" x14ac:dyDescent="0.25">
      <c r="A704" s="1" t="s">
        <v>138</v>
      </c>
      <c r="B704" s="1">
        <v>202103</v>
      </c>
      <c r="C704" s="2">
        <v>1</v>
      </c>
      <c r="D704" s="1" t="str">
        <f>INDEX(Codigos_Bens[Segmentação],MATCH(Base[[#This Row],[Código_do_segmento]],Codigos_Bens[Cod.],0))</f>
        <v>Imóveis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s="4">
        <v>0</v>
      </c>
      <c r="X704" s="4">
        <v>0</v>
      </c>
    </row>
    <row r="705" spans="1:24" x14ac:dyDescent="0.25">
      <c r="A705" s="1" t="s">
        <v>138</v>
      </c>
      <c r="B705" s="1">
        <v>202103</v>
      </c>
      <c r="C705" s="2">
        <v>2</v>
      </c>
      <c r="D705" s="1" t="str">
        <f>INDEX(Codigos_Bens[Segmentação],MATCH(Base[[#This Row],[Código_do_segmento]],Codigos_Bens[Cod.],0))</f>
        <v>Veículos Pesados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 s="4">
        <v>0</v>
      </c>
      <c r="X705" s="4">
        <v>0</v>
      </c>
    </row>
    <row r="706" spans="1:24" x14ac:dyDescent="0.25">
      <c r="A706" s="1" t="s">
        <v>138</v>
      </c>
      <c r="B706" s="1">
        <v>202103</v>
      </c>
      <c r="C706" s="2">
        <v>3</v>
      </c>
      <c r="D706" s="1" t="str">
        <f>INDEX(Codigos_Bens[Segmentação],MATCH(Base[[#This Row],[Código_do_segmento]],Codigos_Bens[Cod.],0))</f>
        <v>Veículos Leves</v>
      </c>
      <c r="E706">
        <v>16.028220000000001</v>
      </c>
      <c r="F706">
        <v>6</v>
      </c>
      <c r="G706">
        <v>0</v>
      </c>
      <c r="H706">
        <v>0</v>
      </c>
      <c r="I706">
        <v>20</v>
      </c>
      <c r="J706">
        <v>1173</v>
      </c>
      <c r="K706">
        <v>1029</v>
      </c>
      <c r="L706">
        <v>619</v>
      </c>
      <c r="M706">
        <v>15</v>
      </c>
      <c r="N706">
        <v>1220</v>
      </c>
      <c r="O706">
        <v>210</v>
      </c>
      <c r="P706">
        <v>218</v>
      </c>
      <c r="Q706">
        <v>3710</v>
      </c>
      <c r="R706">
        <v>439</v>
      </c>
      <c r="S706">
        <v>94</v>
      </c>
      <c r="T706">
        <v>1648</v>
      </c>
      <c r="U706">
        <v>3710</v>
      </c>
      <c r="V706">
        <v>5358</v>
      </c>
      <c r="W706" s="4">
        <v>0.69242254572601714</v>
      </c>
      <c r="X706" s="4">
        <v>0.30757745427398281</v>
      </c>
    </row>
    <row r="707" spans="1:24" x14ac:dyDescent="0.25">
      <c r="A707" s="1" t="s">
        <v>138</v>
      </c>
      <c r="B707" s="1">
        <v>202103</v>
      </c>
      <c r="C707" s="2">
        <v>4</v>
      </c>
      <c r="D707" s="1" t="str">
        <f>INDEX(Codigos_Bens[Segmentação],MATCH(Base[[#This Row],[Código_do_segmento]],Codigos_Bens[Cod.],0))</f>
        <v>Motocicletas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s="4">
        <v>0</v>
      </c>
      <c r="X707" s="4">
        <v>0</v>
      </c>
    </row>
    <row r="708" spans="1:24" x14ac:dyDescent="0.25">
      <c r="A708" s="1" t="s">
        <v>138</v>
      </c>
      <c r="B708" s="1">
        <v>202103</v>
      </c>
      <c r="C708" s="2">
        <v>5</v>
      </c>
      <c r="D708" s="1" t="str">
        <f>INDEX(Codigos_Bens[Segmentação],MATCH(Base[[#This Row],[Código_do_segmento]],Codigos_Bens[Cod.],0))</f>
        <v>Outros bens</v>
      </c>
      <c r="E708">
        <v>20.955880000000001</v>
      </c>
      <c r="F708">
        <v>2</v>
      </c>
      <c r="G708">
        <v>0</v>
      </c>
      <c r="H708">
        <v>0</v>
      </c>
      <c r="I708">
        <v>4</v>
      </c>
      <c r="J708">
        <v>147</v>
      </c>
      <c r="K708">
        <v>101</v>
      </c>
      <c r="L708">
        <v>69</v>
      </c>
      <c r="M708">
        <v>2</v>
      </c>
      <c r="N708">
        <v>130</v>
      </c>
      <c r="O708">
        <v>26</v>
      </c>
      <c r="P708">
        <v>14</v>
      </c>
      <c r="Q708">
        <v>183</v>
      </c>
      <c r="R708">
        <v>42</v>
      </c>
      <c r="S708">
        <v>8</v>
      </c>
      <c r="T708">
        <v>170</v>
      </c>
      <c r="U708">
        <v>183</v>
      </c>
      <c r="V708">
        <v>353</v>
      </c>
      <c r="W708" s="4">
        <v>0.5184135977337111</v>
      </c>
      <c r="X708" s="4">
        <v>0.48158640226628896</v>
      </c>
    </row>
    <row r="709" spans="1:24" x14ac:dyDescent="0.25">
      <c r="A709" s="1" t="s">
        <v>138</v>
      </c>
      <c r="B709" s="1">
        <v>202103</v>
      </c>
      <c r="C709" s="2">
        <v>6</v>
      </c>
      <c r="D709" s="1" t="str">
        <f>INDEX(Codigos_Bens[Segmentação],MATCH(Base[[#This Row],[Código_do_segmento]],Codigos_Bens[Cod.],0))</f>
        <v>Serviços</v>
      </c>
      <c r="E709">
        <v>18.172329999999999</v>
      </c>
      <c r="F709">
        <v>4</v>
      </c>
      <c r="G709">
        <v>1</v>
      </c>
      <c r="H709">
        <v>0</v>
      </c>
      <c r="I709">
        <v>32</v>
      </c>
      <c r="J709">
        <v>229</v>
      </c>
      <c r="K709">
        <v>209</v>
      </c>
      <c r="L709">
        <v>203</v>
      </c>
      <c r="M709">
        <v>6</v>
      </c>
      <c r="N709">
        <v>342</v>
      </c>
      <c r="O709">
        <v>38</v>
      </c>
      <c r="P709">
        <v>32</v>
      </c>
      <c r="Q709">
        <v>316</v>
      </c>
      <c r="R709">
        <v>119</v>
      </c>
      <c r="S709">
        <v>27</v>
      </c>
      <c r="T709">
        <v>412</v>
      </c>
      <c r="U709">
        <v>316</v>
      </c>
      <c r="V709">
        <v>728</v>
      </c>
      <c r="W709" s="4">
        <v>0.43406593406593408</v>
      </c>
      <c r="X709" s="4">
        <v>0.56593406593406592</v>
      </c>
    </row>
    <row r="710" spans="1:24" x14ac:dyDescent="0.25">
      <c r="A710" s="1" t="s">
        <v>139</v>
      </c>
      <c r="B710" s="1">
        <v>202103</v>
      </c>
      <c r="C710" s="2">
        <v>1</v>
      </c>
      <c r="D710" s="1" t="str">
        <f>INDEX(Codigos_Bens[Segmentação],MATCH(Base[[#This Row],[Código_do_segmento]],Codigos_Bens[Cod.],0))</f>
        <v>Imóveis</v>
      </c>
      <c r="E710">
        <v>21.564109999999999</v>
      </c>
      <c r="F710">
        <v>6</v>
      </c>
      <c r="G710">
        <v>0</v>
      </c>
      <c r="H710">
        <v>0</v>
      </c>
      <c r="I710">
        <v>273</v>
      </c>
      <c r="J710">
        <v>470</v>
      </c>
      <c r="K710">
        <v>206</v>
      </c>
      <c r="L710">
        <v>2903</v>
      </c>
      <c r="M710">
        <v>8</v>
      </c>
      <c r="N710">
        <v>2354</v>
      </c>
      <c r="O710">
        <v>27</v>
      </c>
      <c r="P710">
        <v>728</v>
      </c>
      <c r="Q710">
        <v>3277</v>
      </c>
      <c r="R710">
        <v>5</v>
      </c>
      <c r="S710">
        <v>153</v>
      </c>
      <c r="T710">
        <v>3109</v>
      </c>
      <c r="U710">
        <v>3277</v>
      </c>
      <c r="V710">
        <v>6386</v>
      </c>
      <c r="W710" s="4">
        <v>0.51315377388036332</v>
      </c>
      <c r="X710" s="4">
        <v>0.48684622611963668</v>
      </c>
    </row>
    <row r="711" spans="1:24" x14ac:dyDescent="0.25">
      <c r="A711" s="1" t="s">
        <v>139</v>
      </c>
      <c r="B711" s="1">
        <v>202103</v>
      </c>
      <c r="C711" s="2">
        <v>2</v>
      </c>
      <c r="D711" s="1" t="str">
        <f>INDEX(Codigos_Bens[Segmentação],MATCH(Base[[#This Row],[Código_do_segmento]],Codigos_Bens[Cod.],0))</f>
        <v>Veículos Pesados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s="4">
        <v>0</v>
      </c>
      <c r="X711" s="4">
        <v>0</v>
      </c>
    </row>
    <row r="712" spans="1:24" x14ac:dyDescent="0.25">
      <c r="A712" s="1" t="s">
        <v>139</v>
      </c>
      <c r="B712" s="1">
        <v>202103</v>
      </c>
      <c r="C712" s="2">
        <v>3</v>
      </c>
      <c r="D712" s="1" t="str">
        <f>INDEX(Codigos_Bens[Segmentação],MATCH(Base[[#This Row],[Código_do_segmento]],Codigos_Bens[Cod.],0))</f>
        <v>Veículos Leves</v>
      </c>
      <c r="E712">
        <v>15.1313</v>
      </c>
      <c r="F712">
        <v>12</v>
      </c>
      <c r="G712">
        <v>1</v>
      </c>
      <c r="H712">
        <v>0</v>
      </c>
      <c r="I712">
        <v>510</v>
      </c>
      <c r="J712">
        <v>205</v>
      </c>
      <c r="K712">
        <v>5741</v>
      </c>
      <c r="L712">
        <v>5809</v>
      </c>
      <c r="M712">
        <v>188</v>
      </c>
      <c r="N712">
        <v>9349</v>
      </c>
      <c r="O712">
        <v>866</v>
      </c>
      <c r="P712">
        <v>1335</v>
      </c>
      <c r="Q712">
        <v>6348</v>
      </c>
      <c r="R712">
        <v>1049</v>
      </c>
      <c r="S712">
        <v>639</v>
      </c>
      <c r="T712">
        <v>11550</v>
      </c>
      <c r="U712">
        <v>6348</v>
      </c>
      <c r="V712">
        <v>17898</v>
      </c>
      <c r="W712" s="4">
        <v>0.35467650016761648</v>
      </c>
      <c r="X712" s="4">
        <v>0.64532349983238346</v>
      </c>
    </row>
    <row r="713" spans="1:24" x14ac:dyDescent="0.25">
      <c r="A713" s="1" t="s">
        <v>139</v>
      </c>
      <c r="B713" s="1">
        <v>202103</v>
      </c>
      <c r="C713" s="2">
        <v>4</v>
      </c>
      <c r="D713" s="1" t="str">
        <f>INDEX(Codigos_Bens[Segmentação],MATCH(Base[[#This Row],[Código_do_segmento]],Codigos_Bens[Cod.],0))</f>
        <v>Motocicletas</v>
      </c>
      <c r="E713">
        <v>20.684360000000002</v>
      </c>
      <c r="F713">
        <v>215</v>
      </c>
      <c r="G713">
        <v>3</v>
      </c>
      <c r="H713">
        <v>7</v>
      </c>
      <c r="I713">
        <v>3038</v>
      </c>
      <c r="J713">
        <v>15708</v>
      </c>
      <c r="K713">
        <v>56442</v>
      </c>
      <c r="L713">
        <v>37031</v>
      </c>
      <c r="M713">
        <v>1343</v>
      </c>
      <c r="N713">
        <v>74990</v>
      </c>
      <c r="O713">
        <v>9482</v>
      </c>
      <c r="P713">
        <v>9001</v>
      </c>
      <c r="Q713">
        <v>133505</v>
      </c>
      <c r="R713">
        <v>17566</v>
      </c>
      <c r="S713">
        <v>5551</v>
      </c>
      <c r="T713">
        <v>93473</v>
      </c>
      <c r="U713">
        <v>133505</v>
      </c>
      <c r="V713">
        <v>226978</v>
      </c>
      <c r="W713" s="4">
        <v>0.58818475799416681</v>
      </c>
      <c r="X713" s="4">
        <v>0.41181524200583314</v>
      </c>
    </row>
    <row r="714" spans="1:24" x14ac:dyDescent="0.25">
      <c r="A714" s="1" t="s">
        <v>139</v>
      </c>
      <c r="B714" s="1">
        <v>202103</v>
      </c>
      <c r="C714" s="2">
        <v>5</v>
      </c>
      <c r="D714" s="1" t="str">
        <f>INDEX(Codigos_Bens[Segmentação],MATCH(Base[[#This Row],[Código_do_segmento]],Codigos_Bens[Cod.],0))</f>
        <v>Outros bens</v>
      </c>
      <c r="E714">
        <v>18.94342</v>
      </c>
      <c r="F714">
        <v>0</v>
      </c>
      <c r="G714">
        <v>0</v>
      </c>
      <c r="H714">
        <v>0</v>
      </c>
      <c r="I714">
        <v>146</v>
      </c>
      <c r="J714">
        <v>0</v>
      </c>
      <c r="K714">
        <v>2557</v>
      </c>
      <c r="L714">
        <v>1897</v>
      </c>
      <c r="M714">
        <v>71</v>
      </c>
      <c r="N714">
        <v>3700</v>
      </c>
      <c r="O714">
        <v>359</v>
      </c>
      <c r="P714">
        <v>395</v>
      </c>
      <c r="Q714">
        <v>3799</v>
      </c>
      <c r="R714">
        <v>891</v>
      </c>
      <c r="S714">
        <v>321</v>
      </c>
      <c r="T714">
        <v>4454</v>
      </c>
      <c r="U714">
        <v>3799</v>
      </c>
      <c r="V714">
        <v>8253</v>
      </c>
      <c r="W714" s="4">
        <v>0.46031746031746029</v>
      </c>
      <c r="X714" s="4">
        <v>0.53968253968253965</v>
      </c>
    </row>
    <row r="715" spans="1:24" x14ac:dyDescent="0.25">
      <c r="A715" s="1" t="s">
        <v>139</v>
      </c>
      <c r="B715" s="1">
        <v>202103</v>
      </c>
      <c r="C715" s="2">
        <v>6</v>
      </c>
      <c r="D715" s="1" t="str">
        <f>INDEX(Codigos_Bens[Segmentação],MATCH(Base[[#This Row],[Código_do_segmento]],Codigos_Bens[Cod.],0))</f>
        <v>Serviços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s="4">
        <v>0</v>
      </c>
      <c r="X715" s="4">
        <v>0</v>
      </c>
    </row>
    <row r="716" spans="1:24" x14ac:dyDescent="0.25">
      <c r="A716" s="1" t="s">
        <v>151</v>
      </c>
      <c r="B716" s="1">
        <v>202103</v>
      </c>
      <c r="C716" s="2">
        <v>1</v>
      </c>
      <c r="D716" s="1" t="str">
        <f>INDEX(Codigos_Bens[Segmentação],MATCH(Base[[#This Row],[Código_do_segmento]],Codigos_Bens[Cod.],0))</f>
        <v>Imóveis</v>
      </c>
      <c r="E716">
        <v>27.886209999999998</v>
      </c>
      <c r="F716">
        <v>8</v>
      </c>
      <c r="G716">
        <v>0</v>
      </c>
      <c r="H716">
        <v>1</v>
      </c>
      <c r="I716">
        <v>540</v>
      </c>
      <c r="J716">
        <v>2176</v>
      </c>
      <c r="K716">
        <v>1024</v>
      </c>
      <c r="L716">
        <v>3615</v>
      </c>
      <c r="M716">
        <v>18</v>
      </c>
      <c r="N716">
        <v>3795</v>
      </c>
      <c r="O716">
        <v>164</v>
      </c>
      <c r="P716">
        <v>680</v>
      </c>
      <c r="Q716">
        <v>24726</v>
      </c>
      <c r="R716">
        <v>127</v>
      </c>
      <c r="S716">
        <v>324</v>
      </c>
      <c r="T716">
        <v>4639</v>
      </c>
      <c r="U716">
        <v>24726</v>
      </c>
      <c r="V716">
        <v>29365</v>
      </c>
      <c r="W716" s="4">
        <v>0.84202281627788178</v>
      </c>
      <c r="X716" s="4">
        <v>0.15797718372211816</v>
      </c>
    </row>
    <row r="717" spans="1:24" x14ac:dyDescent="0.25">
      <c r="A717" s="1" t="s">
        <v>151</v>
      </c>
      <c r="B717" s="1">
        <v>202103</v>
      </c>
      <c r="C717" s="2">
        <v>2</v>
      </c>
      <c r="D717" s="1" t="str">
        <f>INDEX(Codigos_Bens[Segmentação],MATCH(Base[[#This Row],[Código_do_segmento]],Codigos_Bens[Cod.],0))</f>
        <v>Veículos Pesados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 s="4">
        <v>0</v>
      </c>
      <c r="X717" s="4">
        <v>0</v>
      </c>
    </row>
    <row r="718" spans="1:24" x14ac:dyDescent="0.25">
      <c r="A718" s="1" t="s">
        <v>151</v>
      </c>
      <c r="B718" s="1">
        <v>202103</v>
      </c>
      <c r="C718" s="2">
        <v>3</v>
      </c>
      <c r="D718" s="1" t="str">
        <f>INDEX(Codigos_Bens[Segmentação],MATCH(Base[[#This Row],[Código_do_segmento]],Codigos_Bens[Cod.],0))</f>
        <v>Veículos Leves</v>
      </c>
      <c r="E718">
        <v>22.408930000000002</v>
      </c>
      <c r="F718">
        <v>22</v>
      </c>
      <c r="G718">
        <v>0</v>
      </c>
      <c r="H718">
        <v>0</v>
      </c>
      <c r="I718">
        <v>235</v>
      </c>
      <c r="J718">
        <v>1701</v>
      </c>
      <c r="K718">
        <v>6218</v>
      </c>
      <c r="L718">
        <v>2501</v>
      </c>
      <c r="M718">
        <v>74</v>
      </c>
      <c r="N718">
        <v>6921</v>
      </c>
      <c r="O718">
        <v>1284</v>
      </c>
      <c r="P718">
        <v>514</v>
      </c>
      <c r="Q718">
        <v>26234</v>
      </c>
      <c r="R718">
        <v>2782</v>
      </c>
      <c r="S718">
        <v>531</v>
      </c>
      <c r="T718">
        <v>8719</v>
      </c>
      <c r="U718">
        <v>26234</v>
      </c>
      <c r="V718">
        <v>34953</v>
      </c>
      <c r="W718" s="4">
        <v>0.75055073956455809</v>
      </c>
      <c r="X718" s="4">
        <v>0.24944926043544188</v>
      </c>
    </row>
    <row r="719" spans="1:24" x14ac:dyDescent="0.25">
      <c r="A719" s="1" t="s">
        <v>151</v>
      </c>
      <c r="B719" s="1">
        <v>202103</v>
      </c>
      <c r="C719" s="2">
        <v>4</v>
      </c>
      <c r="D719" s="1" t="str">
        <f>INDEX(Codigos_Bens[Segmentação],MATCH(Base[[#This Row],[Código_do_segmento]],Codigos_Bens[Cod.],0))</f>
        <v>Motocicletas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 s="4">
        <v>0</v>
      </c>
      <c r="X719" s="4">
        <v>0</v>
      </c>
    </row>
    <row r="720" spans="1:24" x14ac:dyDescent="0.25">
      <c r="A720" s="1" t="s">
        <v>151</v>
      </c>
      <c r="B720" s="1">
        <v>202103</v>
      </c>
      <c r="C720" s="2">
        <v>5</v>
      </c>
      <c r="D720" s="1" t="str">
        <f>INDEX(Codigos_Bens[Segmentação],MATCH(Base[[#This Row],[Código_do_segmento]],Codigos_Bens[Cod.],0))</f>
        <v>Outros bens</v>
      </c>
      <c r="E720">
        <v>27.763159999999999</v>
      </c>
      <c r="F720">
        <v>1</v>
      </c>
      <c r="G720">
        <v>0</v>
      </c>
      <c r="H720">
        <v>0</v>
      </c>
      <c r="I720">
        <v>0</v>
      </c>
      <c r="J720">
        <v>260</v>
      </c>
      <c r="K720">
        <v>38</v>
      </c>
      <c r="L720">
        <v>0</v>
      </c>
      <c r="M720">
        <v>0</v>
      </c>
      <c r="N720">
        <v>30</v>
      </c>
      <c r="O720">
        <v>8</v>
      </c>
      <c r="P720">
        <v>0</v>
      </c>
      <c r="Q720">
        <v>353</v>
      </c>
      <c r="R720">
        <v>30</v>
      </c>
      <c r="S720">
        <v>2</v>
      </c>
      <c r="T720">
        <v>38</v>
      </c>
      <c r="U720">
        <v>353</v>
      </c>
      <c r="V720">
        <v>391</v>
      </c>
      <c r="W720" s="4">
        <v>0.90281329923273657</v>
      </c>
      <c r="X720" s="4">
        <v>9.718670076726342E-2</v>
      </c>
    </row>
    <row r="721" spans="1:24" x14ac:dyDescent="0.25">
      <c r="A721" s="1" t="s">
        <v>151</v>
      </c>
      <c r="B721" s="1">
        <v>202103</v>
      </c>
      <c r="C721" s="2">
        <v>6</v>
      </c>
      <c r="D721" s="1" t="str">
        <f>INDEX(Codigos_Bens[Segmentação],MATCH(Base[[#This Row],[Código_do_segmento]],Codigos_Bens[Cod.],0))</f>
        <v>Serviços</v>
      </c>
      <c r="E721">
        <v>28.25798</v>
      </c>
      <c r="F721">
        <v>2</v>
      </c>
      <c r="G721">
        <v>0</v>
      </c>
      <c r="H721">
        <v>0</v>
      </c>
      <c r="I721">
        <v>6</v>
      </c>
      <c r="J721">
        <v>225</v>
      </c>
      <c r="K721">
        <v>251</v>
      </c>
      <c r="L721">
        <v>56</v>
      </c>
      <c r="M721">
        <v>2</v>
      </c>
      <c r="N721">
        <v>208</v>
      </c>
      <c r="O721">
        <v>82</v>
      </c>
      <c r="P721">
        <v>17</v>
      </c>
      <c r="Q721">
        <v>922</v>
      </c>
      <c r="R721">
        <v>127</v>
      </c>
      <c r="S721">
        <v>18</v>
      </c>
      <c r="T721">
        <v>307</v>
      </c>
      <c r="U721">
        <v>922</v>
      </c>
      <c r="V721">
        <v>1229</v>
      </c>
      <c r="W721" s="4">
        <v>0.75020341741253049</v>
      </c>
      <c r="X721" s="4">
        <v>0.24979658258746948</v>
      </c>
    </row>
    <row r="722" spans="1:24" x14ac:dyDescent="0.25">
      <c r="A722" s="1" t="s">
        <v>140</v>
      </c>
      <c r="B722" s="1">
        <v>202103</v>
      </c>
      <c r="C722" s="2">
        <v>1</v>
      </c>
      <c r="D722" s="1" t="str">
        <f>INDEX(Codigos_Bens[Segmentação],MATCH(Base[[#This Row],[Código_do_segmento]],Codigos_Bens[Cod.],0))</f>
        <v>Imóveis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s="4">
        <v>0</v>
      </c>
      <c r="X722" s="4">
        <v>0</v>
      </c>
    </row>
    <row r="723" spans="1:24" x14ac:dyDescent="0.25">
      <c r="A723" s="1" t="s">
        <v>140</v>
      </c>
      <c r="B723" s="1">
        <v>202103</v>
      </c>
      <c r="C723" s="2">
        <v>2</v>
      </c>
      <c r="D723" s="1" t="str">
        <f>INDEX(Codigos_Bens[Segmentação],MATCH(Base[[#This Row],[Código_do_segmento]],Codigos_Bens[Cod.],0))</f>
        <v>Veículos Pesados</v>
      </c>
      <c r="E723">
        <v>14.98659</v>
      </c>
      <c r="F723">
        <v>4</v>
      </c>
      <c r="G723">
        <v>0</v>
      </c>
      <c r="H723">
        <v>0</v>
      </c>
      <c r="I723">
        <v>17</v>
      </c>
      <c r="J723">
        <v>140</v>
      </c>
      <c r="K723">
        <v>318</v>
      </c>
      <c r="L723">
        <v>1397</v>
      </c>
      <c r="M723">
        <v>23</v>
      </c>
      <c r="N723">
        <v>1566</v>
      </c>
      <c r="O723">
        <v>31</v>
      </c>
      <c r="P723">
        <v>118</v>
      </c>
      <c r="Q723">
        <v>164</v>
      </c>
      <c r="R723">
        <v>89</v>
      </c>
      <c r="S723">
        <v>22</v>
      </c>
      <c r="T723">
        <v>1715</v>
      </c>
      <c r="U723">
        <v>164</v>
      </c>
      <c r="V723">
        <v>1879</v>
      </c>
      <c r="W723" s="4">
        <v>8.7280468334220332E-2</v>
      </c>
      <c r="X723" s="4">
        <v>0.91271953166577968</v>
      </c>
    </row>
    <row r="724" spans="1:24" x14ac:dyDescent="0.25">
      <c r="A724" s="1" t="s">
        <v>140</v>
      </c>
      <c r="B724" s="1">
        <v>202103</v>
      </c>
      <c r="C724" s="2">
        <v>3</v>
      </c>
      <c r="D724" s="1" t="str">
        <f>INDEX(Codigos_Bens[Segmentação],MATCH(Base[[#This Row],[Código_do_segmento]],Codigos_Bens[Cod.],0))</f>
        <v>Veículos Leves</v>
      </c>
      <c r="E724">
        <v>13.14362</v>
      </c>
      <c r="F724">
        <v>2</v>
      </c>
      <c r="G724">
        <v>0</v>
      </c>
      <c r="H724">
        <v>0</v>
      </c>
      <c r="I724">
        <v>1</v>
      </c>
      <c r="J724">
        <v>93</v>
      </c>
      <c r="K724">
        <v>203</v>
      </c>
      <c r="L724">
        <v>361</v>
      </c>
      <c r="M724">
        <v>8</v>
      </c>
      <c r="N724">
        <v>548</v>
      </c>
      <c r="O724">
        <v>5</v>
      </c>
      <c r="P724">
        <v>11</v>
      </c>
      <c r="Q724">
        <v>106</v>
      </c>
      <c r="R724">
        <v>44</v>
      </c>
      <c r="S724">
        <v>12</v>
      </c>
      <c r="T724">
        <v>564</v>
      </c>
      <c r="U724">
        <v>106</v>
      </c>
      <c r="V724">
        <v>670</v>
      </c>
      <c r="W724" s="4">
        <v>0.15820895522388059</v>
      </c>
      <c r="X724" s="4">
        <v>0.84179104477611943</v>
      </c>
    </row>
    <row r="725" spans="1:24" x14ac:dyDescent="0.25">
      <c r="A725" s="1" t="s">
        <v>140</v>
      </c>
      <c r="B725" s="1">
        <v>202103</v>
      </c>
      <c r="C725" s="2">
        <v>4</v>
      </c>
      <c r="D725" s="1" t="str">
        <f>INDEX(Codigos_Bens[Segmentação],MATCH(Base[[#This Row],[Código_do_segmento]],Codigos_Bens[Cod.],0))</f>
        <v>Motocicletas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s="4">
        <v>0</v>
      </c>
      <c r="X725" s="4">
        <v>0</v>
      </c>
    </row>
    <row r="726" spans="1:24" x14ac:dyDescent="0.25">
      <c r="A726" s="1" t="s">
        <v>140</v>
      </c>
      <c r="B726" s="1">
        <v>202103</v>
      </c>
      <c r="C726" s="2">
        <v>5</v>
      </c>
      <c r="D726" s="1" t="str">
        <f>INDEX(Codigos_Bens[Segmentação],MATCH(Base[[#This Row],[Código_do_segmento]],Codigos_Bens[Cod.],0))</f>
        <v>Outros bens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s="4">
        <v>0</v>
      </c>
      <c r="X726" s="4">
        <v>0</v>
      </c>
    </row>
    <row r="727" spans="1:24" x14ac:dyDescent="0.25">
      <c r="A727" s="1" t="s">
        <v>140</v>
      </c>
      <c r="B727" s="1">
        <v>202103</v>
      </c>
      <c r="C727" s="2">
        <v>6</v>
      </c>
      <c r="D727" s="1" t="str">
        <f>INDEX(Codigos_Bens[Segmentação],MATCH(Base[[#This Row],[Código_do_segmento]],Codigos_Bens[Cod.],0))</f>
        <v>Serviços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s="4">
        <v>0</v>
      </c>
      <c r="X727" s="4">
        <v>0</v>
      </c>
    </row>
    <row r="728" spans="1:24" x14ac:dyDescent="0.25">
      <c r="A728" s="1" t="s">
        <v>141</v>
      </c>
      <c r="B728" s="1">
        <v>202103</v>
      </c>
      <c r="C728" s="2">
        <v>1</v>
      </c>
      <c r="D728" s="1" t="str">
        <f>INDEX(Codigos_Bens[Segmentação],MATCH(Base[[#This Row],[Código_do_segmento]],Codigos_Bens[Cod.],0))</f>
        <v>Imóveis</v>
      </c>
      <c r="E728">
        <v>21.992380000000001</v>
      </c>
      <c r="F728">
        <v>3</v>
      </c>
      <c r="G728">
        <v>0</v>
      </c>
      <c r="H728">
        <v>0</v>
      </c>
      <c r="I728">
        <v>65</v>
      </c>
      <c r="J728">
        <v>708</v>
      </c>
      <c r="K728">
        <v>446</v>
      </c>
      <c r="L728">
        <v>460</v>
      </c>
      <c r="M728">
        <v>3</v>
      </c>
      <c r="N728">
        <v>711</v>
      </c>
      <c r="O728">
        <v>63</v>
      </c>
      <c r="P728">
        <v>132</v>
      </c>
      <c r="Q728">
        <v>5951</v>
      </c>
      <c r="R728">
        <v>222</v>
      </c>
      <c r="S728">
        <v>47</v>
      </c>
      <c r="T728">
        <v>906</v>
      </c>
      <c r="U728">
        <v>5951</v>
      </c>
      <c r="V728">
        <v>6857</v>
      </c>
      <c r="W728" s="4">
        <v>0.86787224733848622</v>
      </c>
      <c r="X728" s="4">
        <v>0.13212775266151378</v>
      </c>
    </row>
    <row r="729" spans="1:24" x14ac:dyDescent="0.25">
      <c r="A729" s="1" t="s">
        <v>141</v>
      </c>
      <c r="B729" s="1">
        <v>202103</v>
      </c>
      <c r="C729" s="2">
        <v>2</v>
      </c>
      <c r="D729" s="1" t="str">
        <f>INDEX(Codigos_Bens[Segmentação],MATCH(Base[[#This Row],[Código_do_segmento]],Codigos_Bens[Cod.],0))</f>
        <v>Veículos Pesados</v>
      </c>
      <c r="E729">
        <v>14.421329999999999</v>
      </c>
      <c r="F729">
        <v>3</v>
      </c>
      <c r="G729">
        <v>1</v>
      </c>
      <c r="H729">
        <v>0</v>
      </c>
      <c r="I729">
        <v>167</v>
      </c>
      <c r="J729">
        <v>161</v>
      </c>
      <c r="K729">
        <v>120</v>
      </c>
      <c r="L729">
        <v>1522</v>
      </c>
      <c r="M729">
        <v>8</v>
      </c>
      <c r="N729">
        <v>1483</v>
      </c>
      <c r="O729">
        <v>15</v>
      </c>
      <c r="P729">
        <v>144</v>
      </c>
      <c r="Q729">
        <v>821</v>
      </c>
      <c r="R729">
        <v>9</v>
      </c>
      <c r="S729">
        <v>39</v>
      </c>
      <c r="T729">
        <v>1642</v>
      </c>
      <c r="U729">
        <v>821</v>
      </c>
      <c r="V729">
        <v>2463</v>
      </c>
      <c r="W729" s="4">
        <v>0.33333333333333331</v>
      </c>
      <c r="X729" s="4">
        <v>0.66666666666666663</v>
      </c>
    </row>
    <row r="730" spans="1:24" x14ac:dyDescent="0.25">
      <c r="A730" s="1" t="s">
        <v>141</v>
      </c>
      <c r="B730" s="1">
        <v>202103</v>
      </c>
      <c r="C730" s="2">
        <v>3</v>
      </c>
      <c r="D730" s="1" t="str">
        <f>INDEX(Codigos_Bens[Segmentação],MATCH(Base[[#This Row],[Código_do_segmento]],Codigos_Bens[Cod.],0))</f>
        <v>Veículos Leves</v>
      </c>
      <c r="E730">
        <v>18.026669999999999</v>
      </c>
      <c r="F730">
        <v>13</v>
      </c>
      <c r="G730">
        <v>0</v>
      </c>
      <c r="H730">
        <v>0</v>
      </c>
      <c r="I730">
        <v>222</v>
      </c>
      <c r="J730">
        <v>1658</v>
      </c>
      <c r="K730">
        <v>3615</v>
      </c>
      <c r="L730">
        <v>1928</v>
      </c>
      <c r="M730">
        <v>77</v>
      </c>
      <c r="N730">
        <v>4490</v>
      </c>
      <c r="O730">
        <v>627</v>
      </c>
      <c r="P730">
        <v>426</v>
      </c>
      <c r="Q730">
        <v>8527</v>
      </c>
      <c r="R730">
        <v>1368</v>
      </c>
      <c r="S730">
        <v>202</v>
      </c>
      <c r="T730">
        <v>5543</v>
      </c>
      <c r="U730">
        <v>8527</v>
      </c>
      <c r="V730">
        <v>14070</v>
      </c>
      <c r="W730" s="4">
        <v>0.60604122245913294</v>
      </c>
      <c r="X730" s="4">
        <v>0.39395877754086711</v>
      </c>
    </row>
    <row r="731" spans="1:24" x14ac:dyDescent="0.25">
      <c r="A731" s="1" t="s">
        <v>141</v>
      </c>
      <c r="B731" s="1">
        <v>202103</v>
      </c>
      <c r="C731" s="2">
        <v>4</v>
      </c>
      <c r="D731" s="1" t="str">
        <f>INDEX(Codigos_Bens[Segmentação],MATCH(Base[[#This Row],[Código_do_segmento]],Codigos_Bens[Cod.],0))</f>
        <v>Motocicletas</v>
      </c>
      <c r="E731">
        <v>20.06532</v>
      </c>
      <c r="F731">
        <v>24</v>
      </c>
      <c r="G731">
        <v>0</v>
      </c>
      <c r="H731">
        <v>0</v>
      </c>
      <c r="I731">
        <v>1243</v>
      </c>
      <c r="J731">
        <v>1968</v>
      </c>
      <c r="K731">
        <v>9863</v>
      </c>
      <c r="L731">
        <v>12960</v>
      </c>
      <c r="M731">
        <v>140</v>
      </c>
      <c r="N731">
        <v>19387</v>
      </c>
      <c r="O731">
        <v>1143</v>
      </c>
      <c r="P731">
        <v>2293</v>
      </c>
      <c r="Q731">
        <v>41080</v>
      </c>
      <c r="R731">
        <v>5554</v>
      </c>
      <c r="S731">
        <v>451</v>
      </c>
      <c r="T731">
        <v>22823</v>
      </c>
      <c r="U731">
        <v>41080</v>
      </c>
      <c r="V731">
        <v>63903</v>
      </c>
      <c r="W731" s="4">
        <v>0.64284931849834903</v>
      </c>
      <c r="X731" s="4">
        <v>0.35715068150165091</v>
      </c>
    </row>
    <row r="732" spans="1:24" x14ac:dyDescent="0.25">
      <c r="A732" s="1" t="s">
        <v>141</v>
      </c>
      <c r="B732" s="1">
        <v>202103</v>
      </c>
      <c r="C732" s="2">
        <v>5</v>
      </c>
      <c r="D732" s="1" t="str">
        <f>INDEX(Codigos_Bens[Segmentação],MATCH(Base[[#This Row],[Código_do_segmento]],Codigos_Bens[Cod.],0))</f>
        <v>Outros bens</v>
      </c>
      <c r="E732">
        <v>23.1282</v>
      </c>
      <c r="F732">
        <v>6</v>
      </c>
      <c r="G732">
        <v>0</v>
      </c>
      <c r="H732">
        <v>0</v>
      </c>
      <c r="I732">
        <v>336</v>
      </c>
      <c r="J732">
        <v>1297</v>
      </c>
      <c r="K732">
        <v>602</v>
      </c>
      <c r="L732">
        <v>3516</v>
      </c>
      <c r="M732">
        <v>51</v>
      </c>
      <c r="N732">
        <v>3084</v>
      </c>
      <c r="O732">
        <v>110</v>
      </c>
      <c r="P732">
        <v>924</v>
      </c>
      <c r="Q732">
        <v>3334</v>
      </c>
      <c r="R732">
        <v>101</v>
      </c>
      <c r="S732">
        <v>196</v>
      </c>
      <c r="T732">
        <v>4118</v>
      </c>
      <c r="U732">
        <v>3334</v>
      </c>
      <c r="V732">
        <v>7452</v>
      </c>
      <c r="W732" s="4">
        <v>0.44739667203435318</v>
      </c>
      <c r="X732" s="4">
        <v>0.55260332796564682</v>
      </c>
    </row>
    <row r="733" spans="1:24" x14ac:dyDescent="0.25">
      <c r="A733" s="1" t="s">
        <v>141</v>
      </c>
      <c r="B733" s="1">
        <v>202103</v>
      </c>
      <c r="C733" s="2">
        <v>6</v>
      </c>
      <c r="D733" s="1" t="str">
        <f>INDEX(Codigos_Bens[Segmentação],MATCH(Base[[#This Row],[Código_do_segmento]],Codigos_Bens[Cod.],0))</f>
        <v>Serviços</v>
      </c>
      <c r="E733">
        <v>24.623200000000001</v>
      </c>
      <c r="F733">
        <v>1</v>
      </c>
      <c r="G733">
        <v>0</v>
      </c>
      <c r="H733">
        <v>0</v>
      </c>
      <c r="I733">
        <v>14</v>
      </c>
      <c r="J733">
        <v>34</v>
      </c>
      <c r="K733">
        <v>65</v>
      </c>
      <c r="L733">
        <v>129</v>
      </c>
      <c r="M733">
        <v>4</v>
      </c>
      <c r="N733">
        <v>135</v>
      </c>
      <c r="O733">
        <v>26</v>
      </c>
      <c r="P733">
        <v>33</v>
      </c>
      <c r="Q733">
        <v>258</v>
      </c>
      <c r="R733">
        <v>13</v>
      </c>
      <c r="S733">
        <v>10</v>
      </c>
      <c r="T733">
        <v>194</v>
      </c>
      <c r="U733">
        <v>258</v>
      </c>
      <c r="V733">
        <v>452</v>
      </c>
      <c r="W733" s="4">
        <v>0.57079646017699115</v>
      </c>
      <c r="X733" s="4">
        <v>0.42920353982300885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DE8A-7DE0-4F4B-8541-6EB3C8D541E4}">
  <dimension ref="A1:B12"/>
  <sheetViews>
    <sheetView workbookViewId="0">
      <selection activeCell="B10" sqref="B10"/>
    </sheetView>
  </sheetViews>
  <sheetFormatPr defaultRowHeight="15" x14ac:dyDescent="0.25"/>
  <cols>
    <col min="1" max="1" width="10.5703125" customWidth="1"/>
    <col min="2" max="2" width="16.85546875" style="3" bestFit="1" customWidth="1"/>
  </cols>
  <sheetData>
    <row r="1" spans="1:2" x14ac:dyDescent="0.25">
      <c r="A1" s="2" t="s">
        <v>36</v>
      </c>
      <c r="B1" s="2" t="s">
        <v>43</v>
      </c>
    </row>
    <row r="2" spans="1:2" x14ac:dyDescent="0.25">
      <c r="A2" s="2">
        <v>1</v>
      </c>
      <c r="B2" s="3" t="s">
        <v>37</v>
      </c>
    </row>
    <row r="3" spans="1:2" x14ac:dyDescent="0.25">
      <c r="A3" s="2">
        <v>2</v>
      </c>
      <c r="B3" s="3" t="s">
        <v>38</v>
      </c>
    </row>
    <row r="4" spans="1:2" x14ac:dyDescent="0.25">
      <c r="A4" s="2">
        <v>3</v>
      </c>
      <c r="B4" s="3" t="s">
        <v>39</v>
      </c>
    </row>
    <row r="5" spans="1:2" x14ac:dyDescent="0.25">
      <c r="A5" s="2">
        <v>4</v>
      </c>
      <c r="B5" s="3" t="s">
        <v>40</v>
      </c>
    </row>
    <row r="6" spans="1:2" x14ac:dyDescent="0.25">
      <c r="A6" s="2">
        <v>5</v>
      </c>
      <c r="B6" s="3" t="s">
        <v>41</v>
      </c>
    </row>
    <row r="7" spans="1:2" x14ac:dyDescent="0.25">
      <c r="A7" s="2">
        <v>6</v>
      </c>
      <c r="B7" s="3" t="s">
        <v>42</v>
      </c>
    </row>
    <row r="9" spans="1:2" x14ac:dyDescent="0.25">
      <c r="A9" t="s">
        <v>44</v>
      </c>
      <c r="B9" s="3" t="s">
        <v>45</v>
      </c>
    </row>
    <row r="10" spans="1:2" x14ac:dyDescent="0.25">
      <c r="A10" t="s">
        <v>18</v>
      </c>
      <c r="B10" s="5">
        <f>SUBTOTAL(9,Base[Ativos])</f>
        <v>6190102</v>
      </c>
    </row>
    <row r="11" spans="1:2" x14ac:dyDescent="0.25">
      <c r="A11" t="s">
        <v>19</v>
      </c>
      <c r="B11" s="5">
        <f>SUBTOTAL(9,Base[Excluídos])</f>
        <v>5723953</v>
      </c>
    </row>
    <row r="12" spans="1:2" x14ac:dyDescent="0.25">
      <c r="A12" t="s">
        <v>20</v>
      </c>
      <c r="B12" s="5">
        <f>SUBTOTAL(9,Base[Comercializados])</f>
        <v>11914055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340B9C-994C-434E-A32D-A3FE4E0CA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Cód_Seg.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VENDAS04</dc:creator>
  <cp:lastModifiedBy>Unifisa Processos</cp:lastModifiedBy>
  <dcterms:created xsi:type="dcterms:W3CDTF">2021-01-04T18:44:15Z</dcterms:created>
  <dcterms:modified xsi:type="dcterms:W3CDTF">2021-05-11T18:11:11Z</dcterms:modified>
</cp:coreProperties>
</file>