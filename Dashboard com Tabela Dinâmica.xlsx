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hidePivotFieldList="1"/>
  <mc:AlternateContent xmlns:mc="http://schemas.openxmlformats.org/markup-compatibility/2006">
    <mc:Choice Requires="x15">
      <x15ac:absPath xmlns:x15ac="http://schemas.microsoft.com/office/spreadsheetml/2010/11/ac" url="D:\Silvane Mota\"/>
    </mc:Choice>
  </mc:AlternateContent>
  <xr:revisionPtr revIDLastSave="0" documentId="13_ncr:1_{4C679A26-61BC-47FA-80A7-A9CCBE46FC6F}" xr6:coauthVersionLast="46" xr6:coauthVersionMax="46" xr10:uidLastSave="{00000000-0000-0000-0000-000000000000}"/>
  <bookViews>
    <workbookView xWindow="-120" yWindow="-120" windowWidth="20730" windowHeight="11160" activeTab="3" xr2:uid="{00000000-000D-0000-FFFF-FFFF00000000}"/>
  </bookViews>
  <sheets>
    <sheet name="Tab Dinamicas" sheetId="3" r:id="rId1"/>
    <sheet name="Base" sheetId="2" r:id="rId2"/>
    <sheet name="Listas" sheetId="5" r:id="rId3"/>
    <sheet name="Dashboard" sheetId="6" r:id="rId4"/>
  </sheets>
  <definedNames>
    <definedName name="Ano_Anterior">'Tab Dinamicas'!$G$39:$K$50</definedName>
    <definedName name="Anos">Listas!$C$2:$C$5</definedName>
    <definedName name="DadosExternos_1" localSheetId="1" hidden="1">Base!$A$1:$J$1065</definedName>
    <definedName name="Foto_Dinamica">INDEX(Fotos,MATCH('Tab Dinamicas'!$B$19,Gerentes,0))</definedName>
    <definedName name="Fotos">Listas!$F$2:$F$4</definedName>
    <definedName name="Gerentes">Listas!$E$2:$E$4</definedName>
    <definedName name="Mês_Anterior">'Tab Dinamicas'!$B$39:$D$50</definedName>
    <definedName name="Meses">Listas!$A$2:$A$13</definedName>
    <definedName name="SegmentaçãodeDados_Anos">#N/A</definedName>
    <definedName name="SegmentaçãodeDados_Meses">#N/A</definedName>
    <definedName name="SegmentaçãodeDados_Vendedor2">#N/A</definedName>
    <definedName name="_xlnm.Print_Titles" localSheetId="0">'Tab Dinamicas'!$A:$A,'Tab Dinamicas'!$1:$3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3" l="1"/>
  <c r="C6" i="3"/>
  <c r="M7" i="3"/>
  <c r="O7" i="3"/>
  <c r="J4" i="6" s="1"/>
  <c r="K9" i="3"/>
  <c r="D4" i="6"/>
  <c r="J9" i="3"/>
  <c r="F4" i="6"/>
  <c r="C7" i="3"/>
  <c r="N7" i="3" l="1"/>
  <c r="H4" i="6" s="1"/>
  <c r="L7" i="3"/>
  <c r="K7" i="3"/>
  <c r="J7" i="3"/>
  <c r="G7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I7" i="3"/>
  <c r="H7" i="3"/>
  <c r="J8" i="3" l="1"/>
  <c r="L8" i="3"/>
  <c r="L9" i="3" s="1"/>
  <c r="L10" i="3" s="1"/>
  <c r="L11" i="3" s="1"/>
  <c r="K8" i="3"/>
  <c r="K10" i="3" s="1"/>
  <c r="M8" i="3"/>
  <c r="J10" i="3"/>
  <c r="I8" i="3"/>
  <c r="H8" i="3"/>
  <c r="M9" i="3" l="1"/>
  <c r="M10" i="3" s="1"/>
  <c r="M1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00000000-0015-0000-FFFF-FFFF01000000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00000000-0015-0000-FFFF-FFFF02000000}" keepAlive="1" name="Consulta - Parâmetro de Arquivo de Amostra1" description="Conexão com a consulta 'Parâmetro de Arquivo de Amostra1' na pasta de trabalho." type="5" refreshedVersion="0" background="1">
    <dbPr connection="Provider=Microsoft.Mashup.OleDb.1;Data Source=$Workbook$;Location=&quot;Parâmetro de Arquivo de Amostra1&quot;;Extended Properties=&quot;&quot;" command="SELECT * FROM [Parâmetro de Arquivo de Amostra1]"/>
  </connection>
  <connection id="4" xr16:uid="{00000000-0015-0000-FFFF-FFFF03000000}" keepAlive="1" name="Consulta - Parâmetro de Arquivo de Amostra2" description="Conexão com a consulta 'Parâmetro de Arquivo de Amostra2' na pasta de trabalho." type="5" refreshedVersion="0" background="1">
    <dbPr connection="Provider=Microsoft.Mashup.OleDb.1;Data Source=$Workbook$;Location=&quot;Parâmetro de Arquivo de Amostra2&quot;;Extended Properties=&quot;&quot;" command="SELECT * FROM [Parâmetro de Arquivo de Amostra2]"/>
  </connection>
  <connection id="5" xr16:uid="{00000000-0015-0000-FFFF-FFFF04000000}" keepAlive="1" name="Consulta - Transformar Arquivo de Treinamentos" description="Conexão com a consulta 'Transformar Arquivo de Treinamentos' na pasta de trabalho." type="5" refreshedVersion="0" background="1">
    <dbPr connection="Provider=Microsoft.Mashup.OleDb.1;Data Source=$Workbook$;Location=&quot;Transformar Arquivo de Treinamentos&quot;;Extended Properties=&quot;&quot;" command="SELECT * FROM [Transformar Arquivo de Treinamentos]"/>
  </connection>
  <connection id="6" xr16:uid="{00000000-0015-0000-FFFF-FFFF05000000}" keepAlive="1" name="Consulta - Transformar Arquivo de Treinamentos (2)" description="Conexão com a consulta 'Transformar Arquivo de Treinamentos (2)' na pasta de trabalho." type="5" refreshedVersion="0" background="1">
    <dbPr connection="Provider=Microsoft.Mashup.OleDb.1;Data Source=$Workbook$;Location=&quot;Transformar Arquivo de Treinamentos (2)&quot;;Extended Properties=&quot;&quot;" command="SELECT * FROM [Transformar Arquivo de Treinamentos (2)]"/>
  </connection>
  <connection id="7" xr16:uid="{00000000-0015-0000-FFFF-FFFF06000000}" keepAlive="1" name="Consulta - Transformar o Arquivo de Exemplo de Treinamentos" description="Conexão com a consulta 'Transformar o Arquivo de Exemplo de Treinamentos' na pasta de trabalho." type="5" refreshedVersion="0" background="1">
    <dbPr connection="Provider=Microsoft.Mashup.OleDb.1;Data Source=$Workbook$;Location=&quot;Transformar o Arquivo de Exemplo de Treinamentos&quot;;Extended Properties=&quot;&quot;" command="SELECT * FROM [Transformar o Arquivo de Exemplo de Treinamentos]"/>
  </connection>
  <connection id="8" xr16:uid="{00000000-0015-0000-FFFF-FFFF07000000}" keepAlive="1" name="Consulta - Transformar o Arquivo de Exemplo de Treinamentos (2)" description="Conexão com a consulta 'Transformar o Arquivo de Exemplo de Treinamentos (2)' na pasta de trabalho." type="5" refreshedVersion="0" background="1">
    <dbPr connection="Provider=Microsoft.Mashup.OleDb.1;Data Source=$Workbook$;Location=&quot;Transformar o Arquivo de Exemplo de Treinamentos (2)&quot;;Extended Properties=&quot;&quot;" command="SELECT * FROM [Transformar o Arquivo de Exemplo de Treinamentos (2)]"/>
  </connection>
  <connection id="9" xr16:uid="{00000000-0015-0000-FFFF-FFFF08000000}" keepAlive="1" name="Consulta - Treinamentos" description="Conexão com a consulta 'Treinamentos' na pasta de trabalho." type="5" refreshedVersion="6" background="1" saveData="1">
    <dbPr connection="Provider=Microsoft.Mashup.OleDb.1;Data Source=$Workbook$;Location=Treinamentos;Extended Properties=&quot;&quot;" command="SELECT * FROM [Treinamentos]"/>
  </connection>
</connections>
</file>

<file path=xl/sharedStrings.xml><?xml version="1.0" encoding="utf-8"?>
<sst xmlns="http://schemas.openxmlformats.org/spreadsheetml/2006/main" count="4468" uniqueCount="113">
  <si>
    <t>Turma</t>
  </si>
  <si>
    <t>Vendedor</t>
  </si>
  <si>
    <t>Treinamento</t>
  </si>
  <si>
    <t>Data Início</t>
  </si>
  <si>
    <t>Data Término</t>
  </si>
  <si>
    <t>Cliente</t>
  </si>
  <si>
    <t>Instrutor</t>
  </si>
  <si>
    <t>Feedback</t>
  </si>
  <si>
    <t>Alunos</t>
  </si>
  <si>
    <t>Valor</t>
  </si>
  <si>
    <t>Renato</t>
  </si>
  <si>
    <t>Outlook 2013</t>
  </si>
  <si>
    <t>Pessoa Jurídica</t>
  </si>
  <si>
    <t>Douglas</t>
  </si>
  <si>
    <t>Vanessa</t>
  </si>
  <si>
    <t>Access VBA 2013</t>
  </si>
  <si>
    <t>Roberto</t>
  </si>
  <si>
    <t>Rodrigo</t>
  </si>
  <si>
    <t>Excel Básico 2013</t>
  </si>
  <si>
    <t>Caio</t>
  </si>
  <si>
    <t>Word VBA 2013</t>
  </si>
  <si>
    <t>Pessoa Física</t>
  </si>
  <si>
    <t>Sérgio</t>
  </si>
  <si>
    <t>Outlook VBA 2013</t>
  </si>
  <si>
    <t>Sandra</t>
  </si>
  <si>
    <t>Adriana</t>
  </si>
  <si>
    <t>Excel VBA avançado 2013</t>
  </si>
  <si>
    <t>Rosana</t>
  </si>
  <si>
    <t>Katia</t>
  </si>
  <si>
    <t>Excel Avançado 2013</t>
  </si>
  <si>
    <t>Priscila</t>
  </si>
  <si>
    <t>Excel VBA iniciante 2013</t>
  </si>
  <si>
    <t>Humberto</t>
  </si>
  <si>
    <t>Paulo</t>
  </si>
  <si>
    <t>Fernando</t>
  </si>
  <si>
    <t>PowerPoint 2013</t>
  </si>
  <si>
    <t>Ana</t>
  </si>
  <si>
    <t>Mirian</t>
  </si>
  <si>
    <t>Manuel</t>
  </si>
  <si>
    <t>PowerPoint VBA 2013</t>
  </si>
  <si>
    <t>Excel Intermediário 2013</t>
  </si>
  <si>
    <t>Murilo</t>
  </si>
  <si>
    <t>Leandro</t>
  </si>
  <si>
    <t>DashBoard 2013</t>
  </si>
  <si>
    <t>José</t>
  </si>
  <si>
    <t>Access 2013</t>
  </si>
  <si>
    <t>Henrique</t>
  </si>
  <si>
    <t>Joaquim</t>
  </si>
  <si>
    <t>Jane</t>
  </si>
  <si>
    <t>Access 2016</t>
  </si>
  <si>
    <t>Excel Básico 2016</t>
  </si>
  <si>
    <t>Excel VBA iniciante 2016</t>
  </si>
  <si>
    <t>Word VBA 2016</t>
  </si>
  <si>
    <t>DashBoard 2016</t>
  </si>
  <si>
    <t>Excel Avançado 2016</t>
  </si>
  <si>
    <t>Excel VBA avançado 2016</t>
  </si>
  <si>
    <t>Access VBA 2016</t>
  </si>
  <si>
    <t>Excel Intermediário 2016</t>
  </si>
  <si>
    <t>Outlook VBA 2016</t>
  </si>
  <si>
    <t>PowerPoint 2016</t>
  </si>
  <si>
    <t>Outlook 2016</t>
  </si>
  <si>
    <t>PowerPoint VBA 2016</t>
  </si>
  <si>
    <t>Total</t>
  </si>
  <si>
    <t>Total Geral</t>
  </si>
  <si>
    <t>2016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</si>
  <si>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</si>
  <si>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</si>
  <si>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</si>
  <si>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</si>
  <si>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</si>
  <si>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</si>
  <si>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</si>
  <si>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</si>
  <si>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</si>
  <si>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</si>
  <si>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</si>
  <si>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</si>
  <si>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2017</t>
  </si>
  <si>
    <t>Anos</t>
  </si>
  <si>
    <t>Soma de Total</t>
  </si>
  <si>
    <t>Barbara</t>
  </si>
  <si>
    <t>Silvane</t>
  </si>
  <si>
    <t>Wellington</t>
  </si>
  <si>
    <t>Gerentes</t>
  </si>
  <si>
    <t>Contagem de Total</t>
  </si>
  <si>
    <t>2018</t>
  </si>
  <si>
    <t>MoM %</t>
  </si>
  <si>
    <t>Meses</t>
  </si>
  <si>
    <t>Gerente</t>
  </si>
  <si>
    <t>% R$</t>
  </si>
  <si>
    <t>% Cont</t>
  </si>
  <si>
    <t>Maior R$</t>
  </si>
  <si>
    <t>Maior Cont</t>
  </si>
  <si>
    <t>Média R$</t>
  </si>
  <si>
    <t>Média Cont.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</si>
  <si>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</si>
  <si>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</si>
  <si>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</si>
  <si>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</si>
  <si>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</si>
  <si>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</si>
  <si>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</si>
  <si>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</si>
  <si>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</si>
  <si>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</si>
  <si>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</si>
  <si>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</si>
  <si>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 Anterior</t>
  </si>
  <si>
    <t>Ano Anterior</t>
  </si>
  <si>
    <t>Total R$</t>
  </si>
  <si>
    <t>Contagem</t>
  </si>
  <si>
    <t>Vendas R$</t>
  </si>
  <si>
    <t>YoY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</si>
</sst>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&quot;R$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Agency FB"/>
      <family val="2"/>
    </font>
    <font>
      <sz val="11"/>
      <color theme="0"/>
      <name val="Agency FB"/>
      <family val="2"/>
    </font>
    <font>
      <b/>
      <sz val="11"/>
      <color theme="0"/>
      <name val="Agency FB"/>
      <family val="2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NumberFormat="1"/>
    <xf numFmtId="22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6" fontId="0" fillId="0" borderId="0" xfId="0" applyNumberFormat="1"/>
    <xf numFmtId="10" fontId="0" fillId="0" borderId="0" xfId="0" applyNumberFormat="1"/>
    <xf numFmtId="10" fontId="0" fillId="0" borderId="0" xfId="2" applyNumberFormat="1" applyFont="1"/>
    <xf numFmtId="0" fontId="2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/>
    <xf numFmtId="164" fontId="3" fillId="9" borderId="0" xfId="1" applyNumberFormat="1" applyFont="1" applyFill="1"/>
    <xf numFmtId="0" fontId="5" fillId="6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3" fillId="2" borderId="0" xfId="0" applyFont="1" applyFill="1"/>
    <xf numFmtId="0" fontId="5" fillId="4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3" fillId="8" borderId="0" xfId="0" applyFont="1" applyFill="1"/>
    <xf numFmtId="0" fontId="5" fillId="3" borderId="0" xfId="0" applyFont="1" applyFill="1" applyAlignment="1">
      <alignment horizontal="right"/>
    </xf>
    <xf numFmtId="10" fontId="3" fillId="10" borderId="0" xfId="0" applyNumberFormat="1" applyFont="1" applyFill="1"/>
    <xf numFmtId="10" fontId="3" fillId="7" borderId="0" xfId="0" applyNumberFormat="1" applyFont="1" applyFill="1"/>
    <xf numFmtId="164" fontId="0" fillId="0" borderId="0" xfId="1" applyNumberFormat="1" applyFont="1"/>
    <xf numFmtId="0" fontId="0" fillId="0" borderId="0" xfId="0" applyAlignment="1">
      <alignment horizontal="left" vertical="center"/>
    </xf>
  </cellXfs>
  <cellStyles count="3">
    <cellStyle name="Moeda" xfId="1" builtinId="4"/>
    <cellStyle name="Normal" xfId="0" builtinId="0"/>
    <cellStyle name="Porcentagem" xfId="2" builtinId="5"/>
  </cellStyles>
  <dxfs count="98">
    <dxf>
      <numFmt numFmtId="12" formatCode="&quot;R$&quot;\ #,##0.00;[Red]\-&quot;R$&quot;\ #,##0.00"/>
    </dxf>
    <dxf>
      <numFmt numFmtId="165" formatCode="&quot;R$&quot;\ #,##0.0;[Red]\-&quot;R$&quot;\ #,##0.0"/>
    </dxf>
    <dxf>
      <numFmt numFmtId="10" formatCode="&quot;R$&quot;\ #,##0;[Red]\-&quot;R$&quot;\ #,##0"/>
    </dxf>
    <dxf>
      <numFmt numFmtId="14" formatCode="0.00%"/>
    </dxf>
    <dxf>
      <numFmt numFmtId="12" formatCode="&quot;R$&quot;\ #,##0.00;[Red]\-&quot;R$&quot;\ #,##0.00"/>
    </dxf>
    <dxf>
      <numFmt numFmtId="165" formatCode="&quot;R$&quot;\ #,##0.0;[Red]\-&quot;R$&quot;\ #,##0.0"/>
    </dxf>
    <dxf>
      <numFmt numFmtId="10" formatCode="&quot;R$&quot;\ #,##0;[Red]\-&quot;R$&quot;\ #,##0"/>
    </dxf>
    <dxf>
      <numFmt numFmtId="14" formatCode="0.00%"/>
    </dxf>
    <dxf>
      <numFmt numFmtId="12" formatCode="&quot;R$&quot;\ #,##0.00;[Red]\-&quot;R$&quot;\ #,##0.00"/>
    </dxf>
    <dxf>
      <numFmt numFmtId="165" formatCode="&quot;R$&quot;\ #,##0.0;[Red]\-&quot;R$&quot;\ #,##0.0"/>
    </dxf>
    <dxf>
      <numFmt numFmtId="10" formatCode="&quot;R$&quot;\ #,##0;[Red]\-&quot;R$&quot;\ #,##0"/>
    </dxf>
    <dxf>
      <numFmt numFmtId="14" formatCode="0.00%"/>
    </dxf>
    <dxf>
      <numFmt numFmtId="12" formatCode="&quot;R$&quot;\ #,##0.00;[Red]\-&quot;R$&quot;\ #,##0.00"/>
    </dxf>
    <dxf>
      <numFmt numFmtId="165" formatCode="&quot;R$&quot;\ #,##0.0;[Red]\-&quot;R$&quot;\ #,##0.0"/>
    </dxf>
    <dxf>
      <numFmt numFmtId="10" formatCode="&quot;R$&quot;\ #,##0;[Red]\-&quot;R$&quot;\ #,##0"/>
    </dxf>
    <dxf>
      <numFmt numFmtId="0" formatCode="General"/>
    </dxf>
    <dxf>
      <numFmt numFmtId="14" formatCode="0.00%"/>
    </dxf>
    <dxf>
      <numFmt numFmtId="12" formatCode="&quot;R$&quot;\ #,##0.00;[Red]\-&quot;R$&quot;\ #,##0.00"/>
    </dxf>
    <dxf>
      <numFmt numFmtId="165" formatCode="&quot;R$&quot;\ #,##0.0;[Red]\-&quot;R$&quot;\ #,##0.0"/>
    </dxf>
    <dxf>
      <numFmt numFmtId="10" formatCode="&quot;R$&quot;\ #,##0;[Red]\-&quot;R$&quot;\ #,##0"/>
    </dxf>
    <dxf>
      <numFmt numFmtId="14" formatCode="0.00%"/>
    </dxf>
    <dxf>
      <numFmt numFmtId="12" formatCode="&quot;R$&quot;\ #,##0.00;[Red]\-&quot;R$&quot;\ #,##0.00"/>
    </dxf>
    <dxf>
      <numFmt numFmtId="165" formatCode="&quot;R$&quot;\ #,##0.0;[Red]\-&quot;R$&quot;\ #,##0.0"/>
    </dxf>
    <dxf>
      <numFmt numFmtId="10" formatCode="&quot;R$&quot;\ #,##0;[Red]\-&quot;R$&quot;\ #,##0"/>
    </dxf>
    <dxf>
      <numFmt numFmtId="0" formatCode="General"/>
    </dxf>
    <dxf>
      <numFmt numFmtId="12" formatCode="&quot;R$&quot;\ #,##0.00;[Red]\-&quot;R$&quot;\ #,##0.00"/>
    </dxf>
    <dxf>
      <numFmt numFmtId="165" formatCode="&quot;R$&quot;\ #,##0.0;[Red]\-&quot;R$&quot;\ #,##0.0"/>
    </dxf>
    <dxf>
      <numFmt numFmtId="10" formatCode="&quot;R$&quot;\ #,##0;[Red]\-&quot;R$&quot;\ #,##0"/>
    </dxf>
    <dxf>
      <numFmt numFmtId="0" formatCode="General"/>
    </dxf>
    <dxf>
      <numFmt numFmtId="12" formatCode="&quot;R$&quot;\ #,##0.00;[Red]\-&quot;R$&quot;\ #,##0.00"/>
    </dxf>
    <dxf>
      <numFmt numFmtId="165" formatCode="&quot;R$&quot;\ #,##0.0;[Red]\-&quot;R$&quot;\ #,##0.0"/>
    </dxf>
    <dxf>
      <numFmt numFmtId="10" formatCode="&quot;R$&quot;\ #,##0;[Red]\-&quot;R$&quot;\ #,##0"/>
    </dxf>
    <dxf>
      <numFmt numFmtId="0" formatCode="General"/>
    </dxf>
    <dxf>
      <numFmt numFmtId="12" formatCode="&quot;R$&quot;\ #,##0.00;[Red]\-&quot;R$&quot;\ #,##0.00"/>
    </dxf>
    <dxf>
      <numFmt numFmtId="165" formatCode="&quot;R$&quot;\ #,##0.0;[Red]\-&quot;R$&quot;\ #,##0.0"/>
    </dxf>
    <dxf>
      <numFmt numFmtId="10" formatCode="&quot;R$&quot;\ #,##0;[Red]\-&quot;R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14" formatCode="0.00%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14" formatCode="0.00%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14" formatCode="0.00%"/>
    </dxf>
    <dxf>
      <numFmt numFmtId="0" formatCode="General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0" formatCode="General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14" formatCode="0.00%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14" formatCode="0.00%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0" formatCode="General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14" formatCode="0.00%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0" formatCode="General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0" formatCode="General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numFmt numFmtId="14" formatCode="0.00%"/>
    </dxf>
    <dxf>
      <numFmt numFmtId="0" formatCode="General"/>
    </dxf>
    <dxf>
      <numFmt numFmtId="10" formatCode="&quot;R$&quot;\ #,##0;[Red]\-&quot;R$&quot;\ #,##0"/>
    </dxf>
    <dxf>
      <numFmt numFmtId="165" formatCode="&quot;R$&quot;\ #,##0.0;[Red]\-&quot;R$&quot;\ #,##0.0"/>
    </dxf>
    <dxf>
      <numFmt numFmtId="12" formatCode="&quot;R$&quot;\ #,##0.00;[Red]\-&quot;R$&quot;\ #,##0.00"/>
    </dxf>
    <dxf>
      <font>
        <b/>
        <i val="0"/>
        <color theme="0"/>
      </font>
      <fill>
        <patternFill patternType="none">
          <bgColor auto="1"/>
        </patternFill>
      </fill>
      <border>
        <bottom style="thin">
          <color theme="9"/>
        </bottom>
        <vertical/>
        <horizontal/>
      </border>
    </dxf>
    <dxf>
      <fill>
        <patternFill patternType="solid"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Painel" pivot="0" table="0" count="10" xr9:uid="{00000000-0011-0000-FFFF-FFFF00000000}">
      <tableStyleElement type="wholeTable" dxfId="97"/>
      <tableStyleElement type="headerRow" dxfId="96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Painel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E7A-467E-AECD-11F713064E9E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E7A-467E-AECD-11F713064E9E}"/>
              </c:ext>
            </c:extLst>
          </c:dPt>
          <c:val>
            <c:numRef>
              <c:f>'Tab Dinamicas'!$H$7:$H$8</c:f>
              <c:numCache>
                <c:formatCode>0.00%</c:formatCode>
                <c:ptCount val="2"/>
                <c:pt idx="0">
                  <c:v>0.27287535410764874</c:v>
                </c:pt>
                <c:pt idx="1">
                  <c:v>0.72712464589235126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7A-467E-AECD-11F713064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E7A-467E-AECD-11F713064E9E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E7A-467E-AECD-11F713064E9E}"/>
              </c:ext>
            </c:extLst>
          </c:dPt>
          <c:val>
            <c:numRef>
              <c:f>'Tab Dinamicas'!$I$7:$I$8</c:f>
              <c:numCache>
                <c:formatCode>0.00%</c:formatCode>
                <c:ptCount val="2"/>
                <c:pt idx="0">
                  <c:v>0.3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7A-467E-AECD-11F713064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2E-4B62-AE63-A631E50E34DB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12E-4B62-AE63-A631E50E34DB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12E-4B62-AE63-A631E50E34DB}"/>
              </c:ext>
            </c:extLst>
          </c:dPt>
          <c:val>
            <c:numRef>
              <c:f>'Tab Dinamicas'!$J$8:$J$10</c:f>
              <c:numCache>
                <c:formatCode>"R$"\ #,##0</c:formatCode>
                <c:ptCount val="3"/>
                <c:pt idx="0" formatCode="&quot;R$&quot;#,##0_);[Red]\(&quot;R$&quot;#,##0\)">
                  <c:v>5549</c:v>
                </c:pt>
                <c:pt idx="1">
                  <c:v>3853</c:v>
                </c:pt>
                <c:pt idx="2" formatCode="&quot;R$&quot;#,##0_);[Red]\(&quot;R$&quot;#,##0\)">
                  <c:v>1696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2E-4B62-AE63-A631E50E3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2E-4B62-AE63-A631E50E34DB}"/>
              </c:ext>
            </c:extLst>
          </c:dPt>
          <c:dPt>
            <c:idx val="1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12E-4B62-AE63-A631E50E34DB}"/>
              </c:ext>
            </c:extLst>
          </c:dPt>
          <c:dPt>
            <c:idx val="2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12E-4B62-AE63-A631E50E34DB}"/>
              </c:ext>
            </c:extLst>
          </c:dPt>
          <c:val>
            <c:numRef>
              <c:f>'Tab Dinamicas'!$K$8:$K$10</c:f>
              <c:numCache>
                <c:formatCode>General</c:formatCode>
                <c:ptCount val="3"/>
                <c:pt idx="0">
                  <c:v>11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2E-4B62-AE63-A631E50E3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DE-40F9-9832-1DE17811D46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DE-40F9-9832-1DE17811D46D}"/>
              </c:ext>
            </c:extLst>
          </c:dPt>
          <c:dPt>
            <c:idx val="2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381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DE-40F9-9832-1DE17811D46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9DE-40F9-9832-1DE17811D46D}"/>
              </c:ext>
            </c:extLst>
          </c:dPt>
          <c:val>
            <c:numRef>
              <c:f>'Tab Dinamicas'!$L$8:$L$11</c:f>
              <c:numCache>
                <c:formatCode>"R$"#,##0_);[Red]\("R$"#,##0\)</c:formatCode>
                <c:ptCount val="4"/>
                <c:pt idx="0">
                  <c:v>5549</c:v>
                </c:pt>
                <c:pt idx="1">
                  <c:v>5542.083333333333</c:v>
                </c:pt>
                <c:pt idx="2" formatCode="General">
                  <c:v>44.336666666666666</c:v>
                </c:pt>
                <c:pt idx="3">
                  <c:v>-37.419999999999696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DE-40F9-9832-1DE17811D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DE-40F9-9832-1DE17811D46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DE-40F9-9832-1DE17811D46D}"/>
              </c:ext>
            </c:extLst>
          </c:dPt>
          <c:dPt>
            <c:idx val="2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381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DE-40F9-9832-1DE17811D46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9DE-40F9-9832-1DE17811D46D}"/>
              </c:ext>
            </c:extLst>
          </c:dPt>
          <c:val>
            <c:numRef>
              <c:f>'Tab Dinamicas'!$M$8:$M$11</c:f>
              <c:numCache>
                <c:formatCode>General</c:formatCode>
                <c:ptCount val="4"/>
                <c:pt idx="0">
                  <c:v>11</c:v>
                </c:pt>
                <c:pt idx="1">
                  <c:v>11</c:v>
                </c:pt>
                <c:pt idx="2">
                  <c:v>8.7999999999999995E-2</c:v>
                </c:pt>
                <c:pt idx="3">
                  <c:v>-8.7999999999999995E-2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DE-40F9-9832-1DE17811D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com Tabela Dinâmica.xlsx]Tab Dinamicas!Tabela dinâmica1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l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0" tIns="0" rIns="0" bIns="0" anchor="ctr" anchorCtr="0">
              <a:spAutoFit/>
            </a:bodyPr>
            <a:lstStyle/>
            <a:p>
              <a:pPr algn="l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0" tIns="0" rIns="0" bIns="0" anchor="ctr" anchorCtr="0">
              <a:spAutoFit/>
            </a:bodyPr>
            <a:lstStyle/>
            <a:p>
              <a:pPr algn="l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0" tIns="0" rIns="0" bIns="0" anchor="ctr" anchorCtr="0">
              <a:spAutoFit/>
            </a:bodyPr>
            <a:lstStyle/>
            <a:p>
              <a:pPr algn="l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 Dinamicas'!$B$13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9B2-416E-B4EF-3763896BB60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9B2-416E-B4EF-3763896BB60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9B2-416E-B4EF-3763896BB60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0" tIns="0" rIns="0" bIns="0" anchor="ctr" anchorCtr="0">
                  <a:spAutoFit/>
                </a:bodyPr>
                <a:lstStyle/>
                <a:p>
                  <a:pPr algn="l"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99B2-416E-B4EF-3763896BB60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0" tIns="0" rIns="0" bIns="0" anchor="ctr" anchorCtr="0">
                  <a:spAutoFit/>
                </a:bodyPr>
                <a:lstStyle/>
                <a:p>
                  <a:pPr algn="l"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99B2-416E-B4EF-3763896BB60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0" tIns="0" rIns="0" bIns="0" anchor="ctr" anchorCtr="0">
                  <a:spAutoFit/>
                </a:bodyPr>
                <a:lstStyle/>
                <a:p>
                  <a:pPr algn="l"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99B2-416E-B4EF-3763896BB6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Dinamicas'!$A$14:$A$17</c:f>
              <c:strCache>
                <c:ptCount val="3"/>
                <c:pt idx="0">
                  <c:v>Wellington</c:v>
                </c:pt>
                <c:pt idx="1">
                  <c:v>Barbara</c:v>
                </c:pt>
                <c:pt idx="2">
                  <c:v>Silvane</c:v>
                </c:pt>
              </c:strCache>
            </c:strRef>
          </c:cat>
          <c:val>
            <c:numRef>
              <c:f>'Tab Dinamicas'!$B$14:$B$17</c:f>
              <c:numCache>
                <c:formatCode>"R$"#,##0_);[Red]\("R$"#,##0\)</c:formatCode>
                <c:ptCount val="3"/>
                <c:pt idx="0">
                  <c:v>5549</c:v>
                </c:pt>
                <c:pt idx="1">
                  <c:v>4718</c:v>
                </c:pt>
                <c:pt idx="2">
                  <c:v>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2-416E-B4EF-3763896BB6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91863760"/>
        <c:axId val="1799162000"/>
      </c:barChart>
      <c:catAx>
        <c:axId val="1491863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9162000"/>
        <c:crosses val="autoZero"/>
        <c:auto val="1"/>
        <c:lblAlgn val="ctr"/>
        <c:lblOffset val="100"/>
        <c:noMultiLvlLbl val="0"/>
      </c:catAx>
      <c:valAx>
        <c:axId val="1799162000"/>
        <c:scaling>
          <c:orientation val="minMax"/>
        </c:scaling>
        <c:delete val="1"/>
        <c:axPos val="b"/>
        <c:numFmt formatCode="&quot;R$&quot;#,##0_);[Red]\(&quot;R$&quot;#,##0\)" sourceLinked="1"/>
        <c:majorTickMark val="none"/>
        <c:minorTickMark val="none"/>
        <c:tickLblPos val="nextTo"/>
        <c:crossAx val="149186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 com Tabela Dinâmica.xlsx]Tab Dinamicas!Tabela dinâmica5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Dinamicas'!$E$13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Dinamicas'!$D$14:$D$17</c:f>
              <c:strCache>
                <c:ptCount val="3"/>
                <c:pt idx="0">
                  <c:v>Wellington</c:v>
                </c:pt>
                <c:pt idx="1">
                  <c:v>Barbara</c:v>
                </c:pt>
                <c:pt idx="2">
                  <c:v>Silvane</c:v>
                </c:pt>
              </c:strCache>
            </c:strRef>
          </c:cat>
          <c:val>
            <c:numRef>
              <c:f>'Tab Dinamicas'!$E$14:$E$17</c:f>
              <c:numCache>
                <c:formatCode>General</c:formatCode>
                <c:ptCount val="3"/>
                <c:pt idx="0">
                  <c:v>11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2-416E-B4EF-3763896BB6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91863760"/>
        <c:axId val="1799162000"/>
      </c:barChart>
      <c:catAx>
        <c:axId val="149186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9162000"/>
        <c:crosses val="autoZero"/>
        <c:auto val="1"/>
        <c:lblAlgn val="ctr"/>
        <c:lblOffset val="100"/>
        <c:noMultiLvlLbl val="0"/>
      </c:catAx>
      <c:valAx>
        <c:axId val="1799162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186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com Tabela Dinâmica.xlsx]Tab Dinamicas!Tabela dinâmica9</c:name>
    <c:fmtId val="2"/>
  </c:pivotSource>
  <c:chart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4450" cap="rnd">
            <a:solidFill>
              <a:schemeClr val="accent5">
                <a:lumMod val="50000"/>
              </a:schemeClr>
            </a:solidFill>
            <a:round/>
            <a:tailEnd type="triangl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Dinamicas'!$B$21</c:f>
              <c:strCache>
                <c:ptCount val="1"/>
                <c:pt idx="0">
                  <c:v>Vendas R$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 Dinamicas'!$A$22:$A$33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 Dinamicas'!$B$22:$B$33</c:f>
              <c:numCache>
                <c:formatCode>"R$"#,##0_);[Red]\("R$"#,##0\)</c:formatCode>
                <c:ptCount val="12"/>
                <c:pt idx="0">
                  <c:v>5675</c:v>
                </c:pt>
                <c:pt idx="1">
                  <c:v>6209</c:v>
                </c:pt>
                <c:pt idx="2">
                  <c:v>6386</c:v>
                </c:pt>
                <c:pt idx="3">
                  <c:v>7987</c:v>
                </c:pt>
                <c:pt idx="4">
                  <c:v>6064</c:v>
                </c:pt>
                <c:pt idx="5">
                  <c:v>4232</c:v>
                </c:pt>
                <c:pt idx="6">
                  <c:v>2842</c:v>
                </c:pt>
                <c:pt idx="7">
                  <c:v>5987</c:v>
                </c:pt>
                <c:pt idx="8">
                  <c:v>3853</c:v>
                </c:pt>
                <c:pt idx="9">
                  <c:v>5308</c:v>
                </c:pt>
                <c:pt idx="10">
                  <c:v>4416</c:v>
                </c:pt>
                <c:pt idx="11">
                  <c:v>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6-4DE0-9BD9-3DA73EDC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7949264"/>
        <c:axId val="1495604384"/>
      </c:barChart>
      <c:lineChart>
        <c:grouping val="standard"/>
        <c:varyColors val="0"/>
        <c:ser>
          <c:idx val="1"/>
          <c:order val="1"/>
          <c:tx>
            <c:strRef>
              <c:f>'Tab Dinamicas'!$C$21</c:f>
              <c:strCache>
                <c:ptCount val="1"/>
                <c:pt idx="0">
                  <c:v>Contagem</c:v>
                </c:pt>
              </c:strCache>
            </c:strRef>
          </c:tx>
          <c:spPr>
            <a:ln w="44450" cap="rnd">
              <a:solidFill>
                <a:schemeClr val="accent5">
                  <a:lumMod val="50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strRef>
              <c:f>'Tab Dinamicas'!$A$22:$A$33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 Dinamicas'!$C$22:$C$33</c:f>
              <c:numCache>
                <c:formatCode>General</c:formatCode>
                <c:ptCount val="12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18</c:v>
                </c:pt>
                <c:pt idx="4">
                  <c:v>11</c:v>
                </c:pt>
                <c:pt idx="5">
                  <c:v>10</c:v>
                </c:pt>
                <c:pt idx="6">
                  <c:v>7</c:v>
                </c:pt>
                <c:pt idx="7">
                  <c:v>14</c:v>
                </c:pt>
                <c:pt idx="8">
                  <c:v>9</c:v>
                </c:pt>
                <c:pt idx="9">
                  <c:v>10</c:v>
                </c:pt>
                <c:pt idx="10">
                  <c:v>9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46-4DE0-9BD9-3DA73EDC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471984"/>
        <c:axId val="1812466160"/>
      </c:lineChart>
      <c:catAx>
        <c:axId val="14979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5604384"/>
        <c:crosses val="autoZero"/>
        <c:auto val="1"/>
        <c:lblAlgn val="ctr"/>
        <c:lblOffset val="100"/>
        <c:noMultiLvlLbl val="0"/>
      </c:catAx>
      <c:valAx>
        <c:axId val="14956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_);[Red]\(&quot;R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949264"/>
        <c:crosses val="autoZero"/>
        <c:crossBetween val="between"/>
      </c:valAx>
      <c:valAx>
        <c:axId val="1812466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5471984"/>
        <c:crosses val="max"/>
        <c:crossBetween val="between"/>
      </c:valAx>
      <c:catAx>
        <c:axId val="191547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466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 com Tabela Dinâmica.xlsx]Tab Dinamicas!Tabela dinâmica18</c:name>
    <c:fmtId val="5"/>
  </c:pivotSource>
  <c:chart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44450" cap="rnd">
            <a:solidFill>
              <a:schemeClr val="accent5">
                <a:lumMod val="50000"/>
              </a:schemeClr>
            </a:solidFill>
            <a:round/>
            <a:tailEnd type="triangle"/>
          </a:ln>
          <a:effectLst/>
        </c:spPr>
        <c:marker>
          <c:symbol val="none"/>
        </c:marker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44450" cap="rnd">
            <a:solidFill>
              <a:srgbClr val="755DD9">
                <a:lumMod val="50000"/>
              </a:srgbClr>
            </a:solidFill>
            <a:round/>
            <a:tailEnd type="triangl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Dinamicas'!$B$55</c:f>
              <c:strCache>
                <c:ptCount val="1"/>
                <c:pt idx="0">
                  <c:v>Vendas R$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 Dinamicas'!$A$56:$A$67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 Dinamicas'!$B$56:$B$67</c:f>
              <c:numCache>
                <c:formatCode>"R$"#,##0_);[Red]\("R$"#,##0\)</c:formatCode>
                <c:ptCount val="12"/>
                <c:pt idx="0">
                  <c:v>5675</c:v>
                </c:pt>
                <c:pt idx="1">
                  <c:v>6209</c:v>
                </c:pt>
                <c:pt idx="2">
                  <c:v>6386</c:v>
                </c:pt>
                <c:pt idx="3">
                  <c:v>7987</c:v>
                </c:pt>
                <c:pt idx="4">
                  <c:v>6064</c:v>
                </c:pt>
                <c:pt idx="5">
                  <c:v>4232</c:v>
                </c:pt>
                <c:pt idx="6">
                  <c:v>2842</c:v>
                </c:pt>
                <c:pt idx="7">
                  <c:v>5987</c:v>
                </c:pt>
                <c:pt idx="8">
                  <c:v>3853</c:v>
                </c:pt>
                <c:pt idx="9">
                  <c:v>5308</c:v>
                </c:pt>
                <c:pt idx="10">
                  <c:v>4416</c:v>
                </c:pt>
                <c:pt idx="11">
                  <c:v>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6-4DE0-9BD9-3DA73EDC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7949264"/>
        <c:axId val="1495604384"/>
      </c:barChart>
      <c:lineChart>
        <c:grouping val="standard"/>
        <c:varyColors val="0"/>
        <c:ser>
          <c:idx val="1"/>
          <c:order val="1"/>
          <c:tx>
            <c:strRef>
              <c:f>'Tab Dinamicas'!$C$55</c:f>
              <c:strCache>
                <c:ptCount val="1"/>
                <c:pt idx="0">
                  <c:v>MoM %</c:v>
                </c:pt>
              </c:strCache>
            </c:strRef>
          </c:tx>
          <c:spPr>
            <a:ln w="44450" cap="rnd">
              <a:solidFill>
                <a:srgbClr val="755DD9">
                  <a:lumMod val="50000"/>
                </a:srgbClr>
              </a:solidFill>
              <a:round/>
              <a:tailEnd type="triangle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Dinamicas'!$A$56:$A$67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 Dinamicas'!$C$56:$C$67</c:f>
              <c:numCache>
                <c:formatCode>0.00%</c:formatCode>
                <c:ptCount val="12"/>
                <c:pt idx="1">
                  <c:v>9.4096916299559477E-2</c:v>
                </c:pt>
                <c:pt idx="2">
                  <c:v>2.8507005959091641E-2</c:v>
                </c:pt>
                <c:pt idx="3">
                  <c:v>0.25070466645787659</c:v>
                </c:pt>
                <c:pt idx="4">
                  <c:v>-0.24076624514836609</c:v>
                </c:pt>
                <c:pt idx="5">
                  <c:v>-0.30211081794195249</c:v>
                </c:pt>
                <c:pt idx="6">
                  <c:v>-0.32844990548204162</c:v>
                </c:pt>
                <c:pt idx="7">
                  <c:v>1.1066150598170303</c:v>
                </c:pt>
                <c:pt idx="8">
                  <c:v>-0.35643895106063139</c:v>
                </c:pt>
                <c:pt idx="9">
                  <c:v>0.37762782247599275</c:v>
                </c:pt>
                <c:pt idx="10">
                  <c:v>-0.1680482290881688</c:v>
                </c:pt>
                <c:pt idx="11">
                  <c:v>0.70878623188405798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46-4DE0-9BD9-3DA73EDC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471984"/>
        <c:axId val="1812466160"/>
      </c:lineChart>
      <c:catAx>
        <c:axId val="14979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5604384"/>
        <c:crosses val="autoZero"/>
        <c:auto val="1"/>
        <c:lblAlgn val="ctr"/>
        <c:lblOffset val="100"/>
        <c:noMultiLvlLbl val="0"/>
      </c:catAx>
      <c:valAx>
        <c:axId val="1495604384"/>
        <c:scaling>
          <c:orientation val="minMax"/>
        </c:scaling>
        <c:delete val="0"/>
        <c:axPos val="l"/>
        <c:numFmt formatCode="&quot;R$&quot;#,##0_);[Red]\(&quot;R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949264"/>
        <c:crosses val="autoZero"/>
        <c:crossBetween val="between"/>
      </c:valAx>
      <c:valAx>
        <c:axId val="18124661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5471984"/>
        <c:crosses val="max"/>
        <c:crossBetween val="between"/>
      </c:valAx>
      <c:catAx>
        <c:axId val="191547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466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 com Tabela Dinâmica.xlsx]Tab Dinamicas!Tabela dinâmica17</c:name>
    <c:fmtId val="2"/>
  </c:pivotSource>
  <c:chart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44450" cap="rnd">
            <a:solidFill>
              <a:schemeClr val="accent5">
                <a:lumMod val="50000"/>
              </a:schemeClr>
            </a:solidFill>
            <a:round/>
            <a:tailEnd type="triangle"/>
          </a:ln>
          <a:effectLst/>
        </c:spPr>
        <c:marker>
          <c:symbol val="none"/>
        </c:marker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44450" cap="rnd">
            <a:solidFill>
              <a:schemeClr val="accent5">
                <a:lumMod val="50000"/>
              </a:schemeClr>
            </a:solidFill>
            <a:round/>
            <a:tailEnd type="triangle"/>
          </a:ln>
          <a:effectLst/>
        </c:spPr>
        <c:marker>
          <c:symbol val="none"/>
        </c:marker>
      </c:pivotFmt>
      <c:pivotFmt>
        <c:idx val="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44450" cap="rnd">
            <a:solidFill>
              <a:schemeClr val="accent5">
                <a:lumMod val="50000"/>
              </a:schemeClr>
            </a:solidFill>
            <a:round/>
            <a:tailEnd type="triangle"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44450" cap="rnd">
            <a:solidFill>
              <a:srgbClr val="755DD9">
                <a:lumMod val="50000"/>
              </a:srgbClr>
            </a:solidFill>
            <a:round/>
            <a:tailEnd type="triangle"/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>
                <a:lumMod val="75000"/>
                <a:lumOff val="25000"/>
                <a:alpha val="50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Dinamicas'!$G$37</c:f>
              <c:strCache>
                <c:ptCount val="1"/>
                <c:pt idx="0">
                  <c:v>Vendas R$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'Tab Dinamicas'!$F$38:$F$73</c:f>
              <c:multiLvlStrCache>
                <c:ptCount val="33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set</c:v>
                  </c:pt>
                  <c:pt idx="21">
                    <c:v>out</c:v>
                  </c:pt>
                  <c:pt idx="22">
                    <c:v>nov</c:v>
                  </c:pt>
                  <c:pt idx="23">
                    <c:v>dez</c:v>
                  </c:pt>
                  <c:pt idx="24">
                    <c:v>jan</c:v>
                  </c:pt>
                  <c:pt idx="25">
                    <c:v>fev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mai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set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'Tab Dinamicas'!$G$38:$G$73</c:f>
              <c:numCache>
                <c:formatCode>"R$"#,##0_);[Red]\("R$"#,##0\)</c:formatCode>
                <c:ptCount val="33"/>
                <c:pt idx="0">
                  <c:v>5675</c:v>
                </c:pt>
                <c:pt idx="1">
                  <c:v>6209</c:v>
                </c:pt>
                <c:pt idx="2">
                  <c:v>6386</c:v>
                </c:pt>
                <c:pt idx="3">
                  <c:v>7987</c:v>
                </c:pt>
                <c:pt idx="4">
                  <c:v>6064</c:v>
                </c:pt>
                <c:pt idx="5">
                  <c:v>4232</c:v>
                </c:pt>
                <c:pt idx="6">
                  <c:v>2842</c:v>
                </c:pt>
                <c:pt idx="7">
                  <c:v>5987</c:v>
                </c:pt>
                <c:pt idx="8">
                  <c:v>3853</c:v>
                </c:pt>
                <c:pt idx="9">
                  <c:v>5308</c:v>
                </c:pt>
                <c:pt idx="10">
                  <c:v>4416</c:v>
                </c:pt>
                <c:pt idx="11">
                  <c:v>7546</c:v>
                </c:pt>
                <c:pt idx="12">
                  <c:v>3715</c:v>
                </c:pt>
                <c:pt idx="13">
                  <c:v>4592</c:v>
                </c:pt>
                <c:pt idx="14">
                  <c:v>5228</c:v>
                </c:pt>
                <c:pt idx="15">
                  <c:v>3458</c:v>
                </c:pt>
                <c:pt idx="16">
                  <c:v>5834</c:v>
                </c:pt>
                <c:pt idx="17">
                  <c:v>6241</c:v>
                </c:pt>
                <c:pt idx="18">
                  <c:v>1806</c:v>
                </c:pt>
                <c:pt idx="19">
                  <c:v>4358</c:v>
                </c:pt>
                <c:pt idx="20">
                  <c:v>5570</c:v>
                </c:pt>
                <c:pt idx="21">
                  <c:v>2238</c:v>
                </c:pt>
                <c:pt idx="22">
                  <c:v>4310</c:v>
                </c:pt>
                <c:pt idx="23">
                  <c:v>5186</c:v>
                </c:pt>
                <c:pt idx="24">
                  <c:v>5759</c:v>
                </c:pt>
                <c:pt idx="25">
                  <c:v>6245</c:v>
                </c:pt>
                <c:pt idx="26">
                  <c:v>5384</c:v>
                </c:pt>
                <c:pt idx="27">
                  <c:v>8733</c:v>
                </c:pt>
                <c:pt idx="28">
                  <c:v>3308</c:v>
                </c:pt>
                <c:pt idx="29">
                  <c:v>4934</c:v>
                </c:pt>
                <c:pt idx="30">
                  <c:v>4324</c:v>
                </c:pt>
                <c:pt idx="31">
                  <c:v>4379</c:v>
                </c:pt>
                <c:pt idx="32">
                  <c:v>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C-4FEB-8259-9A2551494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7949264"/>
        <c:axId val="1495604384"/>
      </c:barChart>
      <c:lineChart>
        <c:grouping val="standard"/>
        <c:varyColors val="0"/>
        <c:ser>
          <c:idx val="1"/>
          <c:order val="1"/>
          <c:tx>
            <c:strRef>
              <c:f>'Tab Dinamicas'!$H$37</c:f>
              <c:strCache>
                <c:ptCount val="1"/>
                <c:pt idx="0">
                  <c:v>YoY %</c:v>
                </c:pt>
              </c:strCache>
            </c:strRef>
          </c:tx>
          <c:spPr>
            <a:ln w="44450" cap="rnd">
              <a:solidFill>
                <a:srgbClr val="755DD9">
                  <a:lumMod val="50000"/>
                </a:srgbClr>
              </a:solidFill>
              <a:round/>
              <a:tailEnd type="triangle"/>
            </a:ln>
            <a:effectLst/>
          </c:spPr>
          <c:marker>
            <c:symbol val="none"/>
          </c:marker>
          <c:dLbls>
            <c:spPr>
              <a:solidFill>
                <a:sysClr val="windowText" lastClr="000000">
                  <a:lumMod val="75000"/>
                  <a:lumOff val="25000"/>
                  <a:alpha val="50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 Dinamicas'!$F$38:$F$73</c:f>
              <c:multiLvlStrCache>
                <c:ptCount val="33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set</c:v>
                  </c:pt>
                  <c:pt idx="21">
                    <c:v>out</c:v>
                  </c:pt>
                  <c:pt idx="22">
                    <c:v>nov</c:v>
                  </c:pt>
                  <c:pt idx="23">
                    <c:v>dez</c:v>
                  </c:pt>
                  <c:pt idx="24">
                    <c:v>jan</c:v>
                  </c:pt>
                  <c:pt idx="25">
                    <c:v>fev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mai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set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'Tab Dinamicas'!$H$38:$H$73</c:f>
              <c:numCache>
                <c:formatCode>0.00%</c:formatCode>
                <c:ptCount val="33"/>
                <c:pt idx="12">
                  <c:v>-0.34537444933920702</c:v>
                </c:pt>
                <c:pt idx="13">
                  <c:v>-0.26042841037204056</c:v>
                </c:pt>
                <c:pt idx="14">
                  <c:v>-0.18133416849357969</c:v>
                </c:pt>
                <c:pt idx="15">
                  <c:v>-0.56704645048203328</c:v>
                </c:pt>
                <c:pt idx="16">
                  <c:v>-3.7928759894459103E-2</c:v>
                </c:pt>
                <c:pt idx="17">
                  <c:v>0.47471644612476371</c:v>
                </c:pt>
                <c:pt idx="18">
                  <c:v>-0.3645320197044335</c:v>
                </c:pt>
                <c:pt idx="19">
                  <c:v>-0.27208952730916985</c:v>
                </c:pt>
                <c:pt idx="20">
                  <c:v>0.44562678432390346</c:v>
                </c:pt>
                <c:pt idx="21">
                  <c:v>-0.57837226827430299</c:v>
                </c:pt>
                <c:pt idx="22">
                  <c:v>-2.4003623188405796E-2</c:v>
                </c:pt>
                <c:pt idx="23">
                  <c:v>-0.31274847601378214</c:v>
                </c:pt>
                <c:pt idx="24">
                  <c:v>0.55020188425302829</c:v>
                </c:pt>
                <c:pt idx="25">
                  <c:v>0.35997386759581884</c:v>
                </c:pt>
                <c:pt idx="26">
                  <c:v>2.9839326702371844E-2</c:v>
                </c:pt>
                <c:pt idx="27">
                  <c:v>1.5254482359745518</c:v>
                </c:pt>
                <c:pt idx="28">
                  <c:v>-0.43297908810421665</c:v>
                </c:pt>
                <c:pt idx="29">
                  <c:v>-0.20942156705656145</c:v>
                </c:pt>
                <c:pt idx="30">
                  <c:v>1.3942414174972315</c:v>
                </c:pt>
                <c:pt idx="31">
                  <c:v>4.8187241854061496E-3</c:v>
                </c:pt>
                <c:pt idx="32">
                  <c:v>-5.098743267504488E-2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0C-4FEB-8259-9A2551494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471984"/>
        <c:axId val="1812466160"/>
      </c:lineChart>
      <c:catAx>
        <c:axId val="14979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5604384"/>
        <c:crosses val="autoZero"/>
        <c:auto val="1"/>
        <c:lblAlgn val="ctr"/>
        <c:lblOffset val="100"/>
        <c:noMultiLvlLbl val="0"/>
      </c:catAx>
      <c:valAx>
        <c:axId val="1495604384"/>
        <c:scaling>
          <c:orientation val="minMax"/>
        </c:scaling>
        <c:delete val="0"/>
        <c:axPos val="l"/>
        <c:numFmt formatCode="&quot;R$&quot;#,##0_);[Red]\(&quot;R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949264"/>
        <c:crosses val="autoZero"/>
        <c:crossBetween val="between"/>
      </c:valAx>
      <c:valAx>
        <c:axId val="18124661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5471984"/>
        <c:crosses val="max"/>
        <c:crossBetween val="between"/>
      </c:valAx>
      <c:catAx>
        <c:axId val="191547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466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0</xdr:row>
      <xdr:rowOff>0</xdr:rowOff>
    </xdr:from>
    <xdr:to>
      <xdr:col>3</xdr:col>
      <xdr:colOff>895350</xdr:colOff>
      <xdr:row>4</xdr:row>
      <xdr:rowOff>123824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s">
              <a:extLst>
                <a:ext uri="{FF2B5EF4-FFF2-40B4-BE49-F238E27FC236}">
                  <a16:creationId xmlns:a16="http://schemas.microsoft.com/office/drawing/2014/main" id="{BE1B49B5-3EB2-42BB-8837-AE4DCACAE9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" y="0"/>
              <a:ext cx="1828800" cy="885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1000125</xdr:colOff>
      <xdr:row>0</xdr:row>
      <xdr:rowOff>0</xdr:rowOff>
    </xdr:from>
    <xdr:to>
      <xdr:col>11</xdr:col>
      <xdr:colOff>581025</xdr:colOff>
      <xdr:row>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es">
              <a:extLst>
                <a:ext uri="{FF2B5EF4-FFF2-40B4-BE49-F238E27FC236}">
                  <a16:creationId xmlns:a16="http://schemas.microsoft.com/office/drawing/2014/main" id="{8DC73E9B-3AF4-4766-B4A4-2462F3585B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2375" y="0"/>
              <a:ext cx="674370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219075</xdr:colOff>
      <xdr:row>0</xdr:row>
      <xdr:rowOff>0</xdr:rowOff>
    </xdr:from>
    <xdr:to>
      <xdr:col>16</xdr:col>
      <xdr:colOff>285750</xdr:colOff>
      <xdr:row>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rentes">
              <a:extLst>
                <a:ext uri="{FF2B5EF4-FFF2-40B4-BE49-F238E27FC236}">
                  <a16:creationId xmlns:a16="http://schemas.microsoft.com/office/drawing/2014/main" id="{07895FFF-C402-46CD-A25E-CD01C0CB20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rent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3725" y="0"/>
              <a:ext cx="287655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0</xdr:rowOff>
    </xdr:from>
    <xdr:to>
      <xdr:col>5</xdr:col>
      <xdr:colOff>733426</xdr:colOff>
      <xdr:row>1</xdr:row>
      <xdr:rowOff>817313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D94AD7-A7A2-4F67-964A-8220A01481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0" r="12819"/>
        <a:stretch/>
      </xdr:blipFill>
      <xdr:spPr>
        <a:xfrm>
          <a:off x="3295650" y="190500"/>
          <a:ext cx="600076" cy="817313"/>
        </a:xfrm>
        <a:prstGeom prst="ellipse">
          <a:avLst/>
        </a:prstGeom>
        <a:ln>
          <a:noFill/>
        </a:ln>
        <a:effectLst/>
      </xdr:spPr>
    </xdr:pic>
    <xdr:clientData/>
  </xdr:twoCellAnchor>
  <xdr:twoCellAnchor editAs="oneCell">
    <xdr:from>
      <xdr:col>5</xdr:col>
      <xdr:colOff>57150</xdr:colOff>
      <xdr:row>2</xdr:row>
      <xdr:rowOff>19050</xdr:rowOff>
    </xdr:from>
    <xdr:to>
      <xdr:col>5</xdr:col>
      <xdr:colOff>828675</xdr:colOff>
      <xdr:row>2</xdr:row>
      <xdr:rowOff>790575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E537CBD-C305-4663-B1F1-3535D6D62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1066800"/>
          <a:ext cx="771525" cy="771525"/>
        </a:xfrm>
        <a:prstGeom prst="ellipse">
          <a:avLst/>
        </a:prstGeom>
        <a:ln>
          <a:noFill/>
        </a:ln>
        <a:effectLst/>
      </xdr:spPr>
    </xdr:pic>
    <xdr:clientData/>
  </xdr:twoCellAnchor>
  <xdr:twoCellAnchor editAs="oneCell">
    <xdr:from>
      <xdr:col>5</xdr:col>
      <xdr:colOff>38100</xdr:colOff>
      <xdr:row>3</xdr:row>
      <xdr:rowOff>57150</xdr:rowOff>
    </xdr:from>
    <xdr:to>
      <xdr:col>5</xdr:col>
      <xdr:colOff>809625</xdr:colOff>
      <xdr:row>3</xdr:row>
      <xdr:rowOff>828675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FA5A9A2-8685-4DCB-AF9C-C85A37249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2466975"/>
          <a:ext cx="771525" cy="771525"/>
        </a:xfrm>
        <a:prstGeom prst="ellipse">
          <a:avLst/>
        </a:prstGeom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28575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s 1">
              <a:extLst>
                <a:ext uri="{FF2B5EF4-FFF2-40B4-BE49-F238E27FC236}">
                  <a16:creationId xmlns:a16="http://schemas.microsoft.com/office/drawing/2014/main" id="{A5C5EA4A-2C65-491C-8DD2-A43F0512ED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0500"/>
              <a:ext cx="1222375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7</xdr:row>
      <xdr:rowOff>0</xdr:rowOff>
    </xdr:from>
    <xdr:to>
      <xdr:col>2</xdr:col>
      <xdr:colOff>28575</xdr:colOff>
      <xdr:row>17</xdr:row>
      <xdr:rowOff>190499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es 1">
              <a:extLst>
                <a:ext uri="{FF2B5EF4-FFF2-40B4-BE49-F238E27FC236}">
                  <a16:creationId xmlns:a16="http://schemas.microsoft.com/office/drawing/2014/main" id="{44B94FBA-D42F-493A-B8B9-B769F7C191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24000"/>
              <a:ext cx="1222375" cy="2095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18</xdr:row>
      <xdr:rowOff>0</xdr:rowOff>
    </xdr:from>
    <xdr:to>
      <xdr:col>2</xdr:col>
      <xdr:colOff>28575</xdr:colOff>
      <xdr:row>25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rentes 1">
              <a:extLst>
                <a:ext uri="{FF2B5EF4-FFF2-40B4-BE49-F238E27FC236}">
                  <a16:creationId xmlns:a16="http://schemas.microsoft.com/office/drawing/2014/main" id="{F3E8EF28-BC19-4DCE-8565-20E6C38F2B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rent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3619500"/>
              <a:ext cx="121285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4</xdr:row>
      <xdr:rowOff>104775</xdr:rowOff>
    </xdr:from>
    <xdr:to>
      <xdr:col>4</xdr:col>
      <xdr:colOff>0</xdr:colOff>
      <xdr:row>11</xdr:row>
      <xdr:rowOff>104775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0A14186-2FF4-41E1-8637-2D75CDCEA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</xdr:row>
      <xdr:rowOff>95250</xdr:rowOff>
    </xdr:from>
    <xdr:to>
      <xdr:col>6</xdr:col>
      <xdr:colOff>0</xdr:colOff>
      <xdr:row>11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7868514-D146-45FD-9D41-7280AF491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4</xdr:col>
      <xdr:colOff>0</xdr:colOff>
      <xdr:row>20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69121ED-7465-43AC-B10D-B49E02733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3677B03-EAFE-4A91-8108-527543AFB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4</xdr:col>
      <xdr:colOff>19050</xdr:colOff>
      <xdr:row>18</xdr:row>
      <xdr:rowOff>152400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93FE3BC-49EA-4243-A0DA-545ECD90E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368300</xdr:colOff>
      <xdr:row>14</xdr:row>
      <xdr:rowOff>184150</xdr:rowOff>
    </xdr:from>
    <xdr:to>
      <xdr:col>3</xdr:col>
      <xdr:colOff>1036583</xdr:colOff>
      <xdr:row>16</xdr:row>
      <xdr:rowOff>60325</xdr:rowOff>
    </xdr:to>
    <xdr:sp macro="" textlink="$D$4">
      <xdr:nvSpPr>
        <xdr:cNvPr id="11" name="Retângulo: Cantos Arredondados 10">
          <a:extLst>
            <a:ext uri="{FF2B5EF4-FFF2-40B4-BE49-F238E27FC236}">
              <a16:creationId xmlns:a16="http://schemas.microsoft.com/office/drawing/2014/main" id="{3512AB12-312D-47F7-8DB4-FE06261C056B}"/>
            </a:ext>
          </a:extLst>
        </xdr:cNvPr>
        <xdr:cNvSpPr/>
      </xdr:nvSpPr>
      <xdr:spPr>
        <a:xfrm>
          <a:off x="1746250" y="3041650"/>
          <a:ext cx="668283" cy="257175"/>
        </a:xfrm>
        <a:prstGeom prst="roundRect">
          <a:avLst/>
        </a:prstGeom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17B9E8C-1204-4EB0-8345-A9C1416A1359}" type="TxLink">
            <a:rPr lang="en-US" sz="1400" b="1" i="0" u="none" strike="noStrike">
              <a:solidFill>
                <a:schemeClr val="accent5">
                  <a:lumMod val="50000"/>
                </a:schemeClr>
              </a:solidFill>
              <a:latin typeface="Agency FB"/>
            </a:rPr>
            <a:pPr algn="ctr"/>
            <a:t>R$ 3.853</a:t>
          </a:fld>
          <a:endParaRPr lang="pt-BR" sz="10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12</xdr:row>
      <xdr:rowOff>38100</xdr:rowOff>
    </xdr:from>
    <xdr:to>
      <xdr:col>6</xdr:col>
      <xdr:colOff>0</xdr:colOff>
      <xdr:row>19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0914041-3894-455F-8B47-B8C6E0328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368300</xdr:colOff>
      <xdr:row>14</xdr:row>
      <xdr:rowOff>177800</xdr:rowOff>
    </xdr:from>
    <xdr:to>
      <xdr:col>5</xdr:col>
      <xdr:colOff>1036584</xdr:colOff>
      <xdr:row>16</xdr:row>
      <xdr:rowOff>53975</xdr:rowOff>
    </xdr:to>
    <xdr:sp macro="" textlink="$F$4">
      <xdr:nvSpPr>
        <xdr:cNvPr id="13" name="Retângulo: Cantos Arredondados 12">
          <a:extLst>
            <a:ext uri="{FF2B5EF4-FFF2-40B4-BE49-F238E27FC236}">
              <a16:creationId xmlns:a16="http://schemas.microsoft.com/office/drawing/2014/main" id="{11303DF9-035B-42A8-A300-FCA78D6B4BA4}"/>
            </a:ext>
          </a:extLst>
        </xdr:cNvPr>
        <xdr:cNvSpPr/>
      </xdr:nvSpPr>
      <xdr:spPr>
        <a:xfrm>
          <a:off x="3314700" y="3035300"/>
          <a:ext cx="668284" cy="257175"/>
        </a:xfrm>
        <a:prstGeom prst="roundRect">
          <a:avLst/>
        </a:prstGeom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6FDD195B-28FB-494E-92DA-EBE9FD9E8A03}" type="TxLink">
            <a:rPr lang="en-US" sz="1400" b="0" i="0" u="none" strike="noStrike">
              <a:solidFill>
                <a:schemeClr val="accent5">
                  <a:lumMod val="50000"/>
                </a:schemeClr>
              </a:solidFill>
              <a:latin typeface="Agency FB"/>
            </a:rPr>
            <a:pPr algn="ctr"/>
            <a:t>9</a:t>
          </a:fld>
          <a:endParaRPr lang="pt-BR" sz="6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1</xdr:colOff>
      <xdr:row>3</xdr:row>
      <xdr:rowOff>259773</xdr:rowOff>
    </xdr:from>
    <xdr:to>
      <xdr:col>8</xdr:col>
      <xdr:colOff>1</xdr:colOff>
      <xdr:row>11</xdr:row>
      <xdr:rowOff>145473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97443EC-D255-4300-A953-E0714A351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</xdr:colOff>
      <xdr:row>4</xdr:row>
      <xdr:rowOff>14654</xdr:rowOff>
    </xdr:from>
    <xdr:to>
      <xdr:col>10</xdr:col>
      <xdr:colOff>1</xdr:colOff>
      <xdr:row>12</xdr:row>
      <xdr:rowOff>46404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E615177-1C1E-4245-9AB3-B780E7E0E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131884</xdr:colOff>
      <xdr:row>18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64836DE-297C-4604-81AF-F8912C1B3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183172</xdr:colOff>
      <xdr:row>24</xdr:row>
      <xdr:rowOff>0</xdr:rowOff>
    </xdr:from>
    <xdr:to>
      <xdr:col>9</xdr:col>
      <xdr:colOff>1384788</xdr:colOff>
      <xdr:row>34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8D39D0E-6C8A-4E09-BD9D-4718560BA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34</xdr:row>
      <xdr:rowOff>36635</xdr:rowOff>
    </xdr:from>
    <xdr:to>
      <xdr:col>10</xdr:col>
      <xdr:colOff>0</xdr:colOff>
      <xdr:row>44</xdr:row>
      <xdr:rowOff>65943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B9A76C2-687D-43A7-8362-4321D7FA5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196850</xdr:colOff>
          <xdr:row>23</xdr:row>
          <xdr:rowOff>152400</xdr:rowOff>
        </xdr:from>
        <xdr:to>
          <xdr:col>1</xdr:col>
          <xdr:colOff>463550</xdr:colOff>
          <xdr:row>28</xdr:row>
          <xdr:rowOff>9525</xdr:rowOff>
        </xdr:to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9F7D97DE-632B-4F81-9579-3B4511E9667C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Foto_Dinamica" spid="_x0000_s4110"/>
                </a:ext>
              </a:extLst>
            </xdr:cNvPicPr>
          </xdr:nvPicPr>
          <xdr:blipFill rotWithShape="1"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96850" y="4724400"/>
              <a:ext cx="876300" cy="809625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>
    <xdr:from>
      <xdr:col>0</xdr:col>
      <xdr:colOff>88900</xdr:colOff>
      <xdr:row>27</xdr:row>
      <xdr:rowOff>146050</xdr:rowOff>
    </xdr:from>
    <xdr:to>
      <xdr:col>0</xdr:col>
      <xdr:colOff>444500</xdr:colOff>
      <xdr:row>29</xdr:row>
      <xdr:rowOff>120650</xdr:rowOff>
    </xdr:to>
    <xdr:sp macro="" textlink="'Tab Dinamicas'!C6">
      <xdr:nvSpPr>
        <xdr:cNvPr id="22" name="Elipse 21">
          <a:extLst>
            <a:ext uri="{FF2B5EF4-FFF2-40B4-BE49-F238E27FC236}">
              <a16:creationId xmlns:a16="http://schemas.microsoft.com/office/drawing/2014/main" id="{E5DD08C3-CFC6-4BF7-ABAC-FE0CB44CC531}"/>
            </a:ext>
          </a:extLst>
        </xdr:cNvPr>
        <xdr:cNvSpPr/>
      </xdr:nvSpPr>
      <xdr:spPr>
        <a:xfrm>
          <a:off x="88900" y="5480050"/>
          <a:ext cx="355600" cy="355600"/>
        </a:xfrm>
        <a:prstGeom prst="ellips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8B2C2A2-86E5-4EE3-9673-58DAA89C932E}" type="TxLink">
            <a:rPr lang="en-US" sz="2000" b="0" i="0" u="none" strike="noStrike">
              <a:solidFill>
                <a:schemeClr val="bg1"/>
              </a:solidFill>
              <a:latin typeface="+mj-lt"/>
            </a:rPr>
            <a:pPr algn="ctr"/>
            <a:t>S</a:t>
          </a:fld>
          <a:endParaRPr lang="pt-BR" sz="2000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1</xdr:col>
      <xdr:colOff>228600</xdr:colOff>
      <xdr:row>27</xdr:row>
      <xdr:rowOff>177800</xdr:rowOff>
    </xdr:from>
    <xdr:to>
      <xdr:col>2</xdr:col>
      <xdr:colOff>6350</xdr:colOff>
      <xdr:row>29</xdr:row>
      <xdr:rowOff>158750</xdr:rowOff>
    </xdr:to>
    <xdr:sp macro="" textlink="'Tab Dinamicas'!C7">
      <xdr:nvSpPr>
        <xdr:cNvPr id="23" name="Elipse 22">
          <a:extLst>
            <a:ext uri="{FF2B5EF4-FFF2-40B4-BE49-F238E27FC236}">
              <a16:creationId xmlns:a16="http://schemas.microsoft.com/office/drawing/2014/main" id="{5CA50579-C0C1-41BC-B2FC-19610AFC7AA4}"/>
            </a:ext>
          </a:extLst>
        </xdr:cNvPr>
        <xdr:cNvSpPr/>
      </xdr:nvSpPr>
      <xdr:spPr>
        <a:xfrm>
          <a:off x="838200" y="5511800"/>
          <a:ext cx="361950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21F6A78A-951C-480E-9549-1D8BA176AE16}" type="TxLink">
            <a:rPr lang="en-US" sz="2000" b="0" i="0" u="none" strike="noStrike">
              <a:solidFill>
                <a:schemeClr val="bg1"/>
              </a:solidFill>
              <a:latin typeface="+mj-lt"/>
            </a:rPr>
            <a:pPr algn="ctr"/>
            <a:t>3º</a:t>
          </a:fld>
          <a:endParaRPr lang="pt-BR" sz="2000">
            <a:solidFill>
              <a:schemeClr val="bg1"/>
            </a:solidFill>
            <a:latin typeface="+mj-lt"/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0.13103</cdr:x>
      <cdr:y>0.1</cdr:y>
    </cdr:from>
    <cdr:to>
      <cdr:x>0.87586</cdr:x>
      <cdr:y>0.88571</cdr:y>
    </cdr:to>
    <cdr:sp macro="" textlink="'Tab Dinamicas'!$H$7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9019A66-6AB0-498A-AB6B-D301EF434A43}"/>
            </a:ext>
          </a:extLst>
        </cdr:cNvPr>
        <cdr:cNvSpPr txBox="1"/>
      </cdr:nvSpPr>
      <cdr:spPr>
        <a:xfrm xmlns:a="http://schemas.openxmlformats.org/drawingml/2006/main">
          <a:off x="180975" y="133350"/>
          <a:ext cx="1028699" cy="1047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DC14FEAB-DFC0-4EFF-B299-285D087177BE}" type="TxLink">
            <a:rPr lang="en-US" sz="2000" b="1" i="0" u="none" strike="noStrike">
              <a:solidFill>
                <a:schemeClr val="bg1"/>
              </a:solidFill>
              <a:latin typeface="Agency FB" panose="020B0503020202020204" pitchFamily="34" charset="0"/>
            </a:rPr>
            <a:pPr algn="ctr"/>
            <a:t>27,29%</a:t>
          </a:fld>
          <a:endParaRPr lang="pt-BR" sz="2000" b="1">
            <a:solidFill>
              <a:schemeClr val="bg1"/>
            </a:solidFill>
            <a:latin typeface="Agency FB" panose="020B0503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0.13103</cdr:x>
      <cdr:y>0.1</cdr:y>
    </cdr:from>
    <cdr:to>
      <cdr:x>0.87586</cdr:x>
      <cdr:y>0.88571</cdr:y>
    </cdr:to>
    <cdr:sp macro="" textlink="'Tab Dinamicas'!$I$7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9019A66-6AB0-498A-AB6B-D301EF434A43}"/>
            </a:ext>
          </a:extLst>
        </cdr:cNvPr>
        <cdr:cNvSpPr txBox="1"/>
      </cdr:nvSpPr>
      <cdr:spPr>
        <a:xfrm xmlns:a="http://schemas.openxmlformats.org/drawingml/2006/main">
          <a:off x="180975" y="133350"/>
          <a:ext cx="1028699" cy="1047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E55D0C6-83B5-424F-8E03-A756381BD302}" type="TxLink">
            <a:rPr lang="en-US" sz="2000" b="0" i="0" u="none" strike="noStrike">
              <a:solidFill>
                <a:schemeClr val="bg1"/>
              </a:solidFill>
              <a:latin typeface="Agency FB" panose="020B0503020202020204" pitchFamily="34" charset="0"/>
            </a:rPr>
            <a:pPr algn="ctr"/>
            <a:t>30,00%</a:t>
          </a:fld>
          <a:endParaRPr lang="pt-BR" sz="4000" b="1">
            <a:solidFill>
              <a:schemeClr val="bg1"/>
            </a:solidFill>
            <a:latin typeface="Agency FB" panose="020B050302020202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0.09655</cdr:x>
      <cdr:y>0.41875</cdr:y>
    </cdr:from>
    <cdr:to>
      <cdr:x>0.89655</cdr:x>
      <cdr:y>0.7375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834895D-554B-4966-A78A-9B9C280235F2}"/>
            </a:ext>
          </a:extLst>
        </cdr:cNvPr>
        <cdr:cNvSpPr txBox="1"/>
      </cdr:nvSpPr>
      <cdr:spPr>
        <a:xfrm xmlns:a="http://schemas.openxmlformats.org/drawingml/2006/main">
          <a:off x="133351" y="638175"/>
          <a:ext cx="1104900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0.09655</cdr:x>
      <cdr:y>0.41875</cdr:y>
    </cdr:from>
    <cdr:to>
      <cdr:x>0.89655</cdr:x>
      <cdr:y>0.7375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834895D-554B-4966-A78A-9B9C280235F2}"/>
            </a:ext>
          </a:extLst>
        </cdr:cNvPr>
        <cdr:cNvSpPr txBox="1"/>
      </cdr:nvSpPr>
      <cdr:spPr>
        <a:xfrm xmlns:a="http://schemas.openxmlformats.org/drawingml/2006/main">
          <a:off x="133351" y="638175"/>
          <a:ext cx="1104900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isão de Controle de Licenças" refreshedDate="43596.479161111114" createdVersion="6" refreshedVersion="6" minRefreshableVersion="3" recordCount="1064" xr:uid="{00000000-000A-0000-FFFF-FFFF4A000000}">
  <cacheSource type="worksheet">
    <worksheetSource name="Treinamentos"/>
  </cacheSource>
  <cacheFields count="18">
    <cacheField name="Turma" numFmtId="0">
      <sharedItems containsSemiMixedTypes="0" containsString="0" containsNumber="1" containsInteger="1" minValue="4355" maxValue="5419"/>
    </cacheField>
    <cacheField name="Vendedor" numFmtId="0">
      <sharedItems count="9">
        <s v="Renato"/>
        <s v="Vanessa"/>
        <s v="Rodrigo"/>
        <s v="Roberto"/>
        <s v="Adriana"/>
        <s v="Katia"/>
        <s v="Priscila"/>
        <s v="Mirian"/>
        <s v="Murilo"/>
      </sharedItems>
      <fieldGroup par="15"/>
    </cacheField>
    <cacheField name="Treinamento" numFmtId="0">
      <sharedItems count="26">
        <s v="Outlook 2013"/>
        <s v="Access VBA 2013"/>
        <s v="Excel Básico 2013"/>
        <s v="Word VBA 2013"/>
        <s v="Outlook VBA 2013"/>
        <s v="Excel VBA avançado 2013"/>
        <s v="Excel Avançado 2013"/>
        <s v="Excel VBA iniciante 2013"/>
        <s v="PowerPoint 2013"/>
        <s v="PowerPoint VBA 2013"/>
        <s v="Excel Intermediário 2013"/>
        <s v="DashBoard 2013"/>
        <s v="Access 2013"/>
        <s v="Access 2016"/>
        <s v="Excel Básico 2016"/>
        <s v="Excel VBA iniciante 2016"/>
        <s v="Word VBA 2016"/>
        <s v="DashBoard 2016"/>
        <s v="Excel Avançado 2016"/>
        <s v="Excel VBA avançado 2016"/>
        <s v="Access VBA 2016"/>
        <s v="Excel Intermediário 2016"/>
        <s v="Outlook VBA 2016"/>
        <s v="PowerPoint 2016"/>
        <s v="Outlook 2016"/>
        <s v="PowerPoint VBA 2016"/>
      </sharedItems>
      <fieldGroup par="14"/>
    </cacheField>
    <cacheField name="Data Início" numFmtId="22">
      <sharedItems containsSemiMixedTypes="0" containsNonDate="0" containsDate="1" containsString="0" minDate="2016-01-01T08:00:00" maxDate="2018-09-30T19:00:00" count="776">
        <d v="2016-01-01T08:00:00"/>
        <d v="2016-01-02T09:00:00"/>
        <d v="2016-01-04T19:00:00"/>
        <d v="2016-01-05T19:00:00"/>
        <d v="2016-01-06T14:00:00"/>
        <d v="2016-01-08T08:00:00"/>
        <d v="2016-01-09T09:00:00"/>
        <d v="2016-01-11T19:00:00"/>
        <d v="2016-01-13T14:00:00"/>
        <d v="2016-01-14T09:00:00"/>
        <d v="2016-01-18T19:00:00"/>
        <d v="2016-01-21T09:00:00"/>
        <d v="2016-01-22T08:00:00"/>
        <d v="2016-01-25T19:00:00"/>
        <d v="2016-01-26T19:00:00"/>
        <d v="2016-01-27T14:00:00"/>
        <d v="2016-01-28T09:00:00"/>
        <d v="2016-01-30T09:00:00"/>
        <d v="2016-02-01T19:00:00"/>
        <d v="2016-02-04T09:00:00"/>
        <d v="2016-02-05T08:00:00"/>
        <d v="2016-02-06T09:00:00"/>
        <d v="2016-02-08T19:00:00"/>
        <d v="2016-02-09T19:00:00"/>
        <d v="2016-02-10T14:00:00"/>
        <d v="2016-02-13T09:00:00"/>
        <d v="2016-02-15T19:00:00"/>
        <d v="2016-02-16T19:00:00"/>
        <d v="2016-02-18T09:00:00"/>
        <d v="2016-02-19T08:00:00"/>
        <d v="2016-02-20T09:00:00"/>
        <d v="2016-02-22T19:00:00"/>
        <d v="2016-02-23T19:00:00"/>
        <d v="2016-02-24T14:00:00"/>
        <d v="2016-02-26T08:00:00"/>
        <d v="2016-02-27T09:00:00"/>
        <d v="2016-02-29T19:00:00"/>
        <d v="2016-03-01T19:00:00"/>
        <d v="2016-03-02T14:00:00"/>
        <d v="2016-03-03T09:00:00"/>
        <d v="2016-03-04T08:00:00"/>
        <d v="2016-03-05T09:00:00"/>
        <d v="2016-03-07T19:00:00"/>
        <d v="2016-03-08T19:00:00"/>
        <d v="2016-03-09T14:00:00"/>
        <d v="2016-03-10T09:00:00"/>
        <d v="2016-03-15T19:00:00"/>
        <d v="2016-03-16T14:00:00"/>
        <d v="2016-03-18T08:00:00"/>
        <d v="2016-03-19T09:00:00"/>
        <d v="2016-03-21T19:00:00"/>
        <d v="2016-03-24T09:00:00"/>
        <d v="2016-03-25T08:00:00"/>
        <d v="2016-03-28T19:00:00"/>
        <d v="2016-03-29T19:00:00"/>
        <d v="2016-03-30T14:00:00"/>
        <d v="2016-03-31T09:00:00"/>
        <d v="2016-04-01T08:00:00"/>
        <d v="2016-04-02T09:00:00"/>
        <d v="2016-04-04T19:00:00"/>
        <d v="2016-04-06T14:00:00"/>
        <d v="2016-04-07T09:00:00"/>
        <d v="2016-04-08T08:00:00"/>
        <d v="2016-04-11T19:00:00"/>
        <d v="2016-04-12T19:00:00"/>
        <d v="2016-04-13T14:00:00"/>
        <d v="2016-04-14T09:00:00"/>
        <d v="2016-04-15T08:00:00"/>
        <d v="2016-04-16T09:00:00"/>
        <d v="2016-04-18T19:00:00"/>
        <d v="2016-04-19T19:00:00"/>
        <d v="2016-04-21T09:00:00"/>
        <d v="2016-04-22T08:00:00"/>
        <d v="2016-04-23T09:00:00"/>
        <d v="2016-04-25T19:00:00"/>
        <d v="2016-04-27T14:00:00"/>
        <d v="2016-04-28T09:00:00"/>
        <d v="2016-04-30T09:00:00"/>
        <d v="2016-05-02T19:00:00"/>
        <d v="2016-05-03T19:00:00"/>
        <d v="2016-05-04T14:00:00"/>
        <d v="2016-05-05T09:00:00"/>
        <d v="2016-05-06T08:00:00"/>
        <d v="2016-05-07T09:00:00"/>
        <d v="2016-05-09T19:00:00"/>
        <d v="2016-05-10T19:00:00"/>
        <d v="2016-05-11T14:00:00"/>
        <d v="2016-05-12T09:00:00"/>
        <d v="2016-05-13T08:00:00"/>
        <d v="2016-05-14T09:00:00"/>
        <d v="2016-05-16T19:00:00"/>
        <d v="2016-05-17T19:00:00"/>
        <d v="2016-05-18T14:00:00"/>
        <d v="2016-05-19T09:00:00"/>
        <d v="2016-05-20T08:00:00"/>
        <d v="2016-05-21T09:00:00"/>
        <d v="2016-05-23T19:00:00"/>
        <d v="2016-05-24T19:00:00"/>
        <d v="2016-05-25T14:00:00"/>
        <d v="2016-05-26T09:00:00"/>
        <d v="2016-05-27T08:00:00"/>
        <d v="2016-05-28T09:00:00"/>
        <d v="2016-05-30T19:00:00"/>
        <d v="2016-05-31T19:00:00"/>
        <d v="2016-06-01T14:00:00"/>
        <d v="2016-06-02T09:00:00"/>
        <d v="2016-06-03T08:00:00"/>
        <d v="2016-06-04T09:00:00"/>
        <d v="2016-06-06T19:00:00"/>
        <d v="2016-06-07T19:00:00"/>
        <d v="2016-06-08T14:00:00"/>
        <d v="2016-06-09T09:00:00"/>
        <d v="2016-06-10T08:00:00"/>
        <d v="2016-06-11T09:00:00"/>
        <d v="2016-06-13T19:00:00"/>
        <d v="2016-06-14T19:00:00"/>
        <d v="2016-06-15T14:00:00"/>
        <d v="2016-06-16T09:00:00"/>
        <d v="2016-06-17T08:00:00"/>
        <d v="2016-06-18T09:00:00"/>
        <d v="2016-06-20T19:00:00"/>
        <d v="2016-06-21T19:00:00"/>
        <d v="2016-06-22T14:00:00"/>
        <d v="2016-06-23T09:00:00"/>
        <d v="2016-06-24T08:00:00"/>
        <d v="2016-06-25T09:00:00"/>
        <d v="2016-06-27T19:00:00"/>
        <d v="2016-06-28T19:00:00"/>
        <d v="2016-06-29T14:00:00"/>
        <d v="2016-06-30T09:00:00"/>
        <d v="2016-07-01T08:00:00"/>
        <d v="2016-07-02T09:00:00"/>
        <d v="2016-07-04T19:00:00"/>
        <d v="2016-07-05T19:00:00"/>
        <d v="2016-07-06T14:00:00"/>
        <d v="2016-07-07T09:00:00"/>
        <d v="2016-07-08T08:00:00"/>
        <d v="2016-07-09T09:00:00"/>
        <d v="2016-07-11T19:00:00"/>
        <d v="2016-07-12T19:00:00"/>
        <d v="2016-07-13T14:00:00"/>
        <d v="2016-07-14T09:00:00"/>
        <d v="2016-07-15T08:00:00"/>
        <d v="2016-07-16T09:00:00"/>
        <d v="2016-07-18T19:00:00"/>
        <d v="2016-07-19T19:00:00"/>
        <d v="2016-07-20T14:00:00"/>
        <d v="2016-07-21T09:00:00"/>
        <d v="2016-07-22T08:00:00"/>
        <d v="2016-07-23T09:00:00"/>
        <d v="2016-07-25T19:00:00"/>
        <d v="2016-07-26T19:00:00"/>
        <d v="2016-07-27T14:00:00"/>
        <d v="2016-07-28T09:00:00"/>
        <d v="2016-07-29T08:00:00"/>
        <d v="2016-07-30T09:00:00"/>
        <d v="2016-08-01T19:00:00"/>
        <d v="2016-08-02T19:00:00"/>
        <d v="2016-08-03T14:00:00"/>
        <d v="2016-08-04T09:00:00"/>
        <d v="2016-08-05T08:00:00"/>
        <d v="2016-08-06T09:00:00"/>
        <d v="2016-08-08T19:00:00"/>
        <d v="2016-08-09T19:00:00"/>
        <d v="2016-08-10T14:00:00"/>
        <d v="2016-08-11T09:00:00"/>
        <d v="2016-08-12T08:00:00"/>
        <d v="2016-08-13T09:00:00"/>
        <d v="2016-08-15T19:00:00"/>
        <d v="2016-08-16T19:00:00"/>
        <d v="2016-08-17T14:00:00"/>
        <d v="2016-08-18T09:00:00"/>
        <d v="2016-08-19T08:00:00"/>
        <d v="2016-08-20T09:00:00"/>
        <d v="2016-08-22T19:00:00"/>
        <d v="2016-08-23T19:00:00"/>
        <d v="2016-08-24T14:00:00"/>
        <d v="2016-08-25T09:00:00"/>
        <d v="2016-08-26T08:00:00"/>
        <d v="2016-08-27T09:00:00"/>
        <d v="2016-08-29T19:00:00"/>
        <d v="2016-08-30T19:00:00"/>
        <d v="2016-08-31T14:00:00"/>
        <d v="2016-09-01T09:00:00"/>
        <d v="2016-09-02T08:00:00"/>
        <d v="2016-09-03T09:00:00"/>
        <d v="2016-09-05T19:00:00"/>
        <d v="2016-09-06T19:00:00"/>
        <d v="2016-09-07T14:00:00"/>
        <d v="2016-09-08T09:00:00"/>
        <d v="2016-09-09T08:00:00"/>
        <d v="2016-09-10T09:00:00"/>
        <d v="2016-09-12T19:00:00"/>
        <d v="2016-09-13T19:00:00"/>
        <d v="2016-09-14T14:00:00"/>
        <d v="2016-09-15T09:00:00"/>
        <d v="2016-09-16T08:00:00"/>
        <d v="2016-09-17T09:00:00"/>
        <d v="2016-09-19T19:00:00"/>
        <d v="2016-09-20T19:00:00"/>
        <d v="2016-09-21T14:00:00"/>
        <d v="2016-09-22T09:00:00"/>
        <d v="2016-09-23T08:00:00"/>
        <d v="2016-09-24T09:00:00"/>
        <d v="2016-09-26T19:00:00"/>
        <d v="2016-09-27T19:00:00"/>
        <d v="2016-09-28T14:00:00"/>
        <d v="2016-09-29T09:00:00"/>
        <d v="2016-09-30T08:00:00"/>
        <d v="2016-10-01T09:00:00"/>
        <d v="2016-10-03T19:00:00"/>
        <d v="2016-10-04T19:00:00"/>
        <d v="2016-10-05T14:00:00"/>
        <d v="2016-10-06T09:00:00"/>
        <d v="2016-10-07T08:00:00"/>
        <d v="2016-10-08T09:00:00"/>
        <d v="2016-10-10T19:00:00"/>
        <d v="2016-10-11T19:00:00"/>
        <d v="2016-10-12T14:00:00"/>
        <d v="2016-10-13T09:00:00"/>
        <d v="2016-10-14T08:00:00"/>
        <d v="2016-10-15T09:00:00"/>
        <d v="2016-10-17T19:00:00"/>
        <d v="2016-10-18T19:00:00"/>
        <d v="2016-10-19T14:00:00"/>
        <d v="2016-10-20T09:00:00"/>
        <d v="2016-10-21T08:00:00"/>
        <d v="2016-10-22T09:00:00"/>
        <d v="2016-10-24T19:00:00"/>
        <d v="2016-10-25T19:00:00"/>
        <d v="2016-10-26T14:00:00"/>
        <d v="2016-10-27T09:00:00"/>
        <d v="2016-10-28T08:00:00"/>
        <d v="2016-10-29T09:00:00"/>
        <d v="2016-10-31T19:00:00"/>
        <d v="2016-11-01T19:00:00"/>
        <d v="2016-11-02T14:00:00"/>
        <d v="2016-11-03T09:00:00"/>
        <d v="2016-11-04T08:00:00"/>
        <d v="2016-11-05T09:00:00"/>
        <d v="2016-11-07T19:00:00"/>
        <d v="2016-11-08T19:00:00"/>
        <d v="2016-11-09T14:00:00"/>
        <d v="2016-11-10T09:00:00"/>
        <d v="2016-11-11T08:00:00"/>
        <d v="2016-11-12T09:00:00"/>
        <d v="2016-11-14T19:00:00"/>
        <d v="2016-11-15T19:00:00"/>
        <d v="2016-11-16T14:00:00"/>
        <d v="2016-11-17T09:00:00"/>
        <d v="2016-11-18T08:00:00"/>
        <d v="2016-11-19T09:00:00"/>
        <d v="2016-11-21T19:00:00"/>
        <d v="2016-11-22T19:00:00"/>
        <d v="2016-11-23T14:00:00"/>
        <d v="2016-11-24T09:00:00"/>
        <d v="2016-11-25T08:00:00"/>
        <d v="2016-11-26T09:00:00"/>
        <d v="2016-11-28T19:00:00"/>
        <d v="2016-11-29T19:00:00"/>
        <d v="2016-11-30T14:00:00"/>
        <d v="2016-12-01T09:00:00"/>
        <d v="2016-12-02T08:00:00"/>
        <d v="2016-12-03T09:00:00"/>
        <d v="2016-12-05T19:00:00"/>
        <d v="2016-12-06T19:00:00"/>
        <d v="2016-12-07T14:00:00"/>
        <d v="2016-12-08T09:00:00"/>
        <d v="2016-12-09T08:00:00"/>
        <d v="2016-12-10T09:00:00"/>
        <d v="2016-12-12T19:00:00"/>
        <d v="2016-12-13T19:00:00"/>
        <d v="2016-12-14T14:00:00"/>
        <d v="2016-12-15T09:00:00"/>
        <d v="2016-12-16T08:00:00"/>
        <d v="2016-12-17T09:00:00"/>
        <d v="2016-12-19T19:00:00"/>
        <d v="2016-12-20T19:00:00"/>
        <d v="2016-12-21T14:00:00"/>
        <d v="2016-12-22T09:00:00"/>
        <d v="2016-12-23T08:00:00"/>
        <d v="2016-12-24T09:00:00"/>
        <d v="2016-12-26T19:00:00"/>
        <d v="2016-12-27T19:00:00"/>
        <d v="2016-12-28T14:00:00"/>
        <d v="2016-12-29T09:00:00"/>
        <d v="2016-12-30T08:00:00"/>
        <d v="2016-12-31T09:00:00"/>
        <d v="2017-01-02T19:00:00"/>
        <d v="2017-01-03T19:00:00"/>
        <d v="2017-01-04T14:00:00"/>
        <d v="2017-01-05T09:00:00"/>
        <d v="2017-01-06T08:00:00"/>
        <d v="2017-01-07T09:00:00"/>
        <d v="2017-01-09T19:00:00"/>
        <d v="2017-01-10T19:00:00"/>
        <d v="2017-01-11T14:00:00"/>
        <d v="2017-01-12T09:00:00"/>
        <d v="2017-01-13T08:00:00"/>
        <d v="2017-01-14T09:00:00"/>
        <d v="2017-01-16T19:00:00"/>
        <d v="2017-01-17T19:00:00"/>
        <d v="2017-01-18T14:00:00"/>
        <d v="2017-01-19T09:00:00"/>
        <d v="2017-01-20T08:00:00"/>
        <d v="2017-01-21T09:00:00"/>
        <d v="2017-01-23T19:00:00"/>
        <d v="2017-01-24T19:00:00"/>
        <d v="2017-01-25T14:00:00"/>
        <d v="2017-01-26T09:00:00"/>
        <d v="2017-01-27T08:00:00"/>
        <d v="2017-01-28T09:00:00"/>
        <d v="2017-01-30T19:00:00"/>
        <d v="2017-01-31T19:00:00"/>
        <d v="2017-02-01T14:00:00"/>
        <d v="2017-02-02T09:00:00"/>
        <d v="2017-02-03T08:00:00"/>
        <d v="2017-02-04T09:00:00"/>
        <d v="2017-02-06T19:00:00"/>
        <d v="2017-02-07T19:00:00"/>
        <d v="2017-02-08T14:00:00"/>
        <d v="2017-02-09T09:00:00"/>
        <d v="2017-02-10T08:00:00"/>
        <d v="2017-02-11T09:00:00"/>
        <d v="2017-02-13T19:00:00"/>
        <d v="2017-02-14T19:00:00"/>
        <d v="2017-02-15T14:00:00"/>
        <d v="2017-02-16T09:00:00"/>
        <d v="2017-02-17T08:00:00"/>
        <d v="2017-02-18T09:00:00"/>
        <d v="2017-02-20T19:00:00"/>
        <d v="2017-02-21T19:00:00"/>
        <d v="2017-02-22T14:00:00"/>
        <d v="2017-02-23T09:00:00"/>
        <d v="2017-02-24T08:00:00"/>
        <d v="2017-02-25T09:00:00"/>
        <d v="2017-02-27T19:00:00"/>
        <d v="2017-02-28T19:00:00"/>
        <d v="2017-03-01T14:00:00"/>
        <d v="2017-03-02T09:00:00"/>
        <d v="2017-03-03T08:00:00"/>
        <d v="2017-03-04T09:00:00"/>
        <d v="2017-03-06T19:00:00"/>
        <d v="2017-03-07T19:00:00"/>
        <d v="2017-03-08T14:00:00"/>
        <d v="2017-03-09T09:00:00"/>
        <d v="2017-03-10T08:00:00"/>
        <d v="2017-03-11T09:00:00"/>
        <d v="2017-03-13T19:00:00"/>
        <d v="2017-03-14T19:00:00"/>
        <d v="2017-03-15T14:00:00"/>
        <d v="2017-03-16T09:00:00"/>
        <d v="2017-03-17T08:00:00"/>
        <d v="2017-03-18T09:00:00"/>
        <d v="2017-03-20T19:00:00"/>
        <d v="2017-03-23T09:00:00"/>
        <d v="2017-03-25T09:00:00"/>
        <d v="2017-03-21T19:00:00"/>
        <d v="2017-03-22T14:00:00"/>
        <d v="2017-03-24T08:00:00"/>
        <d v="2017-03-27T19:00:00"/>
        <d v="2017-03-28T19:00:00"/>
        <d v="2017-03-29T14:00:00"/>
        <d v="2017-03-30T09:00:00"/>
        <d v="2017-03-31T08:00:00"/>
        <d v="2017-04-01T09:00:00"/>
        <d v="2017-04-03T19:00:00"/>
        <d v="2017-04-04T19:00:00"/>
        <d v="2017-04-05T14:00:00"/>
        <d v="2017-04-06T09:00:00"/>
        <d v="2017-04-07T08:00:00"/>
        <d v="2017-04-08T09:00:00"/>
        <d v="2017-04-10T19:00:00"/>
        <d v="2017-04-11T19:00:00"/>
        <d v="2017-04-12T14:00:00"/>
        <d v="2017-04-13T09:00:00"/>
        <d v="2017-04-14T08:00:00"/>
        <d v="2017-04-15T09:00:00"/>
        <d v="2017-04-17T19:00:00"/>
        <d v="2017-04-18T19:00:00"/>
        <d v="2017-04-19T14:00:00"/>
        <d v="2017-04-20T09:00:00"/>
        <d v="2017-04-21T08:00:00"/>
        <d v="2017-04-22T09:00:00"/>
        <d v="2017-04-24T19:00:00"/>
        <d v="2017-04-25T19:00:00"/>
        <d v="2017-04-26T14:00:00"/>
        <d v="2017-04-27T09:00:00"/>
        <d v="2017-04-28T08:00:00"/>
        <d v="2017-04-29T09:00:00"/>
        <d v="2017-05-01T19:00:00"/>
        <d v="2017-05-02T19:00:00"/>
        <d v="2017-05-03T14:00:00"/>
        <d v="2017-05-04T09:00:00"/>
        <d v="2017-05-05T08:00:00"/>
        <d v="2017-05-06T09:00:00"/>
        <d v="2017-05-08T19:00:00"/>
        <d v="2017-05-09T19:00:00"/>
        <d v="2017-05-10T14:00:00"/>
        <d v="2017-05-11T09:00:00"/>
        <d v="2017-05-12T08:00:00"/>
        <d v="2017-05-13T09:00:00"/>
        <d v="2017-05-15T19:00:00"/>
        <d v="2017-05-16T19:00:00"/>
        <d v="2017-05-17T14:00:00"/>
        <d v="2017-05-18T09:00:00"/>
        <d v="2017-05-19T08:00:00"/>
        <d v="2017-05-20T09:00:00"/>
        <d v="2017-05-22T19:00:00"/>
        <d v="2017-05-23T19:00:00"/>
        <d v="2017-05-24T14:00:00"/>
        <d v="2017-05-25T09:00:00"/>
        <d v="2017-05-26T08:00:00"/>
        <d v="2017-05-27T09:00:00"/>
        <d v="2017-05-29T19:00:00"/>
        <d v="2017-05-30T19:00:00"/>
        <d v="2017-05-31T14:00:00"/>
        <d v="2017-06-01T09:00:00"/>
        <d v="2017-06-02T08:00:00"/>
        <d v="2017-06-03T09:00:00"/>
        <d v="2017-06-05T19:00:00"/>
        <d v="2017-06-06T19:00:00"/>
        <d v="2017-06-07T14:00:00"/>
        <d v="2017-06-08T09:00:00"/>
        <d v="2017-06-09T08:00:00"/>
        <d v="2017-06-10T09:00:00"/>
        <d v="2017-06-12T19:00:00"/>
        <d v="2017-06-13T19:00:00"/>
        <d v="2017-06-14T14:00:00"/>
        <d v="2017-06-15T09:00:00"/>
        <d v="2017-06-16T08:00:00"/>
        <d v="2017-06-17T09:00:00"/>
        <d v="2017-06-19T19:00:00"/>
        <d v="2017-06-20T19:00:00"/>
        <d v="2017-06-21T14:00:00"/>
        <d v="2017-06-22T09:00:00"/>
        <d v="2017-06-23T08:00:00"/>
        <d v="2017-06-24T09:00:00"/>
        <d v="2017-06-26T19:00:00"/>
        <d v="2017-06-27T19:00:00"/>
        <d v="2017-06-28T14:00:00"/>
        <d v="2017-06-29T09:00:00"/>
        <d v="2017-06-30T08:00:00"/>
        <d v="2017-07-19T19:00:00"/>
        <d v="2017-07-20T14:00:00"/>
        <d v="2017-07-22T08:00:00"/>
        <d v="2017-07-25T19:00:00"/>
        <d v="2017-07-26T19:00:00"/>
        <d v="2017-07-27T14:00:00"/>
        <d v="2017-07-28T09:00:00"/>
        <d v="2017-07-29T08:00:00"/>
        <d v="2017-07-30T09:00:00"/>
        <d v="2017-08-01T19:00:00"/>
        <d v="2017-08-02T19:00:00"/>
        <d v="2017-08-03T14:00:00"/>
        <d v="2017-08-04T09:00:00"/>
        <d v="2017-08-05T08:00:00"/>
        <d v="2017-08-06T09:00:00"/>
        <d v="2017-08-08T19:00:00"/>
        <d v="2017-08-09T19:00:00"/>
        <d v="2017-08-10T14:00:00"/>
        <d v="2017-08-11T09:00:00"/>
        <d v="2017-08-12T08:00:00"/>
        <d v="2017-08-13T09:00:00"/>
        <d v="2017-08-15T19:00:00"/>
        <d v="2017-08-16T19:00:00"/>
        <d v="2017-08-17T14:00:00"/>
        <d v="2017-08-18T09:00:00"/>
        <d v="2017-08-19T08:00:00"/>
        <d v="2017-08-20T09:00:00"/>
        <d v="2017-08-22T19:00:00"/>
        <d v="2017-08-23T19:00:00"/>
        <d v="2017-08-24T14:00:00"/>
        <d v="2017-08-25T09:00:00"/>
        <d v="2017-08-26T08:00:00"/>
        <d v="2017-08-27T09:00:00"/>
        <d v="2017-08-29T19:00:00"/>
        <d v="2017-08-30T19:00:00"/>
        <d v="2017-08-31T14:00:00"/>
        <d v="2017-09-01T09:00:00"/>
        <d v="2017-09-02T08:00:00"/>
        <d v="2017-09-03T09:00:00"/>
        <d v="2017-09-05T19:00:00"/>
        <d v="2017-09-06T19:00:00"/>
        <d v="2017-09-07T14:00:00"/>
        <d v="2017-09-08T09:00:00"/>
        <d v="2017-09-09T08:00:00"/>
        <d v="2017-09-10T09:00:00"/>
        <d v="2017-09-12T19:00:00"/>
        <d v="2017-09-13T19:00:00"/>
        <d v="2017-09-14T14:00:00"/>
        <d v="2017-09-15T09:00:00"/>
        <d v="2017-09-16T08:00:00"/>
        <d v="2017-09-17T09:00:00"/>
        <d v="2017-09-19T19:00:00"/>
        <d v="2017-09-20T19:00:00"/>
        <d v="2017-09-21T14:00:00"/>
        <d v="2017-09-22T09:00:00"/>
        <d v="2017-09-23T08:00:00"/>
        <d v="2017-09-24T09:00:00"/>
        <d v="2017-09-26T19:00:00"/>
        <d v="2017-09-27T19:00:00"/>
        <d v="2017-09-28T14:00:00"/>
        <d v="2017-09-29T09:00:00"/>
        <d v="2017-09-30T08:00:00"/>
        <d v="2017-10-17T19:00:00"/>
        <d v="2017-10-18T14:00:00"/>
        <d v="2017-10-20T08:00:00"/>
        <d v="2017-10-23T19:00:00"/>
        <d v="2017-10-24T19:00:00"/>
        <d v="2017-10-25T14:00:00"/>
        <d v="2017-10-26T09:00:00"/>
        <d v="2017-10-27T08:00:00"/>
        <d v="2017-10-28T09:00:00"/>
        <d v="2017-10-30T19:00:00"/>
        <d v="2017-10-31T19:00:00"/>
        <d v="2017-11-01T14:00:00"/>
        <d v="2017-11-02T09:00:00"/>
        <d v="2017-11-03T08:00:00"/>
        <d v="2017-11-04T09:00:00"/>
        <d v="2017-11-06T19:00:00"/>
        <d v="2017-11-07T19:00:00"/>
        <d v="2017-11-08T14:00:00"/>
        <d v="2017-11-09T09:00:00"/>
        <d v="2017-11-10T08:00:00"/>
        <d v="2017-11-11T09:00:00"/>
        <d v="2017-11-13T19:00:00"/>
        <d v="2017-11-14T19:00:00"/>
        <d v="2017-11-15T14:00:00"/>
        <d v="2017-11-16T09:00:00"/>
        <d v="2017-11-17T08:00:00"/>
        <d v="2017-11-18T09:00:00"/>
        <d v="2017-11-20T19:00:00"/>
        <d v="2017-11-21T19:00:00"/>
        <d v="2017-11-22T14:00:00"/>
        <d v="2017-11-23T09:00:00"/>
        <d v="2017-11-24T08:00:00"/>
        <d v="2017-11-25T09:00:00"/>
        <d v="2017-11-27T19:00:00"/>
        <d v="2017-11-28T19:00:00"/>
        <d v="2017-11-29T14:00:00"/>
        <d v="2017-11-30T09:00:00"/>
        <d v="2017-12-01T08:00:00"/>
        <d v="2017-12-02T09:00:00"/>
        <d v="2017-12-04T19:00:00"/>
        <d v="2017-12-05T19:00:00"/>
        <d v="2017-12-06T14:00:00"/>
        <d v="2017-12-07T09:00:00"/>
        <d v="2017-12-08T08:00:00"/>
        <d v="2017-12-09T09:00:00"/>
        <d v="2017-12-11T19:00:00"/>
        <d v="2017-12-12T19:00:00"/>
        <d v="2017-12-13T14:00:00"/>
        <d v="2017-12-14T09:00:00"/>
        <d v="2017-12-15T08:00:00"/>
        <d v="2017-12-16T09:00:00"/>
        <d v="2017-12-18T19:00:00"/>
        <d v="2017-12-19T19:00:00"/>
        <d v="2017-12-20T14:00:00"/>
        <d v="2017-12-21T09:00:00"/>
        <d v="2017-12-22T08:00:00"/>
        <d v="2017-12-23T09:00:00"/>
        <d v="2017-12-25T19:00:00"/>
        <d v="2017-12-26T19:00:00"/>
        <d v="2017-12-27T14:00:00"/>
        <d v="2017-12-28T09:00:00"/>
        <d v="2017-12-29T08:00:00"/>
        <d v="2018-01-02T14:00:00"/>
        <d v="2018-01-03T09:00:00"/>
        <d v="2018-01-07T19:00:00"/>
        <d v="2018-01-10T09:00:00"/>
        <d v="2018-01-11T08:00:00"/>
        <d v="2018-01-14T19:00:00"/>
        <d v="2018-01-15T19:00:00"/>
        <d v="2018-01-16T14:00:00"/>
        <d v="2018-01-17T09:00:00"/>
        <d v="2018-01-19T09:00:00"/>
        <d v="2018-01-21T19:00:00"/>
        <d v="2018-01-24T09:00:00"/>
        <d v="2018-01-25T08:00:00"/>
        <d v="2018-01-26T09:00:00"/>
        <d v="2018-01-28T19:00:00"/>
        <d v="2018-01-29T19:00:00"/>
        <d v="2018-01-30T14:00:00"/>
        <d v="2018-02-02T09:00:00"/>
        <d v="2018-02-04T19:00:00"/>
        <d v="2018-02-05T19:00:00"/>
        <d v="2018-02-07T09:00:00"/>
        <d v="2018-02-08T08:00:00"/>
        <d v="2018-02-09T09:00:00"/>
        <d v="2018-02-11T19:00:00"/>
        <d v="2018-02-12T19:00:00"/>
        <d v="2018-02-13T14:00:00"/>
        <d v="2018-02-15T08:00:00"/>
        <d v="2018-02-16T09:00:00"/>
        <d v="2018-02-18T19:00:00"/>
        <d v="2018-02-19T19:00:00"/>
        <d v="2018-02-20T14:00:00"/>
        <d v="2018-02-21T09:00:00"/>
        <d v="2018-02-22T08:00:00"/>
        <d v="2018-02-23T09:00:00"/>
        <d v="2018-02-25T19:00:00"/>
        <d v="2018-02-26T19:00:00"/>
        <d v="2018-02-27T14:00:00"/>
        <d v="2018-02-28T09:00:00"/>
        <d v="2018-03-05T19:00:00"/>
        <d v="2018-03-06T14:00:00"/>
        <d v="2018-03-08T08:00:00"/>
        <d v="2018-03-09T09:00:00"/>
        <d v="2018-03-11T19:00:00"/>
        <d v="2018-03-14T09:00:00"/>
        <d v="2018-03-15T08:00:00"/>
        <d v="2018-03-18T19:00:00"/>
        <d v="2018-03-19T19:00:00"/>
        <d v="2018-03-20T14:00:00"/>
        <d v="2018-03-21T09:00:00"/>
        <d v="2018-03-22T08:00:00"/>
        <d v="2018-03-23T09:00:00"/>
        <d v="2018-03-25T19:00:00"/>
        <d v="2018-03-27T14:00:00"/>
        <d v="2018-03-28T09:00:00"/>
        <d v="2018-03-29T08:00:00"/>
        <d v="2018-04-01T19:00:00"/>
        <d v="2018-04-02T19:00:00"/>
        <d v="2018-04-03T14:00:00"/>
        <d v="2018-04-04T09:00:00"/>
        <d v="2018-04-05T08:00:00"/>
        <d v="2018-04-06T09:00:00"/>
        <d v="2018-04-08T19:00:00"/>
        <d v="2018-04-09T19:00:00"/>
        <d v="2018-04-11T09:00:00"/>
        <d v="2018-04-12T08:00:00"/>
        <d v="2018-04-13T09:00:00"/>
        <d v="2018-04-15T19:00:00"/>
        <d v="2018-04-17T14:00:00"/>
        <d v="2018-04-18T09:00:00"/>
        <d v="2018-04-20T09:00:00"/>
        <d v="2018-04-22T19:00:00"/>
        <d v="2018-04-23T19:00:00"/>
        <d v="2018-04-24T14:00:00"/>
        <d v="2018-04-25T09:00:00"/>
        <d v="2018-04-26T08:00:00"/>
        <d v="2018-04-27T09:00:00"/>
        <d v="2018-04-29T19:00:00"/>
        <d v="2018-04-30T19:00:00"/>
        <d v="2018-05-01T14:00:00"/>
        <d v="2018-05-02T09:00:00"/>
        <d v="2018-05-03T08:00:00"/>
        <d v="2018-05-04T09:00:00"/>
        <d v="2018-05-06T19:00:00"/>
        <d v="2018-05-07T19:00:00"/>
        <d v="2018-05-08T14:00:00"/>
        <d v="2018-05-09T09:00:00"/>
        <d v="2018-05-10T08:00:00"/>
        <d v="2018-05-11T09:00:00"/>
        <d v="2018-05-13T19:00:00"/>
        <d v="2018-05-14T19:00:00"/>
        <d v="2018-05-15T14:00:00"/>
        <d v="2018-05-16T09:00:00"/>
        <d v="2018-05-17T08:00:00"/>
        <d v="2018-05-18T09:00:00"/>
        <d v="2018-05-20T19:00:00"/>
        <d v="2018-05-21T19:00:00"/>
        <d v="2018-05-22T14:00:00"/>
        <d v="2018-05-23T09:00:00"/>
        <d v="2018-05-24T08:00:00"/>
        <d v="2018-05-25T09:00:00"/>
        <d v="2018-05-27T19:00:00"/>
        <d v="2018-05-28T19:00:00"/>
        <d v="2018-05-29T14:00:00"/>
        <d v="2018-05-30T09:00:00"/>
        <d v="2018-05-31T08:00:00"/>
        <d v="2018-06-01T09:00:00"/>
        <d v="2018-06-03T19:00:00"/>
        <d v="2018-06-04T19:00:00"/>
        <d v="2018-06-05T14:00:00"/>
        <d v="2018-06-06T09:00:00"/>
        <d v="2018-06-07T08:00:00"/>
        <d v="2018-06-08T09:00:00"/>
        <d v="2018-06-10T19:00:00"/>
        <d v="2018-06-11T19:00:00"/>
        <d v="2018-06-12T14:00:00"/>
        <d v="2018-06-13T09:00:00"/>
        <d v="2018-06-14T08:00:00"/>
        <d v="2018-06-15T09:00:00"/>
        <d v="2018-06-17T19:00:00"/>
        <d v="2018-06-18T19:00:00"/>
        <d v="2018-06-19T14:00:00"/>
        <d v="2018-06-20T09:00:00"/>
        <d v="2018-06-21T08:00:00"/>
        <d v="2018-06-22T09:00:00"/>
        <d v="2018-06-24T19:00:00"/>
        <d v="2018-06-25T19:00:00"/>
        <d v="2018-06-26T14:00:00"/>
        <d v="2018-06-27T09:00:00"/>
        <d v="2018-06-28T08:00:00"/>
        <d v="2018-06-29T09:00:00"/>
        <d v="2018-07-01T19:00:00"/>
        <d v="2018-07-02T19:00:00"/>
        <d v="2018-07-03T14:00:00"/>
        <d v="2018-07-04T09:00:00"/>
        <d v="2018-07-05T08:00:00"/>
        <d v="2018-07-06T09:00:00"/>
        <d v="2018-07-08T19:00:00"/>
        <d v="2018-07-09T19:00:00"/>
        <d v="2018-07-10T14:00:00"/>
        <d v="2018-07-11T09:00:00"/>
        <d v="2018-07-12T08:00:00"/>
        <d v="2018-07-13T09:00:00"/>
        <d v="2018-07-15T19:00:00"/>
        <d v="2018-07-16T19:00:00"/>
        <d v="2018-07-17T14:00:00"/>
        <d v="2018-07-18T09:00:00"/>
        <d v="2018-07-19T08:00:00"/>
        <d v="2018-07-20T09:00:00"/>
        <d v="2018-07-22T19:00:00"/>
        <d v="2018-07-23T19:00:00"/>
        <d v="2018-07-24T14:00:00"/>
        <d v="2018-07-25T09:00:00"/>
        <d v="2018-07-26T08:00:00"/>
        <d v="2018-07-27T09:00:00"/>
        <d v="2018-07-29T19:00:00"/>
        <d v="2018-07-30T19:00:00"/>
        <d v="2018-07-31T14:00:00"/>
        <d v="2018-08-01T09:00:00"/>
        <d v="2018-08-02T08:00:00"/>
        <d v="2018-08-03T09:00:00"/>
        <d v="2018-08-05T19:00:00"/>
        <d v="2018-08-06T19:00:00"/>
        <d v="2018-08-07T14:00:00"/>
        <d v="2018-08-08T09:00:00"/>
        <d v="2018-08-09T08:00:00"/>
        <d v="2018-08-10T09:00:00"/>
        <d v="2018-08-12T19:00:00"/>
        <d v="2018-08-13T19:00:00"/>
        <d v="2018-08-14T14:00:00"/>
        <d v="2018-08-15T09:00:00"/>
        <d v="2018-08-16T08:00:00"/>
        <d v="2018-08-17T09:00:00"/>
        <d v="2018-08-19T19:00:00"/>
        <d v="2018-08-20T19:00:00"/>
        <d v="2018-08-21T14:00:00"/>
        <d v="2018-08-22T09:00:00"/>
        <d v="2018-08-23T08:00:00"/>
        <d v="2018-08-24T09:00:00"/>
        <d v="2018-08-26T19:00:00"/>
        <d v="2018-08-27T19:00:00"/>
        <d v="2018-08-28T14:00:00"/>
        <d v="2018-08-29T09:00:00"/>
        <d v="2018-08-30T08:00:00"/>
        <d v="2018-08-31T09:00:00"/>
        <d v="2018-09-02T19:00:00"/>
        <d v="2018-09-03T19:00:00"/>
        <d v="2018-09-04T14:00:00"/>
        <d v="2018-09-05T09:00:00"/>
        <d v="2018-09-06T08:00:00"/>
        <d v="2018-09-07T09:00:00"/>
        <d v="2018-09-09T19:00:00"/>
        <d v="2018-09-10T19:00:00"/>
        <d v="2018-09-11T14:00:00"/>
        <d v="2018-09-12T09:00:00"/>
        <d v="2018-09-13T08:00:00"/>
        <d v="2018-09-14T09:00:00"/>
        <d v="2018-09-16T19:00:00"/>
        <d v="2018-09-17T19:00:00"/>
        <d v="2018-09-18T14:00:00"/>
        <d v="2018-09-19T09:00:00"/>
        <d v="2018-09-20T08:00:00"/>
        <d v="2018-09-21T09:00:00"/>
        <d v="2018-09-23T19:00:00"/>
        <d v="2018-09-24T19:00:00"/>
        <d v="2018-09-25T14:00:00"/>
        <d v="2018-09-26T09:00:00"/>
        <d v="2018-09-27T08:00:00"/>
        <d v="2018-09-28T09:00:00"/>
        <d v="2018-09-30T19:00:00"/>
      </sharedItems>
      <fieldGroup par="13" base="3">
        <rangePr groupBy="days" startDate="2016-01-01T08:00:00" endDate="2018-09-30T19:00:00"/>
        <groupItems count="368">
          <s v="&lt;01/01/201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0/09/2018"/>
        </groupItems>
      </fieldGroup>
    </cacheField>
    <cacheField name="Data Término" numFmtId="22">
      <sharedItems containsSemiMixedTypes="0" containsNonDate="0" containsDate="1" containsString="0" minDate="2016-01-07T18:00:00" maxDate="2018-10-11T23:00:00"/>
    </cacheField>
    <cacheField name="Cliente" numFmtId="0">
      <sharedItems/>
    </cacheField>
    <cacheField name="Instrutor" numFmtId="0">
      <sharedItems/>
    </cacheField>
    <cacheField name="Feedback" numFmtId="0">
      <sharedItems containsString="0" containsBlank="1" containsNumber="1" containsInteger="1" minValue="2" maxValue="5"/>
    </cacheField>
    <cacheField name="Alunos" numFmtId="0">
      <sharedItems containsSemiMixedTypes="0" containsString="0" containsNumber="1" containsInteger="1" minValue="8" maxValue="12"/>
    </cacheField>
    <cacheField name="Valor" numFmtId="44">
      <sharedItems containsSemiMixedTypes="0" containsString="0" containsNumber="1" containsInteger="1" minValue="31" maxValue="75"/>
    </cacheField>
    <cacheField name="Total" numFmtId="44">
      <sharedItems containsSemiMixedTypes="0" containsString="0" containsNumber="1" containsInteger="1" minValue="248" maxValue="900"/>
    </cacheField>
    <cacheField name="Meses" numFmtId="0" databaseField="0">
      <fieldGroup base="3">
        <rangePr groupBy="months" startDate="2016-01-01T08:00:00" endDate="2018-09-30T19:00:00"/>
        <groupItems count="14">
          <s v="&lt;01/01/201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0/09/2018"/>
        </groupItems>
      </fieldGroup>
    </cacheField>
    <cacheField name="Trimestres" numFmtId="0" databaseField="0">
      <fieldGroup base="3">
        <rangePr groupBy="quarters" startDate="2016-01-01T08:00:00" endDate="2018-09-30T19:00:00"/>
        <groupItems count="6">
          <s v="&lt;01/01/2016"/>
          <s v="Trim1"/>
          <s v="Trim2"/>
          <s v="Trim3"/>
          <s v="Trim4"/>
          <s v="&gt;30/09/2018"/>
        </groupItems>
      </fieldGroup>
    </cacheField>
    <cacheField name="Anos" numFmtId="0" databaseField="0">
      <fieldGroup base="3">
        <rangePr groupBy="years" startDate="2016-01-01T08:00:00" endDate="2018-09-30T19:00:00"/>
        <groupItems count="5">
          <s v="&lt;01/01/2016"/>
          <s v="2016"/>
          <s v="2017"/>
          <s v="2018"/>
          <s v="&gt;30/09/2018"/>
        </groupItems>
      </fieldGroup>
    </cacheField>
    <cacheField name="Treinamento2" numFmtId="0" databaseField="0">
      <fieldGroup base="2">
        <discretePr count="26">
          <x v="4"/>
          <x v="0"/>
          <x v="2"/>
          <x v="6"/>
          <x v="4"/>
          <x v="3"/>
          <x v="2"/>
          <x v="3"/>
          <x v="5"/>
          <x v="5"/>
          <x v="2"/>
          <x v="1"/>
          <x v="0"/>
          <x v="0"/>
          <x v="2"/>
          <x v="3"/>
          <x v="6"/>
          <x v="1"/>
          <x v="2"/>
          <x v="3"/>
          <x v="0"/>
          <x v="2"/>
          <x v="4"/>
          <x v="5"/>
          <x v="4"/>
          <x v="5"/>
        </discretePr>
        <groupItems count="7">
          <s v="Agrupar1"/>
          <s v="Agrupar2"/>
          <s v="Agrupar3"/>
          <s v="Agrupar4"/>
          <s v="Agrupar5"/>
          <s v="Agrupar6"/>
          <s v="Agrupar7"/>
        </groupItems>
      </fieldGroup>
    </cacheField>
    <cacheField name="Vendedor2" numFmtId="0" databaseField="0">
      <fieldGroup base="1">
        <discretePr count="9">
          <x v="0"/>
          <x v="1"/>
          <x v="2"/>
          <x v="0"/>
          <x v="1"/>
          <x v="1"/>
          <x v="0"/>
          <x v="2"/>
          <x v="2"/>
        </discretePr>
        <groupItems count="3">
          <s v="Agrupar1"/>
          <s v="Agrupar2"/>
          <s v="Agrupar3"/>
        </groupItems>
      </fieldGroup>
    </cacheField>
    <cacheField name="Comissão" numFmtId="0" formula="IF(Total&gt;50000,Total*15%,Total*10%)" databaseField="0"/>
    <cacheField name="Líquido" numFmtId="0" formula="Total-Comissão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4">
  <r>
    <n v="4355"/>
    <x v="0"/>
    <x v="0"/>
    <x v="0"/>
    <d v="2016-01-14T12:00:00"/>
    <s v="Pessoa Jurídica"/>
    <s v="Douglas"/>
    <n v="4"/>
    <n v="9"/>
    <n v="41"/>
    <n v="369"/>
  </r>
  <r>
    <n v="4356"/>
    <x v="1"/>
    <x v="1"/>
    <x v="0"/>
    <d v="2016-01-14T12:00:00"/>
    <s v="Pessoa Jurídica"/>
    <s v="Roberto"/>
    <n v="2"/>
    <n v="11"/>
    <n v="62"/>
    <n v="682"/>
  </r>
  <r>
    <n v="4357"/>
    <x v="2"/>
    <x v="2"/>
    <x v="1"/>
    <d v="2016-01-07T18:00:00"/>
    <s v="Pessoa Jurídica"/>
    <s v="Caio"/>
    <n v="2"/>
    <n v="11"/>
    <n v="33"/>
    <n v="363"/>
  </r>
  <r>
    <n v="4358"/>
    <x v="3"/>
    <x v="3"/>
    <x v="2"/>
    <d v="2016-01-15T23:00:00"/>
    <s v="Pessoa Física"/>
    <s v="Sérgio"/>
    <n v="3"/>
    <n v="12"/>
    <n v="47"/>
    <n v="564"/>
  </r>
  <r>
    <n v="4359"/>
    <x v="2"/>
    <x v="4"/>
    <x v="2"/>
    <d v="2016-01-15T23:00:00"/>
    <s v="Pessoa Jurídica"/>
    <s v="Sandra"/>
    <n v="2"/>
    <n v="11"/>
    <n v="47"/>
    <n v="517"/>
  </r>
  <r>
    <n v="4360"/>
    <x v="4"/>
    <x v="5"/>
    <x v="3"/>
    <d v="2016-01-18T23:00:00"/>
    <s v="Pessoa Jurídica"/>
    <s v="Rosana"/>
    <n v="5"/>
    <n v="11"/>
    <n v="73"/>
    <n v="803"/>
  </r>
  <r>
    <n v="4361"/>
    <x v="5"/>
    <x v="6"/>
    <x v="4"/>
    <d v="2016-01-19T18:00:00"/>
    <s v="Pessoa Jurídica"/>
    <s v="Caio"/>
    <n v="5"/>
    <n v="10"/>
    <n v="42"/>
    <n v="420"/>
  </r>
  <r>
    <n v="4362"/>
    <x v="6"/>
    <x v="7"/>
    <x v="4"/>
    <d v="2016-01-19T18:00:00"/>
    <s v="Pessoa Jurídica"/>
    <s v="Humberto"/>
    <n v="4"/>
    <n v="10"/>
    <n v="61"/>
    <n v="610"/>
  </r>
  <r>
    <n v="4363"/>
    <x v="0"/>
    <x v="4"/>
    <x v="4"/>
    <d v="2016-01-19T18:00:00"/>
    <s v="Pessoa Jurídica"/>
    <s v="Paulo"/>
    <n v="4"/>
    <n v="9"/>
    <n v="47"/>
    <n v="423"/>
  </r>
  <r>
    <n v="4364"/>
    <x v="1"/>
    <x v="3"/>
    <x v="5"/>
    <d v="2016-01-21T12:00:00"/>
    <s v="Pessoa Jurídica"/>
    <s v="Sérgio"/>
    <n v="5"/>
    <n v="9"/>
    <n v="47"/>
    <n v="423"/>
  </r>
  <r>
    <n v="4365"/>
    <x v="2"/>
    <x v="6"/>
    <x v="6"/>
    <d v="2016-01-14T18:00:00"/>
    <s v="Pessoa Física"/>
    <s v="Fernando"/>
    <n v="5"/>
    <n v="10"/>
    <n v="42"/>
    <n v="420"/>
  </r>
  <r>
    <n v="4366"/>
    <x v="6"/>
    <x v="8"/>
    <x v="6"/>
    <d v="2016-01-14T18:00:00"/>
    <s v="Pessoa Física"/>
    <s v="Roberto"/>
    <n v="3"/>
    <n v="10"/>
    <n v="47"/>
    <n v="470"/>
  </r>
  <r>
    <n v="4367"/>
    <x v="4"/>
    <x v="4"/>
    <x v="6"/>
    <d v="2016-01-14T18:00:00"/>
    <s v="Pessoa Jurídica"/>
    <s v="Ana"/>
    <n v="3"/>
    <n v="12"/>
    <n v="47"/>
    <n v="564"/>
  </r>
  <r>
    <n v="4368"/>
    <x v="7"/>
    <x v="4"/>
    <x v="7"/>
    <d v="2016-01-22T23:00:00"/>
    <s v="Pessoa Jurídica"/>
    <s v="Ana"/>
    <n v="5"/>
    <n v="9"/>
    <n v="47"/>
    <n v="423"/>
  </r>
  <r>
    <n v="4369"/>
    <x v="7"/>
    <x v="6"/>
    <x v="8"/>
    <d v="2016-01-26T18:00:00"/>
    <s v="Pessoa Jurídica"/>
    <s v="Rosana"/>
    <n v="5"/>
    <n v="12"/>
    <n v="42"/>
    <n v="504"/>
  </r>
  <r>
    <n v="4370"/>
    <x v="7"/>
    <x v="8"/>
    <x v="8"/>
    <d v="2016-01-26T18:00:00"/>
    <s v="Pessoa Física"/>
    <s v="Humberto"/>
    <n v="2"/>
    <n v="8"/>
    <n v="47"/>
    <n v="376"/>
  </r>
  <r>
    <n v="4371"/>
    <x v="5"/>
    <x v="3"/>
    <x v="9"/>
    <d v="2016-01-20T18:00:00"/>
    <s v="Pessoa Jurídica"/>
    <s v="Caio"/>
    <n v="5"/>
    <n v="8"/>
    <n v="47"/>
    <n v="376"/>
  </r>
  <r>
    <n v="4372"/>
    <x v="6"/>
    <x v="3"/>
    <x v="10"/>
    <d v="2016-01-29T23:00:00"/>
    <s v="Pessoa Jurídica"/>
    <s v="Manuel"/>
    <n v="5"/>
    <n v="12"/>
    <n v="47"/>
    <n v="564"/>
  </r>
  <r>
    <n v="4373"/>
    <x v="4"/>
    <x v="1"/>
    <x v="10"/>
    <d v="2016-01-29T23:00:00"/>
    <s v="Pessoa Jurídica"/>
    <s v="Douglas"/>
    <n v="3"/>
    <n v="12"/>
    <n v="62"/>
    <n v="744"/>
  </r>
  <r>
    <n v="4374"/>
    <x v="3"/>
    <x v="5"/>
    <x v="10"/>
    <d v="2016-01-29T23:00:00"/>
    <s v="Pessoa Física"/>
    <s v="Paulo"/>
    <n v="3"/>
    <n v="8"/>
    <n v="73"/>
    <n v="584"/>
  </r>
  <r>
    <n v="4375"/>
    <x v="2"/>
    <x v="9"/>
    <x v="10"/>
    <d v="2016-01-29T23:00:00"/>
    <s v="Pessoa Jurídica"/>
    <s v="Roberto"/>
    <n v="2"/>
    <n v="12"/>
    <n v="61"/>
    <n v="732"/>
  </r>
  <r>
    <n v="4376"/>
    <x v="6"/>
    <x v="10"/>
    <x v="11"/>
    <d v="2016-01-27T18:00:00"/>
    <s v="Pessoa Física"/>
    <s v="Caio"/>
    <n v="5"/>
    <n v="10"/>
    <n v="51"/>
    <n v="510"/>
  </r>
  <r>
    <n v="4377"/>
    <x v="8"/>
    <x v="0"/>
    <x v="11"/>
    <d v="2016-01-27T18:00:00"/>
    <s v="Pessoa Física"/>
    <s v="Leandro"/>
    <n v="3"/>
    <n v="12"/>
    <n v="41"/>
    <n v="492"/>
  </r>
  <r>
    <n v="4378"/>
    <x v="4"/>
    <x v="11"/>
    <x v="12"/>
    <d v="2016-02-04T12:00:00"/>
    <s v="Pessoa Jurídica"/>
    <s v="Douglas"/>
    <n v="3"/>
    <n v="8"/>
    <n v="31"/>
    <n v="248"/>
  </r>
  <r>
    <n v="4379"/>
    <x v="6"/>
    <x v="11"/>
    <x v="12"/>
    <d v="2016-02-04T12:00:00"/>
    <s v="Pessoa Jurídica"/>
    <s v="Fernando"/>
    <n v="2"/>
    <n v="8"/>
    <n v="31"/>
    <n v="248"/>
  </r>
  <r>
    <n v="4380"/>
    <x v="8"/>
    <x v="4"/>
    <x v="13"/>
    <d v="2016-02-05T23:00:00"/>
    <s v="Pessoa Jurídica"/>
    <s v="Caio"/>
    <n v="3"/>
    <n v="12"/>
    <n v="47"/>
    <n v="564"/>
  </r>
  <r>
    <n v="4381"/>
    <x v="8"/>
    <x v="2"/>
    <x v="13"/>
    <d v="2016-02-05T23:00:00"/>
    <s v="Pessoa Física"/>
    <s v="José"/>
    <n v="3"/>
    <n v="8"/>
    <n v="33"/>
    <n v="264"/>
  </r>
  <r>
    <n v="4382"/>
    <x v="6"/>
    <x v="8"/>
    <x v="13"/>
    <d v="2016-02-05T23:00:00"/>
    <s v="Pessoa Física"/>
    <s v="Ana"/>
    <n v="2"/>
    <n v="9"/>
    <n v="47"/>
    <n v="423"/>
  </r>
  <r>
    <n v="4383"/>
    <x v="3"/>
    <x v="12"/>
    <x v="14"/>
    <d v="2016-02-08T23:00:00"/>
    <s v="Pessoa Física"/>
    <s v="Paulo"/>
    <n v="3"/>
    <n v="11"/>
    <n v="52"/>
    <n v="572"/>
  </r>
  <r>
    <n v="4384"/>
    <x v="2"/>
    <x v="4"/>
    <x v="14"/>
    <d v="2016-02-08T23:00:00"/>
    <s v="Pessoa Física"/>
    <s v="Fernando"/>
    <n v="3"/>
    <n v="8"/>
    <n v="47"/>
    <n v="376"/>
  </r>
  <r>
    <n v="4385"/>
    <x v="3"/>
    <x v="12"/>
    <x v="14"/>
    <d v="2016-02-08T23:00:00"/>
    <s v="Pessoa Física"/>
    <s v="Paulo"/>
    <n v="4"/>
    <n v="9"/>
    <n v="52"/>
    <n v="468"/>
  </r>
  <r>
    <n v="4386"/>
    <x v="3"/>
    <x v="4"/>
    <x v="15"/>
    <d v="2016-02-09T18:00:00"/>
    <s v="Pessoa Jurídica"/>
    <s v="Leandro"/>
    <n v="2"/>
    <n v="11"/>
    <n v="47"/>
    <n v="517"/>
  </r>
  <r>
    <n v="4387"/>
    <x v="5"/>
    <x v="1"/>
    <x v="16"/>
    <d v="2016-02-03T18:00:00"/>
    <s v="Pessoa Física"/>
    <s v="José"/>
    <n v="4"/>
    <n v="11"/>
    <n v="62"/>
    <n v="682"/>
  </r>
  <r>
    <n v="4388"/>
    <x v="1"/>
    <x v="11"/>
    <x v="17"/>
    <d v="2016-02-04T18:00:00"/>
    <s v="Pessoa Jurídica"/>
    <s v="Henrique"/>
    <n v="4"/>
    <n v="10"/>
    <n v="31"/>
    <n v="310"/>
  </r>
  <r>
    <n v="4389"/>
    <x v="5"/>
    <x v="4"/>
    <x v="17"/>
    <d v="2016-02-04T18:00:00"/>
    <s v="Pessoa Jurídica"/>
    <s v="Caio"/>
    <n v="5"/>
    <n v="9"/>
    <n v="47"/>
    <n v="423"/>
  </r>
  <r>
    <n v="4390"/>
    <x v="0"/>
    <x v="5"/>
    <x v="18"/>
    <d v="2016-02-12T23:00:00"/>
    <s v="Pessoa Física"/>
    <s v="Joaquim"/>
    <n v="3"/>
    <n v="11"/>
    <n v="73"/>
    <n v="803"/>
  </r>
  <r>
    <n v="4391"/>
    <x v="7"/>
    <x v="8"/>
    <x v="18"/>
    <d v="2016-02-12T23:00:00"/>
    <s v="Pessoa Física"/>
    <s v="José"/>
    <n v="3"/>
    <n v="11"/>
    <n v="47"/>
    <n v="517"/>
  </r>
  <r>
    <n v="4392"/>
    <x v="1"/>
    <x v="1"/>
    <x v="18"/>
    <d v="2016-02-12T23:00:00"/>
    <s v="Pessoa Física"/>
    <s v="Sérgio"/>
    <n v="4"/>
    <n v="8"/>
    <n v="62"/>
    <n v="496"/>
  </r>
  <r>
    <n v="4393"/>
    <x v="7"/>
    <x v="11"/>
    <x v="18"/>
    <d v="2016-02-12T23:00:00"/>
    <s v="Pessoa Jurídica"/>
    <s v="Fernando"/>
    <n v="2"/>
    <n v="8"/>
    <n v="31"/>
    <n v="248"/>
  </r>
  <r>
    <n v="4394"/>
    <x v="1"/>
    <x v="1"/>
    <x v="18"/>
    <d v="2016-02-12T23:00:00"/>
    <s v="Pessoa Física"/>
    <s v="Fernando"/>
    <n v="2"/>
    <n v="8"/>
    <n v="62"/>
    <n v="496"/>
  </r>
  <r>
    <n v="4395"/>
    <x v="3"/>
    <x v="7"/>
    <x v="18"/>
    <d v="2016-02-12T23:00:00"/>
    <s v="Pessoa Jurídica"/>
    <s v="Fernando"/>
    <n v="3"/>
    <n v="8"/>
    <n v="61"/>
    <n v="488"/>
  </r>
  <r>
    <n v="4396"/>
    <x v="4"/>
    <x v="6"/>
    <x v="18"/>
    <d v="2016-02-12T23:00:00"/>
    <s v="Pessoa Física"/>
    <s v="Paulo"/>
    <n v="3"/>
    <n v="10"/>
    <n v="42"/>
    <n v="420"/>
  </r>
  <r>
    <n v="4397"/>
    <x v="4"/>
    <x v="0"/>
    <x v="18"/>
    <d v="2016-02-12T23:00:00"/>
    <s v="Pessoa Física"/>
    <s v="Sandra"/>
    <n v="3"/>
    <n v="11"/>
    <n v="41"/>
    <n v="451"/>
  </r>
  <r>
    <n v="4398"/>
    <x v="8"/>
    <x v="11"/>
    <x v="19"/>
    <d v="2016-02-10T18:00:00"/>
    <s v="Pessoa Física"/>
    <s v="Rosana"/>
    <n v="3"/>
    <n v="9"/>
    <n v="31"/>
    <n v="279"/>
  </r>
  <r>
    <n v="4399"/>
    <x v="2"/>
    <x v="11"/>
    <x v="19"/>
    <d v="2016-02-10T18:00:00"/>
    <s v="Pessoa Jurídica"/>
    <s v="Henrique"/>
    <n v="5"/>
    <n v="11"/>
    <n v="31"/>
    <n v="341"/>
  </r>
  <r>
    <n v="4400"/>
    <x v="3"/>
    <x v="3"/>
    <x v="20"/>
    <d v="2016-02-18T12:00:00"/>
    <s v="Pessoa Jurídica"/>
    <s v="Manuel"/>
    <n v="4"/>
    <n v="12"/>
    <n v="47"/>
    <n v="564"/>
  </r>
  <r>
    <n v="4401"/>
    <x v="7"/>
    <x v="0"/>
    <x v="20"/>
    <d v="2016-02-18T12:00:00"/>
    <s v="Pessoa Física"/>
    <s v="Sandra"/>
    <n v="3"/>
    <n v="12"/>
    <n v="41"/>
    <n v="492"/>
  </r>
  <r>
    <n v="4402"/>
    <x v="0"/>
    <x v="7"/>
    <x v="21"/>
    <d v="2016-02-11T18:00:00"/>
    <s v="Pessoa Jurídica"/>
    <s v="Rosana"/>
    <n v="5"/>
    <n v="8"/>
    <n v="61"/>
    <n v="488"/>
  </r>
  <r>
    <n v="4403"/>
    <x v="5"/>
    <x v="3"/>
    <x v="22"/>
    <d v="2016-02-19T23:00:00"/>
    <s v="Pessoa Jurídica"/>
    <s v="Ana"/>
    <n v="5"/>
    <n v="12"/>
    <n v="47"/>
    <n v="564"/>
  </r>
  <r>
    <n v="4404"/>
    <x v="6"/>
    <x v="11"/>
    <x v="23"/>
    <d v="2016-02-22T23:00:00"/>
    <s v="Pessoa Física"/>
    <s v="Caio"/>
    <n v="3"/>
    <n v="9"/>
    <n v="31"/>
    <n v="279"/>
  </r>
  <r>
    <n v="4405"/>
    <x v="6"/>
    <x v="0"/>
    <x v="23"/>
    <d v="2016-02-22T23:00:00"/>
    <s v="Pessoa Física"/>
    <s v="Joaquim"/>
    <n v="5"/>
    <n v="10"/>
    <n v="41"/>
    <n v="410"/>
  </r>
  <r>
    <n v="4406"/>
    <x v="0"/>
    <x v="4"/>
    <x v="23"/>
    <d v="2016-02-22T23:00:00"/>
    <s v="Pessoa Jurídica"/>
    <s v="Douglas"/>
    <n v="4"/>
    <n v="10"/>
    <n v="47"/>
    <n v="470"/>
  </r>
  <r>
    <n v="4407"/>
    <x v="1"/>
    <x v="9"/>
    <x v="23"/>
    <d v="2016-02-22T23:00:00"/>
    <s v="Pessoa Jurídica"/>
    <s v="Humberto"/>
    <n v="2"/>
    <n v="9"/>
    <n v="61"/>
    <n v="549"/>
  </r>
  <r>
    <n v="4408"/>
    <x v="6"/>
    <x v="5"/>
    <x v="24"/>
    <d v="2016-02-23T18:00:00"/>
    <s v="Pessoa Física"/>
    <s v="Douglas"/>
    <n v="4"/>
    <n v="12"/>
    <n v="73"/>
    <n v="876"/>
  </r>
  <r>
    <n v="4409"/>
    <x v="2"/>
    <x v="0"/>
    <x v="24"/>
    <d v="2016-02-23T18:00:00"/>
    <s v="Pessoa Física"/>
    <s v="Fernando"/>
    <n v="5"/>
    <n v="11"/>
    <n v="41"/>
    <n v="451"/>
  </r>
  <r>
    <n v="4410"/>
    <x v="7"/>
    <x v="6"/>
    <x v="24"/>
    <d v="2016-02-23T18:00:00"/>
    <s v="Pessoa Física"/>
    <s v="Douglas"/>
    <n v="3"/>
    <n v="9"/>
    <n v="42"/>
    <n v="378"/>
  </r>
  <r>
    <n v="4411"/>
    <x v="7"/>
    <x v="9"/>
    <x v="25"/>
    <d v="2016-02-18T18:00:00"/>
    <s v="Pessoa Jurídica"/>
    <s v="Roberto"/>
    <n v="5"/>
    <n v="9"/>
    <n v="61"/>
    <n v="549"/>
  </r>
  <r>
    <n v="4412"/>
    <x v="2"/>
    <x v="1"/>
    <x v="25"/>
    <d v="2016-02-18T18:00:00"/>
    <s v="Pessoa Jurídica"/>
    <s v="Caio"/>
    <n v="4"/>
    <n v="10"/>
    <n v="62"/>
    <n v="620"/>
  </r>
  <r>
    <n v="4413"/>
    <x v="4"/>
    <x v="6"/>
    <x v="26"/>
    <d v="2016-02-26T23:00:00"/>
    <s v="Pessoa Física"/>
    <s v="Rosana"/>
    <n v="5"/>
    <n v="11"/>
    <n v="42"/>
    <n v="462"/>
  </r>
  <r>
    <n v="4414"/>
    <x v="4"/>
    <x v="8"/>
    <x v="27"/>
    <d v="2016-02-29T23:00:00"/>
    <s v="Pessoa Jurídica"/>
    <s v="José"/>
    <n v="5"/>
    <n v="8"/>
    <n v="47"/>
    <n v="376"/>
  </r>
  <r>
    <n v="4415"/>
    <x v="2"/>
    <x v="11"/>
    <x v="28"/>
    <d v="2016-02-24T18:00:00"/>
    <s v="Pessoa Jurídica"/>
    <s v="Caio"/>
    <n v="5"/>
    <n v="11"/>
    <n v="31"/>
    <n v="341"/>
  </r>
  <r>
    <n v="4416"/>
    <x v="3"/>
    <x v="5"/>
    <x v="29"/>
    <d v="2016-03-03T12:00:00"/>
    <s v="Pessoa Jurídica"/>
    <s v="Paulo"/>
    <n v="4"/>
    <n v="12"/>
    <n v="73"/>
    <n v="876"/>
  </r>
  <r>
    <n v="4417"/>
    <x v="4"/>
    <x v="8"/>
    <x v="29"/>
    <d v="2016-03-03T12:00:00"/>
    <s v="Pessoa Jurídica"/>
    <s v="Caio"/>
    <n v="2"/>
    <n v="12"/>
    <n v="47"/>
    <n v="564"/>
  </r>
  <r>
    <n v="4418"/>
    <x v="7"/>
    <x v="5"/>
    <x v="30"/>
    <d v="2016-02-25T18:00:00"/>
    <s v="Pessoa Física"/>
    <s v="Ana"/>
    <n v="4"/>
    <n v="9"/>
    <n v="73"/>
    <n v="657"/>
  </r>
  <r>
    <n v="4419"/>
    <x v="5"/>
    <x v="11"/>
    <x v="31"/>
    <d v="2016-03-04T23:00:00"/>
    <s v="Pessoa Jurídica"/>
    <s v="Sandra"/>
    <n v="2"/>
    <n v="9"/>
    <n v="31"/>
    <n v="279"/>
  </r>
  <r>
    <n v="4420"/>
    <x v="3"/>
    <x v="2"/>
    <x v="32"/>
    <d v="2016-03-07T23:00:00"/>
    <s v="Pessoa Física"/>
    <s v="Sandra"/>
    <n v="3"/>
    <n v="10"/>
    <n v="33"/>
    <n v="330"/>
  </r>
  <r>
    <n v="4421"/>
    <x v="7"/>
    <x v="2"/>
    <x v="32"/>
    <d v="2016-03-07T23:00:00"/>
    <s v="Pessoa Jurídica"/>
    <s v="Fernando"/>
    <n v="5"/>
    <n v="11"/>
    <n v="33"/>
    <n v="363"/>
  </r>
  <r>
    <n v="4422"/>
    <x v="4"/>
    <x v="8"/>
    <x v="33"/>
    <d v="2016-03-08T18:00:00"/>
    <s v="Pessoa Física"/>
    <s v="Sérgio"/>
    <n v="2"/>
    <n v="12"/>
    <n v="47"/>
    <n v="564"/>
  </r>
  <r>
    <n v="4423"/>
    <x v="2"/>
    <x v="5"/>
    <x v="33"/>
    <d v="2016-03-08T18:00:00"/>
    <s v="Pessoa Jurídica"/>
    <s v="Sandra"/>
    <n v="3"/>
    <n v="11"/>
    <n v="73"/>
    <n v="803"/>
  </r>
  <r>
    <n v="4424"/>
    <x v="5"/>
    <x v="10"/>
    <x v="34"/>
    <d v="2016-03-10T12:00:00"/>
    <s v="Pessoa Jurídica"/>
    <s v="Sandra"/>
    <n v="4"/>
    <n v="12"/>
    <n v="51"/>
    <n v="612"/>
  </r>
  <r>
    <n v="4425"/>
    <x v="4"/>
    <x v="4"/>
    <x v="34"/>
    <d v="2016-03-10T12:00:00"/>
    <s v="Pessoa Física"/>
    <s v="Sandra"/>
    <n v="3"/>
    <n v="8"/>
    <n v="47"/>
    <n v="376"/>
  </r>
  <r>
    <n v="4426"/>
    <x v="2"/>
    <x v="1"/>
    <x v="35"/>
    <d v="2016-03-03T18:00:00"/>
    <s v="Pessoa Jurídica"/>
    <s v="Jane"/>
    <n v="4"/>
    <n v="12"/>
    <n v="62"/>
    <n v="744"/>
  </r>
  <r>
    <n v="4427"/>
    <x v="6"/>
    <x v="1"/>
    <x v="35"/>
    <d v="2016-03-03T18:00:00"/>
    <s v="Pessoa Física"/>
    <s v="Caio"/>
    <n v="2"/>
    <n v="12"/>
    <n v="62"/>
    <n v="744"/>
  </r>
  <r>
    <n v="4428"/>
    <x v="2"/>
    <x v="3"/>
    <x v="36"/>
    <d v="2016-03-11T23:00:00"/>
    <s v="Pessoa Jurídica"/>
    <s v="Humberto"/>
    <n v="5"/>
    <n v="12"/>
    <n v="47"/>
    <n v="564"/>
  </r>
  <r>
    <n v="4429"/>
    <x v="5"/>
    <x v="11"/>
    <x v="37"/>
    <d v="2016-03-14T23:00:00"/>
    <s v="Pessoa Jurídica"/>
    <s v="José"/>
    <n v="5"/>
    <n v="8"/>
    <n v="31"/>
    <n v="248"/>
  </r>
  <r>
    <n v="4430"/>
    <x v="2"/>
    <x v="11"/>
    <x v="37"/>
    <d v="2016-03-14T23:00:00"/>
    <s v="Pessoa Jurídica"/>
    <s v="Paulo"/>
    <n v="3"/>
    <n v="11"/>
    <n v="31"/>
    <n v="341"/>
  </r>
  <r>
    <n v="4431"/>
    <x v="5"/>
    <x v="2"/>
    <x v="37"/>
    <d v="2016-03-14T23:00:00"/>
    <s v="Pessoa Física"/>
    <s v="Jane"/>
    <n v="3"/>
    <n v="11"/>
    <n v="33"/>
    <n v="363"/>
  </r>
  <r>
    <n v="4432"/>
    <x v="5"/>
    <x v="1"/>
    <x v="37"/>
    <d v="2016-03-14T23:00:00"/>
    <s v="Pessoa Física"/>
    <s v="Henrique"/>
    <n v="3"/>
    <n v="12"/>
    <n v="62"/>
    <n v="744"/>
  </r>
  <r>
    <n v="4433"/>
    <x v="7"/>
    <x v="0"/>
    <x v="38"/>
    <d v="2016-03-15T18:00:00"/>
    <s v="Pessoa Jurídica"/>
    <s v="Fernando"/>
    <n v="3"/>
    <n v="10"/>
    <n v="41"/>
    <n v="410"/>
  </r>
  <r>
    <n v="4434"/>
    <x v="7"/>
    <x v="11"/>
    <x v="38"/>
    <d v="2016-03-15T18:00:00"/>
    <s v="Pessoa Jurídica"/>
    <s v="Sérgio"/>
    <n v="5"/>
    <n v="12"/>
    <n v="31"/>
    <n v="372"/>
  </r>
  <r>
    <n v="4435"/>
    <x v="6"/>
    <x v="0"/>
    <x v="38"/>
    <d v="2016-03-15T18:00:00"/>
    <s v="Pessoa Jurídica"/>
    <s v="Douglas"/>
    <n v="3"/>
    <n v="11"/>
    <n v="41"/>
    <n v="451"/>
  </r>
  <r>
    <n v="4436"/>
    <x v="6"/>
    <x v="10"/>
    <x v="39"/>
    <d v="2016-03-09T18:00:00"/>
    <s v="Pessoa Jurídica"/>
    <s v="Ana"/>
    <n v="5"/>
    <n v="11"/>
    <n v="51"/>
    <n v="561"/>
  </r>
  <r>
    <n v="4437"/>
    <x v="5"/>
    <x v="11"/>
    <x v="40"/>
    <d v="2016-03-17T12:00:00"/>
    <s v="Pessoa Jurídica"/>
    <s v="José"/>
    <n v="5"/>
    <n v="9"/>
    <n v="31"/>
    <n v="279"/>
  </r>
  <r>
    <n v="4438"/>
    <x v="2"/>
    <x v="9"/>
    <x v="40"/>
    <d v="2016-03-17T12:00:00"/>
    <s v="Pessoa Física"/>
    <s v="Rosana"/>
    <n v="2"/>
    <n v="10"/>
    <n v="61"/>
    <n v="610"/>
  </r>
  <r>
    <n v="4439"/>
    <x v="7"/>
    <x v="12"/>
    <x v="40"/>
    <d v="2016-03-17T12:00:00"/>
    <s v="Pessoa Física"/>
    <s v="Sérgio"/>
    <n v="5"/>
    <n v="12"/>
    <n v="52"/>
    <n v="624"/>
  </r>
  <r>
    <n v="4440"/>
    <x v="5"/>
    <x v="2"/>
    <x v="41"/>
    <d v="2016-03-10T18:00:00"/>
    <s v="Pessoa Jurídica"/>
    <s v="Paulo"/>
    <n v="5"/>
    <n v="8"/>
    <n v="33"/>
    <n v="264"/>
  </r>
  <r>
    <n v="4441"/>
    <x v="2"/>
    <x v="0"/>
    <x v="41"/>
    <d v="2016-03-10T18:00:00"/>
    <s v="Pessoa Física"/>
    <s v="Henrique"/>
    <n v="5"/>
    <n v="10"/>
    <n v="41"/>
    <n v="410"/>
  </r>
  <r>
    <n v="4442"/>
    <x v="5"/>
    <x v="9"/>
    <x v="41"/>
    <d v="2016-03-10T18:00:00"/>
    <s v="Pessoa Física"/>
    <s v="Caio"/>
    <n v="2"/>
    <n v="10"/>
    <n v="61"/>
    <n v="610"/>
  </r>
  <r>
    <n v="4443"/>
    <x v="3"/>
    <x v="2"/>
    <x v="42"/>
    <d v="2016-03-18T23:00:00"/>
    <s v="Pessoa Física"/>
    <s v="Rosana"/>
    <n v="3"/>
    <n v="8"/>
    <n v="33"/>
    <n v="264"/>
  </r>
  <r>
    <n v="4444"/>
    <x v="4"/>
    <x v="6"/>
    <x v="43"/>
    <d v="2016-03-21T23:00:00"/>
    <s v="Pessoa Física"/>
    <s v="Jane"/>
    <n v="3"/>
    <n v="12"/>
    <n v="42"/>
    <n v="504"/>
  </r>
  <r>
    <n v="4445"/>
    <x v="7"/>
    <x v="0"/>
    <x v="44"/>
    <d v="2016-03-22T18:00:00"/>
    <s v="Pessoa Jurídica"/>
    <s v="Manuel"/>
    <n v="4"/>
    <n v="12"/>
    <n v="41"/>
    <n v="492"/>
  </r>
  <r>
    <n v="4446"/>
    <x v="0"/>
    <x v="6"/>
    <x v="44"/>
    <d v="2016-03-22T18:00:00"/>
    <s v="Pessoa Física"/>
    <s v="Ana"/>
    <n v="5"/>
    <n v="8"/>
    <n v="42"/>
    <n v="336"/>
  </r>
  <r>
    <n v="4447"/>
    <x v="2"/>
    <x v="11"/>
    <x v="45"/>
    <d v="2016-03-16T18:00:00"/>
    <s v="Pessoa Física"/>
    <s v="Roberto"/>
    <n v="5"/>
    <n v="10"/>
    <n v="31"/>
    <n v="310"/>
  </r>
  <r>
    <n v="4448"/>
    <x v="3"/>
    <x v="1"/>
    <x v="46"/>
    <d v="2016-03-28T23:00:00"/>
    <s v="Pessoa Jurídica"/>
    <s v="Sandra"/>
    <n v="4"/>
    <n v="8"/>
    <n v="62"/>
    <n v="496"/>
  </r>
  <r>
    <n v="4449"/>
    <x v="2"/>
    <x v="5"/>
    <x v="47"/>
    <d v="2016-03-29T18:00:00"/>
    <s v="Pessoa Jurídica"/>
    <s v="Fernando"/>
    <n v="5"/>
    <n v="12"/>
    <n v="73"/>
    <n v="876"/>
  </r>
  <r>
    <n v="4450"/>
    <x v="1"/>
    <x v="3"/>
    <x v="48"/>
    <d v="2016-03-31T12:00:00"/>
    <s v="Pessoa Física"/>
    <s v="Manuel"/>
    <n v="3"/>
    <n v="9"/>
    <n v="47"/>
    <n v="423"/>
  </r>
  <r>
    <n v="4451"/>
    <x v="7"/>
    <x v="0"/>
    <x v="49"/>
    <d v="2016-03-24T18:00:00"/>
    <s v="Pessoa Jurídica"/>
    <s v="José"/>
    <n v="5"/>
    <n v="9"/>
    <n v="41"/>
    <n v="369"/>
  </r>
  <r>
    <n v="4452"/>
    <x v="0"/>
    <x v="2"/>
    <x v="49"/>
    <d v="2016-03-24T18:00:00"/>
    <s v="Pessoa Física"/>
    <s v="Caio"/>
    <n v="5"/>
    <n v="8"/>
    <n v="33"/>
    <n v="264"/>
  </r>
  <r>
    <n v="4453"/>
    <x v="8"/>
    <x v="9"/>
    <x v="49"/>
    <d v="2016-03-24T18:00:00"/>
    <s v="Pessoa Jurídica"/>
    <s v="Humberto"/>
    <n v="4"/>
    <n v="12"/>
    <n v="61"/>
    <n v="732"/>
  </r>
  <r>
    <n v="4454"/>
    <x v="8"/>
    <x v="2"/>
    <x v="49"/>
    <d v="2016-03-24T18:00:00"/>
    <s v="Pessoa Física"/>
    <s v="Sérgio"/>
    <n v="3"/>
    <n v="11"/>
    <n v="33"/>
    <n v="363"/>
  </r>
  <r>
    <n v="4455"/>
    <x v="1"/>
    <x v="9"/>
    <x v="50"/>
    <d v="2016-04-01T23:00:00"/>
    <s v="Pessoa Jurídica"/>
    <s v="Rosana"/>
    <n v="3"/>
    <n v="10"/>
    <n v="61"/>
    <n v="610"/>
  </r>
  <r>
    <n v="4456"/>
    <x v="6"/>
    <x v="12"/>
    <x v="50"/>
    <d v="2016-04-01T23:00:00"/>
    <s v="Pessoa Física"/>
    <s v="Leandro"/>
    <n v="2"/>
    <n v="9"/>
    <n v="52"/>
    <n v="468"/>
  </r>
  <r>
    <n v="4457"/>
    <x v="5"/>
    <x v="0"/>
    <x v="50"/>
    <d v="2016-04-01T23:00:00"/>
    <s v="Pessoa Física"/>
    <s v="Caio"/>
    <n v="5"/>
    <n v="10"/>
    <n v="41"/>
    <n v="410"/>
  </r>
  <r>
    <n v="4458"/>
    <x v="7"/>
    <x v="8"/>
    <x v="51"/>
    <d v="2016-03-30T18:00:00"/>
    <s v="Pessoa Jurídica"/>
    <s v="Sandra"/>
    <n v="2"/>
    <n v="12"/>
    <n v="47"/>
    <n v="564"/>
  </r>
  <r>
    <n v="4459"/>
    <x v="4"/>
    <x v="10"/>
    <x v="51"/>
    <d v="2016-03-30T18:00:00"/>
    <s v="Pessoa Jurídica"/>
    <s v="Humberto"/>
    <n v="4"/>
    <n v="12"/>
    <n v="51"/>
    <n v="612"/>
  </r>
  <r>
    <n v="4460"/>
    <x v="3"/>
    <x v="6"/>
    <x v="52"/>
    <d v="2016-04-07T12:00:00"/>
    <s v="Pessoa Física"/>
    <s v="Fernando"/>
    <n v="2"/>
    <n v="9"/>
    <n v="42"/>
    <n v="378"/>
  </r>
  <r>
    <n v="4461"/>
    <x v="5"/>
    <x v="7"/>
    <x v="52"/>
    <d v="2016-04-07T12:00:00"/>
    <s v="Pessoa Física"/>
    <s v="Paulo"/>
    <m/>
    <n v="11"/>
    <n v="61"/>
    <n v="671"/>
  </r>
  <r>
    <n v="4462"/>
    <x v="2"/>
    <x v="12"/>
    <x v="52"/>
    <d v="2016-04-07T12:00:00"/>
    <s v="Pessoa Física"/>
    <s v="Fernando"/>
    <n v="2"/>
    <n v="9"/>
    <n v="52"/>
    <n v="468"/>
  </r>
  <r>
    <n v="4463"/>
    <x v="4"/>
    <x v="0"/>
    <x v="52"/>
    <d v="2016-04-07T12:00:00"/>
    <s v="Pessoa Física"/>
    <s v="Sérgio"/>
    <n v="2"/>
    <n v="9"/>
    <n v="41"/>
    <n v="369"/>
  </r>
  <r>
    <n v="4464"/>
    <x v="0"/>
    <x v="5"/>
    <x v="53"/>
    <d v="2016-04-08T23:00:00"/>
    <s v="Pessoa Jurídica"/>
    <s v="Sandra"/>
    <n v="3"/>
    <n v="9"/>
    <n v="73"/>
    <n v="657"/>
  </r>
  <r>
    <n v="4465"/>
    <x v="3"/>
    <x v="12"/>
    <x v="54"/>
    <d v="2016-04-11T23:00:00"/>
    <s v="Pessoa Física"/>
    <s v="Humberto"/>
    <n v="5"/>
    <n v="8"/>
    <n v="52"/>
    <n v="416"/>
  </r>
  <r>
    <n v="4466"/>
    <x v="1"/>
    <x v="11"/>
    <x v="55"/>
    <d v="2016-04-12T18:00:00"/>
    <s v="Pessoa Jurídica"/>
    <s v="Caio"/>
    <n v="5"/>
    <n v="9"/>
    <n v="31"/>
    <n v="279"/>
  </r>
  <r>
    <n v="4467"/>
    <x v="7"/>
    <x v="7"/>
    <x v="55"/>
    <d v="2016-04-12T18:00:00"/>
    <s v="Pessoa Física"/>
    <s v="Rosana"/>
    <n v="4"/>
    <n v="8"/>
    <n v="61"/>
    <n v="488"/>
  </r>
  <r>
    <n v="4468"/>
    <x v="2"/>
    <x v="12"/>
    <x v="55"/>
    <d v="2016-04-12T18:00:00"/>
    <s v="Pessoa Jurídica"/>
    <s v="Caio"/>
    <n v="2"/>
    <n v="11"/>
    <n v="52"/>
    <n v="572"/>
  </r>
  <r>
    <n v="4469"/>
    <x v="7"/>
    <x v="7"/>
    <x v="56"/>
    <d v="2016-04-06T18:00:00"/>
    <s v="Pessoa Jurídica"/>
    <s v="Paulo"/>
    <n v="5"/>
    <n v="12"/>
    <n v="61"/>
    <n v="732"/>
  </r>
  <r>
    <n v="4470"/>
    <x v="8"/>
    <x v="7"/>
    <x v="57"/>
    <d v="2016-04-14T12:00:00"/>
    <s v="Pessoa Jurídica"/>
    <s v="Caio"/>
    <n v="3"/>
    <n v="8"/>
    <n v="61"/>
    <n v="488"/>
  </r>
  <r>
    <n v="4471"/>
    <x v="3"/>
    <x v="11"/>
    <x v="57"/>
    <d v="2016-04-14T12:00:00"/>
    <s v="Pessoa Física"/>
    <s v="Sérgio"/>
    <n v="2"/>
    <n v="12"/>
    <n v="31"/>
    <n v="372"/>
  </r>
  <r>
    <n v="4472"/>
    <x v="0"/>
    <x v="5"/>
    <x v="57"/>
    <d v="2016-04-14T12:00:00"/>
    <s v="Pessoa Jurídica"/>
    <s v="Caio"/>
    <n v="2"/>
    <n v="12"/>
    <n v="73"/>
    <n v="876"/>
  </r>
  <r>
    <n v="4473"/>
    <x v="7"/>
    <x v="11"/>
    <x v="58"/>
    <d v="2016-04-07T18:00:00"/>
    <s v="Pessoa Jurídica"/>
    <s v="Fernando"/>
    <n v="3"/>
    <n v="9"/>
    <n v="31"/>
    <n v="279"/>
  </r>
  <r>
    <n v="4474"/>
    <x v="8"/>
    <x v="11"/>
    <x v="58"/>
    <d v="2016-04-07T18:00:00"/>
    <s v="Pessoa Jurídica"/>
    <s v="Douglas"/>
    <n v="3"/>
    <n v="11"/>
    <n v="31"/>
    <n v="341"/>
  </r>
  <r>
    <n v="4475"/>
    <x v="4"/>
    <x v="5"/>
    <x v="59"/>
    <d v="2016-04-15T23:00:00"/>
    <s v="Pessoa Jurídica"/>
    <s v="Leandro"/>
    <n v="2"/>
    <n v="8"/>
    <n v="73"/>
    <n v="584"/>
  </r>
  <r>
    <n v="4476"/>
    <x v="5"/>
    <x v="2"/>
    <x v="59"/>
    <d v="2016-04-15T23:00:00"/>
    <s v="Pessoa Jurídica"/>
    <s v="Henrique"/>
    <n v="5"/>
    <n v="8"/>
    <n v="33"/>
    <n v="264"/>
  </r>
  <r>
    <n v="4477"/>
    <x v="3"/>
    <x v="4"/>
    <x v="59"/>
    <d v="2016-04-15T23:00:00"/>
    <s v="Pessoa Jurídica"/>
    <s v="Sandra"/>
    <n v="3"/>
    <n v="12"/>
    <n v="47"/>
    <n v="564"/>
  </r>
  <r>
    <n v="4478"/>
    <x v="2"/>
    <x v="12"/>
    <x v="59"/>
    <d v="2016-04-15T23:00:00"/>
    <s v="Pessoa Física"/>
    <s v="Joaquim"/>
    <n v="2"/>
    <n v="9"/>
    <n v="52"/>
    <n v="468"/>
  </r>
  <r>
    <n v="4479"/>
    <x v="3"/>
    <x v="1"/>
    <x v="59"/>
    <d v="2016-04-15T23:00:00"/>
    <s v="Pessoa Jurídica"/>
    <s v="Ana"/>
    <n v="3"/>
    <n v="8"/>
    <n v="62"/>
    <n v="496"/>
  </r>
  <r>
    <n v="4480"/>
    <x v="7"/>
    <x v="2"/>
    <x v="60"/>
    <d v="2016-04-19T18:00:00"/>
    <s v="Pessoa Física"/>
    <s v="Henrique"/>
    <n v="4"/>
    <n v="9"/>
    <n v="33"/>
    <n v="297"/>
  </r>
  <r>
    <n v="4481"/>
    <x v="1"/>
    <x v="2"/>
    <x v="61"/>
    <d v="2016-04-13T18:00:00"/>
    <s v="Pessoa Física"/>
    <s v="Caio"/>
    <n v="5"/>
    <n v="11"/>
    <n v="33"/>
    <n v="363"/>
  </r>
  <r>
    <n v="4482"/>
    <x v="1"/>
    <x v="4"/>
    <x v="61"/>
    <d v="2016-04-13T18:00:00"/>
    <s v="Pessoa Jurídica"/>
    <s v="Roberto"/>
    <n v="2"/>
    <n v="8"/>
    <n v="47"/>
    <n v="376"/>
  </r>
  <r>
    <n v="4483"/>
    <x v="1"/>
    <x v="8"/>
    <x v="62"/>
    <d v="2016-04-21T12:00:00"/>
    <s v="Pessoa Física"/>
    <s v="Joaquim"/>
    <n v="5"/>
    <n v="9"/>
    <n v="47"/>
    <n v="423"/>
  </r>
  <r>
    <n v="4484"/>
    <x v="8"/>
    <x v="1"/>
    <x v="62"/>
    <d v="2016-04-21T12:00:00"/>
    <s v="Pessoa Jurídica"/>
    <s v="Leandro"/>
    <n v="5"/>
    <n v="12"/>
    <n v="62"/>
    <n v="744"/>
  </r>
  <r>
    <n v="4485"/>
    <x v="6"/>
    <x v="7"/>
    <x v="63"/>
    <d v="2016-04-22T23:00:00"/>
    <s v="Pessoa Física"/>
    <s v="Sandra"/>
    <n v="5"/>
    <n v="8"/>
    <n v="61"/>
    <n v="488"/>
  </r>
  <r>
    <n v="4486"/>
    <x v="8"/>
    <x v="1"/>
    <x v="63"/>
    <d v="2016-04-22T23:00:00"/>
    <s v="Pessoa Física"/>
    <s v="Manuel"/>
    <n v="4"/>
    <n v="8"/>
    <n v="62"/>
    <n v="496"/>
  </r>
  <r>
    <n v="4487"/>
    <x v="2"/>
    <x v="2"/>
    <x v="63"/>
    <d v="2016-04-22T23:00:00"/>
    <s v="Pessoa Física"/>
    <s v="Ana"/>
    <n v="4"/>
    <n v="11"/>
    <n v="33"/>
    <n v="363"/>
  </r>
  <r>
    <n v="4488"/>
    <x v="4"/>
    <x v="8"/>
    <x v="63"/>
    <d v="2016-04-22T23:00:00"/>
    <s v="Pessoa Jurídica"/>
    <s v="Douglas"/>
    <n v="5"/>
    <n v="8"/>
    <n v="47"/>
    <n v="376"/>
  </r>
  <r>
    <n v="4489"/>
    <x v="7"/>
    <x v="2"/>
    <x v="63"/>
    <d v="2016-04-22T23:00:00"/>
    <s v="Pessoa Física"/>
    <s v="Caio"/>
    <n v="4"/>
    <n v="8"/>
    <n v="33"/>
    <n v="264"/>
  </r>
  <r>
    <n v="4490"/>
    <x v="0"/>
    <x v="9"/>
    <x v="64"/>
    <d v="2016-04-25T23:00:00"/>
    <s v="Pessoa Jurídica"/>
    <s v="Jane"/>
    <n v="4"/>
    <n v="12"/>
    <n v="61"/>
    <n v="732"/>
  </r>
  <r>
    <n v="4491"/>
    <x v="4"/>
    <x v="2"/>
    <x v="65"/>
    <d v="2016-04-26T18:00:00"/>
    <s v="Pessoa Jurídica"/>
    <s v="Paulo"/>
    <n v="2"/>
    <n v="11"/>
    <n v="33"/>
    <n v="363"/>
  </r>
  <r>
    <n v="4492"/>
    <x v="7"/>
    <x v="0"/>
    <x v="65"/>
    <d v="2016-04-26T18:00:00"/>
    <s v="Pessoa Física"/>
    <s v="Douglas"/>
    <n v="5"/>
    <n v="10"/>
    <n v="41"/>
    <n v="410"/>
  </r>
  <r>
    <n v="4493"/>
    <x v="0"/>
    <x v="2"/>
    <x v="66"/>
    <d v="2016-04-20T18:00:00"/>
    <s v="Pessoa Física"/>
    <s v="Douglas"/>
    <n v="4"/>
    <n v="9"/>
    <n v="33"/>
    <n v="297"/>
  </r>
  <r>
    <n v="4494"/>
    <x v="2"/>
    <x v="7"/>
    <x v="66"/>
    <d v="2016-04-20T18:00:00"/>
    <s v="Pessoa Física"/>
    <s v="Jane"/>
    <n v="5"/>
    <n v="12"/>
    <n v="61"/>
    <n v="732"/>
  </r>
  <r>
    <n v="4495"/>
    <x v="2"/>
    <x v="9"/>
    <x v="67"/>
    <d v="2016-04-28T12:00:00"/>
    <s v="Pessoa Jurídica"/>
    <s v="Caio"/>
    <n v="2"/>
    <n v="10"/>
    <n v="61"/>
    <n v="610"/>
  </r>
  <r>
    <n v="4496"/>
    <x v="8"/>
    <x v="11"/>
    <x v="67"/>
    <d v="2016-04-28T12:00:00"/>
    <s v="Pessoa Jurídica"/>
    <s v="Manuel"/>
    <n v="2"/>
    <n v="8"/>
    <n v="31"/>
    <n v="248"/>
  </r>
  <r>
    <n v="4497"/>
    <x v="3"/>
    <x v="12"/>
    <x v="67"/>
    <d v="2016-04-28T12:00:00"/>
    <s v="Pessoa Jurídica"/>
    <s v="Jane"/>
    <n v="2"/>
    <n v="12"/>
    <n v="52"/>
    <n v="624"/>
  </r>
  <r>
    <n v="4498"/>
    <x v="2"/>
    <x v="9"/>
    <x v="67"/>
    <d v="2016-04-28T12:00:00"/>
    <s v="Pessoa Jurídica"/>
    <s v="Sandra"/>
    <n v="4"/>
    <n v="11"/>
    <n v="61"/>
    <n v="671"/>
  </r>
  <r>
    <n v="4499"/>
    <x v="0"/>
    <x v="1"/>
    <x v="68"/>
    <d v="2016-04-21T18:00:00"/>
    <s v="Pessoa Jurídica"/>
    <s v="Manuel"/>
    <n v="4"/>
    <n v="11"/>
    <n v="62"/>
    <n v="682"/>
  </r>
  <r>
    <n v="4500"/>
    <x v="2"/>
    <x v="4"/>
    <x v="69"/>
    <d v="2016-04-29T23:00:00"/>
    <s v="Pessoa Jurídica"/>
    <s v="Henrique"/>
    <n v="2"/>
    <n v="9"/>
    <n v="47"/>
    <n v="423"/>
  </r>
  <r>
    <n v="4501"/>
    <x v="2"/>
    <x v="8"/>
    <x v="69"/>
    <d v="2016-04-29T23:00:00"/>
    <s v="Pessoa Jurídica"/>
    <s v="Sérgio"/>
    <n v="5"/>
    <n v="9"/>
    <n v="47"/>
    <n v="423"/>
  </r>
  <r>
    <n v="4502"/>
    <x v="1"/>
    <x v="9"/>
    <x v="70"/>
    <d v="2016-05-02T23:00:00"/>
    <s v="Pessoa Jurídica"/>
    <s v="Sérgio"/>
    <n v="2"/>
    <n v="11"/>
    <n v="61"/>
    <n v="671"/>
  </r>
  <r>
    <n v="4503"/>
    <x v="0"/>
    <x v="11"/>
    <x v="70"/>
    <d v="2016-05-02T23:00:00"/>
    <s v="Pessoa Física"/>
    <s v="Caio"/>
    <n v="2"/>
    <n v="9"/>
    <n v="31"/>
    <n v="279"/>
  </r>
  <r>
    <n v="4504"/>
    <x v="1"/>
    <x v="9"/>
    <x v="70"/>
    <d v="2016-05-02T23:00:00"/>
    <s v="Pessoa Jurídica"/>
    <s v="Jane"/>
    <n v="4"/>
    <n v="8"/>
    <n v="61"/>
    <n v="488"/>
  </r>
  <r>
    <n v="4505"/>
    <x v="4"/>
    <x v="4"/>
    <x v="71"/>
    <d v="2016-04-27T18:00:00"/>
    <s v="Pessoa Jurídica"/>
    <s v="Caio"/>
    <n v="5"/>
    <n v="8"/>
    <n v="47"/>
    <n v="376"/>
  </r>
  <r>
    <n v="4506"/>
    <x v="2"/>
    <x v="1"/>
    <x v="71"/>
    <d v="2016-04-27T18:00:00"/>
    <s v="Pessoa Física"/>
    <s v="Leandro"/>
    <n v="5"/>
    <n v="10"/>
    <n v="62"/>
    <n v="620"/>
  </r>
  <r>
    <n v="4507"/>
    <x v="7"/>
    <x v="3"/>
    <x v="71"/>
    <d v="2016-04-27T18:00:00"/>
    <s v="Pessoa Jurídica"/>
    <s v="Fernando"/>
    <n v="4"/>
    <n v="12"/>
    <n v="47"/>
    <n v="564"/>
  </r>
  <r>
    <n v="4508"/>
    <x v="2"/>
    <x v="5"/>
    <x v="72"/>
    <d v="2016-05-05T12:00:00"/>
    <s v="Pessoa Jurídica"/>
    <s v="Sandra"/>
    <n v="3"/>
    <n v="8"/>
    <n v="73"/>
    <n v="584"/>
  </r>
  <r>
    <n v="4509"/>
    <x v="5"/>
    <x v="11"/>
    <x v="73"/>
    <d v="2016-04-28T18:00:00"/>
    <s v="Pessoa Jurídica"/>
    <s v="Paulo"/>
    <n v="2"/>
    <n v="8"/>
    <n v="31"/>
    <n v="248"/>
  </r>
  <r>
    <n v="4510"/>
    <x v="1"/>
    <x v="7"/>
    <x v="73"/>
    <d v="2016-04-28T18:00:00"/>
    <s v="Pessoa Jurídica"/>
    <s v="Jane"/>
    <n v="2"/>
    <n v="9"/>
    <n v="61"/>
    <n v="549"/>
  </r>
  <r>
    <n v="4511"/>
    <x v="3"/>
    <x v="12"/>
    <x v="74"/>
    <d v="2016-05-06T23:00:00"/>
    <s v="Pessoa Física"/>
    <s v="Humberto"/>
    <n v="4"/>
    <n v="9"/>
    <n v="52"/>
    <n v="468"/>
  </r>
  <r>
    <n v="4512"/>
    <x v="4"/>
    <x v="11"/>
    <x v="74"/>
    <d v="2016-05-06T23:00:00"/>
    <s v="Pessoa Jurídica"/>
    <s v="Sandra"/>
    <n v="5"/>
    <n v="8"/>
    <n v="31"/>
    <n v="248"/>
  </r>
  <r>
    <n v="4513"/>
    <x v="1"/>
    <x v="9"/>
    <x v="74"/>
    <d v="2016-05-06T23:00:00"/>
    <s v="Pessoa Jurídica"/>
    <s v="Leandro"/>
    <n v="2"/>
    <n v="10"/>
    <n v="61"/>
    <n v="610"/>
  </r>
  <r>
    <n v="4514"/>
    <x v="3"/>
    <x v="6"/>
    <x v="74"/>
    <d v="2016-05-06T23:00:00"/>
    <s v="Pessoa Jurídica"/>
    <s v="Sérgio"/>
    <n v="5"/>
    <n v="8"/>
    <n v="42"/>
    <n v="336"/>
  </r>
  <r>
    <n v="4515"/>
    <x v="5"/>
    <x v="7"/>
    <x v="74"/>
    <d v="2016-05-06T23:00:00"/>
    <s v="Pessoa Física"/>
    <s v="Sandra"/>
    <n v="5"/>
    <n v="9"/>
    <n v="61"/>
    <n v="549"/>
  </r>
  <r>
    <n v="4516"/>
    <x v="4"/>
    <x v="11"/>
    <x v="74"/>
    <d v="2016-05-06T23:00:00"/>
    <s v="Pessoa Jurídica"/>
    <s v="Manuel"/>
    <n v="5"/>
    <n v="9"/>
    <n v="31"/>
    <n v="279"/>
  </r>
  <r>
    <n v="4517"/>
    <x v="1"/>
    <x v="7"/>
    <x v="74"/>
    <d v="2016-05-06T23:00:00"/>
    <s v="Pessoa Física"/>
    <s v="Sandra"/>
    <n v="3"/>
    <n v="10"/>
    <n v="61"/>
    <n v="610"/>
  </r>
  <r>
    <n v="4518"/>
    <x v="2"/>
    <x v="0"/>
    <x v="74"/>
    <d v="2016-05-06T23:00:00"/>
    <s v="Pessoa Física"/>
    <s v="Rosana"/>
    <n v="5"/>
    <n v="8"/>
    <n v="41"/>
    <n v="328"/>
  </r>
  <r>
    <n v="4519"/>
    <x v="7"/>
    <x v="0"/>
    <x v="75"/>
    <d v="2016-05-10T18:00:00"/>
    <s v="Pessoa Física"/>
    <s v="Roberto"/>
    <n v="4"/>
    <n v="11"/>
    <n v="41"/>
    <n v="451"/>
  </r>
  <r>
    <n v="4520"/>
    <x v="2"/>
    <x v="3"/>
    <x v="76"/>
    <d v="2016-05-04T18:00:00"/>
    <s v="Pessoa Jurídica"/>
    <s v="Jane"/>
    <n v="5"/>
    <n v="11"/>
    <n v="47"/>
    <n v="517"/>
  </r>
  <r>
    <n v="4521"/>
    <x v="5"/>
    <x v="9"/>
    <x v="77"/>
    <d v="2016-05-05T18:00:00"/>
    <s v="Pessoa Jurídica"/>
    <s v="Sérgio"/>
    <n v="3"/>
    <n v="10"/>
    <n v="61"/>
    <n v="610"/>
  </r>
  <r>
    <n v="4522"/>
    <x v="6"/>
    <x v="1"/>
    <x v="77"/>
    <d v="2016-05-05T18:00:00"/>
    <s v="Pessoa Física"/>
    <s v="Humberto"/>
    <n v="2"/>
    <n v="8"/>
    <n v="62"/>
    <n v="496"/>
  </r>
  <r>
    <n v="4523"/>
    <x v="4"/>
    <x v="8"/>
    <x v="78"/>
    <d v="2016-05-13T23:00:00"/>
    <s v="Pessoa Física"/>
    <s v="Jane"/>
    <n v="5"/>
    <n v="10"/>
    <n v="47"/>
    <n v="470"/>
  </r>
  <r>
    <n v="4524"/>
    <x v="6"/>
    <x v="10"/>
    <x v="78"/>
    <d v="2016-05-13T23:00:00"/>
    <s v="Pessoa Jurídica"/>
    <s v="Rosana"/>
    <n v="4"/>
    <n v="11"/>
    <n v="51"/>
    <n v="561"/>
  </r>
  <r>
    <n v="4525"/>
    <x v="3"/>
    <x v="1"/>
    <x v="79"/>
    <d v="2016-05-16T23:00:00"/>
    <s v="Pessoa Física"/>
    <s v="Sandra"/>
    <n v="2"/>
    <n v="8"/>
    <n v="62"/>
    <n v="496"/>
  </r>
  <r>
    <n v="4526"/>
    <x v="5"/>
    <x v="10"/>
    <x v="79"/>
    <d v="2016-05-16T23:00:00"/>
    <s v="Pessoa Jurídica"/>
    <s v="Douglas"/>
    <n v="2"/>
    <n v="8"/>
    <n v="51"/>
    <n v="408"/>
  </r>
  <r>
    <n v="4527"/>
    <x v="1"/>
    <x v="11"/>
    <x v="79"/>
    <d v="2016-05-16T23:00:00"/>
    <s v="Pessoa Física"/>
    <s v="Caio"/>
    <n v="4"/>
    <n v="9"/>
    <n v="31"/>
    <n v="279"/>
  </r>
  <r>
    <n v="4528"/>
    <x v="2"/>
    <x v="7"/>
    <x v="80"/>
    <d v="2016-05-17T18:00:00"/>
    <s v="Pessoa Física"/>
    <s v="Caio"/>
    <n v="2"/>
    <n v="8"/>
    <n v="61"/>
    <n v="488"/>
  </r>
  <r>
    <n v="4529"/>
    <x v="0"/>
    <x v="10"/>
    <x v="81"/>
    <d v="2016-05-11T18:00:00"/>
    <s v="Pessoa Jurídica"/>
    <s v="Leandro"/>
    <n v="3"/>
    <n v="11"/>
    <n v="51"/>
    <n v="561"/>
  </r>
  <r>
    <n v="4530"/>
    <x v="5"/>
    <x v="2"/>
    <x v="82"/>
    <d v="2016-05-19T12:00:00"/>
    <s v="Pessoa Física"/>
    <s v="Douglas"/>
    <n v="4"/>
    <n v="11"/>
    <n v="33"/>
    <n v="363"/>
  </r>
  <r>
    <n v="4531"/>
    <x v="7"/>
    <x v="10"/>
    <x v="83"/>
    <d v="2016-05-12T18:00:00"/>
    <s v="Pessoa Jurídica"/>
    <s v="Paulo"/>
    <n v="3"/>
    <n v="8"/>
    <n v="51"/>
    <n v="408"/>
  </r>
  <r>
    <n v="4532"/>
    <x v="1"/>
    <x v="7"/>
    <x v="83"/>
    <d v="2016-05-12T18:00:00"/>
    <s v="Pessoa Física"/>
    <s v="Roberto"/>
    <n v="2"/>
    <n v="12"/>
    <n v="61"/>
    <n v="732"/>
  </r>
  <r>
    <n v="4533"/>
    <x v="1"/>
    <x v="6"/>
    <x v="83"/>
    <d v="2016-05-12T18:00:00"/>
    <s v="Pessoa Física"/>
    <s v="José"/>
    <n v="3"/>
    <n v="12"/>
    <n v="42"/>
    <n v="504"/>
  </r>
  <r>
    <n v="4534"/>
    <x v="6"/>
    <x v="12"/>
    <x v="84"/>
    <d v="2016-05-20T23:00:00"/>
    <s v="Pessoa Física"/>
    <s v="Roberto"/>
    <n v="2"/>
    <n v="10"/>
    <n v="52"/>
    <n v="520"/>
  </r>
  <r>
    <n v="4535"/>
    <x v="7"/>
    <x v="0"/>
    <x v="85"/>
    <d v="2016-05-23T23:00:00"/>
    <s v="Pessoa Física"/>
    <s v="Fernando"/>
    <n v="3"/>
    <n v="11"/>
    <n v="41"/>
    <n v="451"/>
  </r>
  <r>
    <n v="4536"/>
    <x v="8"/>
    <x v="1"/>
    <x v="85"/>
    <d v="2016-05-23T23:00:00"/>
    <s v="Pessoa Física"/>
    <s v="Jane"/>
    <n v="2"/>
    <n v="12"/>
    <n v="62"/>
    <n v="744"/>
  </r>
  <r>
    <n v="4537"/>
    <x v="0"/>
    <x v="3"/>
    <x v="85"/>
    <d v="2016-05-23T23:00:00"/>
    <s v="Pessoa Jurídica"/>
    <s v="Henrique"/>
    <n v="3"/>
    <n v="12"/>
    <n v="47"/>
    <n v="564"/>
  </r>
  <r>
    <n v="4538"/>
    <x v="6"/>
    <x v="13"/>
    <x v="86"/>
    <d v="2016-05-24T18:00:00"/>
    <s v="Pessoa Física"/>
    <s v="Caio"/>
    <n v="2"/>
    <n v="11"/>
    <n v="53"/>
    <n v="583"/>
  </r>
  <r>
    <n v="4539"/>
    <x v="2"/>
    <x v="13"/>
    <x v="87"/>
    <d v="2016-05-18T18:00:00"/>
    <s v="Pessoa Física"/>
    <s v="Sérgio"/>
    <n v="3"/>
    <n v="11"/>
    <n v="53"/>
    <n v="583"/>
  </r>
  <r>
    <n v="4540"/>
    <x v="0"/>
    <x v="14"/>
    <x v="88"/>
    <d v="2016-05-26T12:00:00"/>
    <s v="Pessoa Física"/>
    <s v="Sandra"/>
    <n v="3"/>
    <n v="10"/>
    <n v="35"/>
    <n v="350"/>
  </r>
  <r>
    <n v="4541"/>
    <x v="7"/>
    <x v="13"/>
    <x v="89"/>
    <d v="2016-05-19T18:00:00"/>
    <s v="Pessoa Física"/>
    <s v="Paulo"/>
    <n v="5"/>
    <n v="9"/>
    <n v="53"/>
    <n v="477"/>
  </r>
  <r>
    <n v="4542"/>
    <x v="4"/>
    <x v="15"/>
    <x v="90"/>
    <d v="2016-05-27T23:00:00"/>
    <s v="Pessoa Física"/>
    <s v="Joaquim"/>
    <n v="5"/>
    <n v="8"/>
    <n v="62"/>
    <n v="496"/>
  </r>
  <r>
    <n v="4543"/>
    <x v="3"/>
    <x v="13"/>
    <x v="90"/>
    <d v="2016-05-27T23:00:00"/>
    <s v="Pessoa Jurídica"/>
    <s v="Rosana"/>
    <n v="3"/>
    <n v="8"/>
    <n v="53"/>
    <n v="424"/>
  </r>
  <r>
    <n v="4544"/>
    <x v="6"/>
    <x v="16"/>
    <x v="91"/>
    <d v="2016-05-30T23:00:00"/>
    <s v="Pessoa Física"/>
    <s v="Henrique"/>
    <n v="5"/>
    <n v="11"/>
    <n v="48"/>
    <n v="528"/>
  </r>
  <r>
    <n v="4545"/>
    <x v="7"/>
    <x v="17"/>
    <x v="92"/>
    <d v="2016-05-31T18:00:00"/>
    <s v="Pessoa Jurídica"/>
    <s v="Humberto"/>
    <n v="5"/>
    <n v="10"/>
    <n v="32"/>
    <n v="320"/>
  </r>
  <r>
    <n v="4546"/>
    <x v="5"/>
    <x v="15"/>
    <x v="93"/>
    <d v="2016-05-25T18:00:00"/>
    <s v="Pessoa Física"/>
    <s v="Joaquim"/>
    <n v="2"/>
    <n v="11"/>
    <n v="62"/>
    <n v="682"/>
  </r>
  <r>
    <n v="4547"/>
    <x v="6"/>
    <x v="18"/>
    <x v="94"/>
    <d v="2016-06-02T12:00:00"/>
    <s v="Pessoa Física"/>
    <s v="José"/>
    <n v="5"/>
    <n v="10"/>
    <n v="43"/>
    <n v="430"/>
  </r>
  <r>
    <n v="4548"/>
    <x v="2"/>
    <x v="19"/>
    <x v="95"/>
    <d v="2016-05-26T18:00:00"/>
    <s v="Pessoa Jurídica"/>
    <s v="Roberto"/>
    <n v="5"/>
    <n v="10"/>
    <n v="75"/>
    <n v="750"/>
  </r>
  <r>
    <n v="4549"/>
    <x v="6"/>
    <x v="13"/>
    <x v="96"/>
    <d v="2016-06-03T23:00:00"/>
    <s v="Pessoa Física"/>
    <s v="Jane"/>
    <n v="2"/>
    <n v="9"/>
    <n v="53"/>
    <n v="477"/>
  </r>
  <r>
    <n v="4550"/>
    <x v="3"/>
    <x v="20"/>
    <x v="96"/>
    <d v="2016-06-03T23:00:00"/>
    <s v="Pessoa Jurídica"/>
    <s v="Leandro"/>
    <n v="2"/>
    <n v="8"/>
    <n v="63"/>
    <n v="504"/>
  </r>
  <r>
    <n v="4551"/>
    <x v="0"/>
    <x v="16"/>
    <x v="97"/>
    <d v="2016-06-06T23:00:00"/>
    <s v="Pessoa Jurídica"/>
    <s v="Humberto"/>
    <n v="5"/>
    <n v="11"/>
    <n v="48"/>
    <n v="528"/>
  </r>
  <r>
    <n v="4552"/>
    <x v="0"/>
    <x v="17"/>
    <x v="98"/>
    <d v="2016-06-07T18:00:00"/>
    <s v="Pessoa Jurídica"/>
    <s v="Caio"/>
    <n v="5"/>
    <n v="10"/>
    <n v="32"/>
    <n v="320"/>
  </r>
  <r>
    <n v="4553"/>
    <x v="3"/>
    <x v="21"/>
    <x v="99"/>
    <d v="2016-06-01T18:00:00"/>
    <s v="Pessoa Jurídica"/>
    <s v="Leandro"/>
    <n v="3"/>
    <n v="9"/>
    <n v="52"/>
    <n v="468"/>
  </r>
  <r>
    <n v="4554"/>
    <x v="5"/>
    <x v="16"/>
    <x v="100"/>
    <d v="2016-06-09T12:00:00"/>
    <s v="Pessoa Física"/>
    <s v="Ana"/>
    <n v="4"/>
    <n v="10"/>
    <n v="48"/>
    <n v="480"/>
  </r>
  <r>
    <n v="4555"/>
    <x v="5"/>
    <x v="19"/>
    <x v="101"/>
    <d v="2016-06-02T18:00:00"/>
    <s v="Pessoa Jurídica"/>
    <s v="Caio"/>
    <n v="3"/>
    <n v="11"/>
    <n v="75"/>
    <n v="825"/>
  </r>
  <r>
    <n v="4556"/>
    <x v="4"/>
    <x v="19"/>
    <x v="102"/>
    <d v="2016-06-10T23:00:00"/>
    <s v="Pessoa Jurídica"/>
    <s v="Fernando"/>
    <n v="3"/>
    <n v="11"/>
    <n v="75"/>
    <n v="825"/>
  </r>
  <r>
    <n v="4557"/>
    <x v="8"/>
    <x v="22"/>
    <x v="102"/>
    <d v="2016-06-10T23:00:00"/>
    <s v="Pessoa Física"/>
    <s v="Manuel"/>
    <n v="3"/>
    <n v="12"/>
    <n v="48"/>
    <n v="576"/>
  </r>
  <r>
    <n v="4558"/>
    <x v="2"/>
    <x v="15"/>
    <x v="103"/>
    <d v="2016-06-13T23:00:00"/>
    <s v="Pessoa Física"/>
    <s v="Sandra"/>
    <n v="2"/>
    <n v="8"/>
    <n v="62"/>
    <n v="496"/>
  </r>
  <r>
    <n v="4559"/>
    <x v="7"/>
    <x v="23"/>
    <x v="104"/>
    <d v="2016-06-14T18:00:00"/>
    <s v="Pessoa Jurídica"/>
    <s v="Joaquim"/>
    <n v="4"/>
    <n v="10"/>
    <n v="48"/>
    <n v="480"/>
  </r>
  <r>
    <n v="4560"/>
    <x v="8"/>
    <x v="19"/>
    <x v="105"/>
    <d v="2016-06-08T18:00:00"/>
    <s v="Pessoa Jurídica"/>
    <s v="José"/>
    <n v="3"/>
    <n v="11"/>
    <n v="75"/>
    <n v="825"/>
  </r>
  <r>
    <n v="4561"/>
    <x v="6"/>
    <x v="17"/>
    <x v="106"/>
    <d v="2016-06-16T12:00:00"/>
    <s v="Pessoa Jurídica"/>
    <s v="Caio"/>
    <n v="2"/>
    <n v="8"/>
    <n v="32"/>
    <n v="256"/>
  </r>
  <r>
    <n v="4562"/>
    <x v="0"/>
    <x v="17"/>
    <x v="107"/>
    <d v="2016-06-09T18:00:00"/>
    <s v="Pessoa Jurídica"/>
    <s v="José"/>
    <n v="3"/>
    <n v="11"/>
    <n v="32"/>
    <n v="352"/>
  </r>
  <r>
    <n v="4563"/>
    <x v="6"/>
    <x v="19"/>
    <x v="108"/>
    <d v="2016-06-17T23:00:00"/>
    <s v="Pessoa Jurídica"/>
    <s v="Douglas"/>
    <n v="5"/>
    <n v="11"/>
    <n v="75"/>
    <n v="825"/>
  </r>
  <r>
    <n v="4564"/>
    <x v="2"/>
    <x v="21"/>
    <x v="108"/>
    <d v="2016-06-17T23:00:00"/>
    <s v="Pessoa Jurídica"/>
    <s v="Douglas"/>
    <n v="2"/>
    <n v="12"/>
    <n v="52"/>
    <n v="624"/>
  </r>
  <r>
    <n v="4565"/>
    <x v="6"/>
    <x v="23"/>
    <x v="109"/>
    <d v="2016-06-20T23:00:00"/>
    <s v="Pessoa Física"/>
    <s v="Caio"/>
    <n v="2"/>
    <n v="10"/>
    <n v="48"/>
    <n v="480"/>
  </r>
  <r>
    <n v="4566"/>
    <x v="3"/>
    <x v="17"/>
    <x v="110"/>
    <d v="2016-06-21T18:00:00"/>
    <s v="Pessoa Jurídica"/>
    <s v="Douglas"/>
    <n v="4"/>
    <n v="12"/>
    <n v="32"/>
    <n v="384"/>
  </r>
  <r>
    <n v="4567"/>
    <x v="6"/>
    <x v="19"/>
    <x v="111"/>
    <d v="2016-06-15T18:00:00"/>
    <s v="Pessoa Jurídica"/>
    <s v="Jane"/>
    <n v="5"/>
    <n v="10"/>
    <n v="75"/>
    <n v="750"/>
  </r>
  <r>
    <n v="4568"/>
    <x v="7"/>
    <x v="23"/>
    <x v="112"/>
    <d v="2016-06-23T12:00:00"/>
    <s v="Pessoa Jurídica"/>
    <s v="Ana"/>
    <n v="3"/>
    <n v="11"/>
    <n v="48"/>
    <n v="528"/>
  </r>
  <r>
    <n v="4569"/>
    <x v="4"/>
    <x v="17"/>
    <x v="113"/>
    <d v="2016-06-16T18:00:00"/>
    <s v="Pessoa Física"/>
    <s v="Joaquim"/>
    <n v="2"/>
    <n v="8"/>
    <n v="32"/>
    <n v="256"/>
  </r>
  <r>
    <n v="4570"/>
    <x v="1"/>
    <x v="13"/>
    <x v="114"/>
    <d v="2016-06-24T23:00:00"/>
    <s v="Pessoa Jurídica"/>
    <s v="Ana"/>
    <n v="2"/>
    <n v="9"/>
    <n v="53"/>
    <n v="477"/>
  </r>
  <r>
    <n v="4571"/>
    <x v="5"/>
    <x v="19"/>
    <x v="114"/>
    <d v="2016-06-24T23:00:00"/>
    <s v="Pessoa Jurídica"/>
    <s v="Ana"/>
    <n v="2"/>
    <n v="8"/>
    <n v="75"/>
    <n v="600"/>
  </r>
  <r>
    <n v="4572"/>
    <x v="5"/>
    <x v="15"/>
    <x v="115"/>
    <d v="2016-06-27T23:00:00"/>
    <s v="Pessoa Física"/>
    <s v="Humberto"/>
    <n v="4"/>
    <n v="10"/>
    <n v="62"/>
    <n v="620"/>
  </r>
  <r>
    <n v="4573"/>
    <x v="6"/>
    <x v="20"/>
    <x v="116"/>
    <d v="2016-06-28T18:00:00"/>
    <s v="Pessoa Física"/>
    <s v="Sandra"/>
    <n v="4"/>
    <n v="11"/>
    <n v="63"/>
    <n v="693"/>
  </r>
  <r>
    <n v="4574"/>
    <x v="1"/>
    <x v="6"/>
    <x v="117"/>
    <d v="2016-06-22T18:00:00"/>
    <s v="Pessoa Jurídica"/>
    <s v="Manuel"/>
    <n v="2"/>
    <n v="8"/>
    <n v="42"/>
    <n v="336"/>
  </r>
  <r>
    <n v="4575"/>
    <x v="6"/>
    <x v="15"/>
    <x v="118"/>
    <d v="2016-06-30T12:00:00"/>
    <s v="Pessoa Jurídica"/>
    <s v="Sandra"/>
    <n v="3"/>
    <n v="8"/>
    <n v="62"/>
    <n v="496"/>
  </r>
  <r>
    <n v="4576"/>
    <x v="2"/>
    <x v="18"/>
    <x v="119"/>
    <d v="2016-06-23T18:00:00"/>
    <s v="Pessoa Física"/>
    <s v="Sandra"/>
    <n v="4"/>
    <n v="9"/>
    <n v="43"/>
    <n v="387"/>
  </r>
  <r>
    <n v="4577"/>
    <x v="3"/>
    <x v="17"/>
    <x v="120"/>
    <d v="2016-07-01T23:00:00"/>
    <s v="Pessoa Jurídica"/>
    <s v="Caio"/>
    <m/>
    <n v="11"/>
    <n v="32"/>
    <n v="352"/>
  </r>
  <r>
    <n v="4578"/>
    <x v="5"/>
    <x v="14"/>
    <x v="120"/>
    <d v="2016-07-01T23:00:00"/>
    <s v="Pessoa Jurídica"/>
    <s v="José"/>
    <n v="2"/>
    <n v="11"/>
    <n v="35"/>
    <n v="385"/>
  </r>
  <r>
    <n v="4579"/>
    <x v="3"/>
    <x v="13"/>
    <x v="121"/>
    <d v="2016-07-04T23:00:00"/>
    <s v="Pessoa Física"/>
    <s v="Joaquim"/>
    <n v="5"/>
    <n v="12"/>
    <n v="53"/>
    <n v="636"/>
  </r>
  <r>
    <n v="4580"/>
    <x v="4"/>
    <x v="18"/>
    <x v="122"/>
    <d v="2016-07-05T18:00:00"/>
    <s v="Pessoa Física"/>
    <s v="Fernando"/>
    <n v="2"/>
    <n v="11"/>
    <n v="43"/>
    <n v="473"/>
  </r>
  <r>
    <n v="4581"/>
    <x v="3"/>
    <x v="24"/>
    <x v="123"/>
    <d v="2016-06-29T18:00:00"/>
    <s v="Pessoa Jurídica"/>
    <s v="Paulo"/>
    <n v="5"/>
    <n v="12"/>
    <n v="42"/>
    <n v="504"/>
  </r>
  <r>
    <n v="4582"/>
    <x v="7"/>
    <x v="24"/>
    <x v="124"/>
    <d v="2016-07-07T12:00:00"/>
    <s v="Pessoa Física"/>
    <s v="Fernando"/>
    <n v="2"/>
    <n v="12"/>
    <n v="42"/>
    <n v="504"/>
  </r>
  <r>
    <n v="4583"/>
    <x v="6"/>
    <x v="23"/>
    <x v="125"/>
    <d v="2016-06-30T18:00:00"/>
    <s v="Pessoa Física"/>
    <s v="Fernando"/>
    <n v="5"/>
    <n v="8"/>
    <n v="48"/>
    <n v="384"/>
  </r>
  <r>
    <n v="4584"/>
    <x v="7"/>
    <x v="16"/>
    <x v="126"/>
    <d v="2016-07-08T23:00:00"/>
    <s v="Pessoa Jurídica"/>
    <s v="Humberto"/>
    <n v="4"/>
    <n v="8"/>
    <n v="48"/>
    <n v="384"/>
  </r>
  <r>
    <n v="4585"/>
    <x v="5"/>
    <x v="13"/>
    <x v="126"/>
    <d v="2016-07-08T23:00:00"/>
    <s v="Pessoa Física"/>
    <s v="Paulo"/>
    <n v="4"/>
    <n v="9"/>
    <n v="53"/>
    <n v="477"/>
  </r>
  <r>
    <n v="4586"/>
    <x v="1"/>
    <x v="17"/>
    <x v="127"/>
    <d v="2016-07-11T23:00:00"/>
    <s v="Pessoa Jurídica"/>
    <s v="Sérgio"/>
    <n v="2"/>
    <n v="8"/>
    <n v="32"/>
    <n v="256"/>
  </r>
  <r>
    <n v="4587"/>
    <x v="1"/>
    <x v="17"/>
    <x v="128"/>
    <d v="2016-07-12T18:00:00"/>
    <s v="Pessoa Jurídica"/>
    <s v="Sandra"/>
    <n v="3"/>
    <n v="11"/>
    <n v="32"/>
    <n v="352"/>
  </r>
  <r>
    <n v="4588"/>
    <x v="6"/>
    <x v="14"/>
    <x v="129"/>
    <d v="2016-07-06T18:00:00"/>
    <s v="Pessoa Física"/>
    <s v="Paulo"/>
    <n v="2"/>
    <n v="12"/>
    <n v="35"/>
    <n v="420"/>
  </r>
  <r>
    <n v="4589"/>
    <x v="6"/>
    <x v="20"/>
    <x v="130"/>
    <d v="2016-07-14T12:00:00"/>
    <s v="Pessoa Física"/>
    <s v="Manuel"/>
    <n v="3"/>
    <n v="9"/>
    <n v="63"/>
    <n v="567"/>
  </r>
  <r>
    <n v="4590"/>
    <x v="3"/>
    <x v="20"/>
    <x v="131"/>
    <d v="2016-07-07T18:00:00"/>
    <s v="Pessoa Física"/>
    <s v="Caio"/>
    <n v="5"/>
    <n v="8"/>
    <n v="63"/>
    <n v="504"/>
  </r>
  <r>
    <n v="4591"/>
    <x v="1"/>
    <x v="14"/>
    <x v="132"/>
    <d v="2016-07-15T23:00:00"/>
    <s v="Pessoa Jurídica"/>
    <s v="Paulo"/>
    <n v="5"/>
    <n v="9"/>
    <n v="35"/>
    <n v="315"/>
  </r>
  <r>
    <n v="4592"/>
    <x v="8"/>
    <x v="24"/>
    <x v="132"/>
    <d v="2016-07-15T23:00:00"/>
    <s v="Pessoa Física"/>
    <s v="Fernando"/>
    <n v="3"/>
    <n v="12"/>
    <n v="42"/>
    <n v="504"/>
  </r>
  <r>
    <n v="4593"/>
    <x v="8"/>
    <x v="17"/>
    <x v="133"/>
    <d v="2016-07-18T23:00:00"/>
    <s v="Pessoa Jurídica"/>
    <s v="Joaquim"/>
    <n v="3"/>
    <n v="11"/>
    <n v="32"/>
    <n v="352"/>
  </r>
  <r>
    <n v="4594"/>
    <x v="8"/>
    <x v="13"/>
    <x v="134"/>
    <d v="2016-07-19T18:00:00"/>
    <s v="Pessoa Física"/>
    <s v="Humberto"/>
    <n v="2"/>
    <n v="12"/>
    <n v="53"/>
    <n v="636"/>
  </r>
  <r>
    <n v="4595"/>
    <x v="4"/>
    <x v="18"/>
    <x v="135"/>
    <d v="2016-07-13T18:00:00"/>
    <s v="Pessoa Jurídica"/>
    <s v="Caio"/>
    <n v="3"/>
    <n v="9"/>
    <n v="43"/>
    <n v="387"/>
  </r>
  <r>
    <n v="4596"/>
    <x v="0"/>
    <x v="22"/>
    <x v="136"/>
    <d v="2016-07-21T12:00:00"/>
    <s v="Pessoa Física"/>
    <s v="Fernando"/>
    <n v="4"/>
    <n v="12"/>
    <n v="48"/>
    <n v="576"/>
  </r>
  <r>
    <n v="4597"/>
    <x v="6"/>
    <x v="17"/>
    <x v="137"/>
    <d v="2016-07-14T18:00:00"/>
    <s v="Pessoa Física"/>
    <s v="Caio"/>
    <n v="4"/>
    <n v="12"/>
    <n v="32"/>
    <n v="384"/>
  </r>
  <r>
    <n v="4598"/>
    <x v="0"/>
    <x v="16"/>
    <x v="138"/>
    <d v="2016-07-22T23:00:00"/>
    <s v="Pessoa Jurídica"/>
    <s v="Sandra"/>
    <n v="5"/>
    <n v="8"/>
    <n v="48"/>
    <n v="384"/>
  </r>
  <r>
    <n v="4599"/>
    <x v="8"/>
    <x v="15"/>
    <x v="138"/>
    <d v="2016-07-22T23:00:00"/>
    <s v="Pessoa Jurídica"/>
    <s v="Caio"/>
    <n v="2"/>
    <n v="8"/>
    <n v="62"/>
    <n v="496"/>
  </r>
  <r>
    <n v="4600"/>
    <x v="2"/>
    <x v="20"/>
    <x v="139"/>
    <d v="2016-07-25T23:00:00"/>
    <s v="Pessoa Física"/>
    <s v="Ana"/>
    <n v="3"/>
    <n v="8"/>
    <n v="63"/>
    <n v="504"/>
  </r>
  <r>
    <n v="4601"/>
    <x v="2"/>
    <x v="17"/>
    <x v="140"/>
    <d v="2016-07-26T18:00:00"/>
    <s v="Pessoa Jurídica"/>
    <s v="Roberto"/>
    <n v="2"/>
    <n v="10"/>
    <n v="32"/>
    <n v="320"/>
  </r>
  <r>
    <n v="4602"/>
    <x v="1"/>
    <x v="18"/>
    <x v="141"/>
    <d v="2016-07-20T18:00:00"/>
    <s v="Pessoa Física"/>
    <s v="Sandra"/>
    <n v="2"/>
    <n v="10"/>
    <n v="43"/>
    <n v="430"/>
  </r>
  <r>
    <n v="4603"/>
    <x v="6"/>
    <x v="17"/>
    <x v="142"/>
    <d v="2016-07-28T12:00:00"/>
    <s v="Pessoa Jurídica"/>
    <s v="Sandra"/>
    <n v="3"/>
    <n v="11"/>
    <n v="32"/>
    <n v="352"/>
  </r>
  <r>
    <n v="4604"/>
    <x v="2"/>
    <x v="17"/>
    <x v="143"/>
    <d v="2016-07-21T18:00:00"/>
    <s v="Pessoa Física"/>
    <s v="Roberto"/>
    <n v="4"/>
    <n v="8"/>
    <n v="32"/>
    <n v="256"/>
  </r>
  <r>
    <n v="4605"/>
    <x v="4"/>
    <x v="17"/>
    <x v="144"/>
    <d v="2016-07-29T23:00:00"/>
    <s v="Pessoa Jurídica"/>
    <s v="Douglas"/>
    <n v="2"/>
    <n v="9"/>
    <n v="32"/>
    <n v="288"/>
  </r>
  <r>
    <n v="4606"/>
    <x v="4"/>
    <x v="17"/>
    <x v="144"/>
    <d v="2016-07-29T23:00:00"/>
    <s v="Pessoa Jurídica"/>
    <s v="Paulo"/>
    <n v="5"/>
    <n v="10"/>
    <n v="32"/>
    <n v="320"/>
  </r>
  <r>
    <n v="4607"/>
    <x v="2"/>
    <x v="22"/>
    <x v="145"/>
    <d v="2016-08-01T23:00:00"/>
    <s v="Pessoa Jurídica"/>
    <s v="Jane"/>
    <n v="4"/>
    <n v="9"/>
    <n v="48"/>
    <n v="432"/>
  </r>
  <r>
    <n v="4608"/>
    <x v="0"/>
    <x v="22"/>
    <x v="146"/>
    <d v="2016-08-02T18:00:00"/>
    <s v="Pessoa Jurídica"/>
    <s v="Sandra"/>
    <n v="4"/>
    <n v="12"/>
    <n v="48"/>
    <n v="576"/>
  </r>
  <r>
    <n v="4609"/>
    <x v="0"/>
    <x v="22"/>
    <x v="147"/>
    <d v="2016-07-27T18:00:00"/>
    <s v="Pessoa Jurídica"/>
    <s v="Manuel"/>
    <n v="2"/>
    <n v="10"/>
    <n v="48"/>
    <n v="480"/>
  </r>
  <r>
    <n v="4610"/>
    <x v="8"/>
    <x v="14"/>
    <x v="148"/>
    <d v="2016-08-04T12:00:00"/>
    <s v="Pessoa Jurídica"/>
    <s v="Manuel"/>
    <n v="2"/>
    <n v="12"/>
    <n v="35"/>
    <n v="420"/>
  </r>
  <r>
    <n v="4611"/>
    <x v="0"/>
    <x v="19"/>
    <x v="149"/>
    <d v="2016-07-28T18:00:00"/>
    <s v="Pessoa Jurídica"/>
    <s v="Jane"/>
    <n v="2"/>
    <n v="11"/>
    <n v="75"/>
    <n v="825"/>
  </r>
  <r>
    <n v="4612"/>
    <x v="0"/>
    <x v="24"/>
    <x v="150"/>
    <d v="2016-08-05T23:00:00"/>
    <s v="Pessoa Física"/>
    <s v="Paulo"/>
    <n v="2"/>
    <n v="10"/>
    <n v="42"/>
    <n v="420"/>
  </r>
  <r>
    <n v="4613"/>
    <x v="5"/>
    <x v="17"/>
    <x v="150"/>
    <d v="2016-08-05T23:00:00"/>
    <s v="Pessoa Jurídica"/>
    <s v="Sandra"/>
    <n v="3"/>
    <n v="11"/>
    <n v="32"/>
    <n v="352"/>
  </r>
  <r>
    <n v="4614"/>
    <x v="6"/>
    <x v="16"/>
    <x v="151"/>
    <d v="2016-08-08T23:00:00"/>
    <s v="Pessoa Jurídica"/>
    <s v="Joaquim"/>
    <n v="5"/>
    <n v="8"/>
    <n v="48"/>
    <n v="384"/>
  </r>
  <r>
    <n v="4615"/>
    <x v="1"/>
    <x v="19"/>
    <x v="152"/>
    <d v="2016-08-09T18:00:00"/>
    <s v="Pessoa Jurídica"/>
    <s v="Sérgio"/>
    <n v="4"/>
    <n v="10"/>
    <n v="75"/>
    <n v="750"/>
  </r>
  <r>
    <n v="4616"/>
    <x v="8"/>
    <x v="25"/>
    <x v="153"/>
    <d v="2016-08-03T18:00:00"/>
    <s v="Pessoa Jurídica"/>
    <s v="Sandra"/>
    <n v="3"/>
    <n v="11"/>
    <n v="62"/>
    <n v="682"/>
  </r>
  <r>
    <n v="4617"/>
    <x v="7"/>
    <x v="14"/>
    <x v="154"/>
    <d v="2016-08-11T12:00:00"/>
    <s v="Pessoa Física"/>
    <s v="Fernando"/>
    <n v="4"/>
    <n v="9"/>
    <n v="35"/>
    <n v="315"/>
  </r>
  <r>
    <n v="4618"/>
    <x v="6"/>
    <x v="21"/>
    <x v="155"/>
    <d v="2016-08-04T18:00:00"/>
    <s v="Pessoa Jurídica"/>
    <s v="Jane"/>
    <n v="5"/>
    <n v="12"/>
    <n v="52"/>
    <n v="624"/>
  </r>
  <r>
    <n v="4619"/>
    <x v="1"/>
    <x v="22"/>
    <x v="156"/>
    <d v="2016-08-12T23:00:00"/>
    <s v="Pessoa Física"/>
    <s v="Fernando"/>
    <n v="4"/>
    <n v="8"/>
    <n v="48"/>
    <n v="384"/>
  </r>
  <r>
    <n v="4620"/>
    <x v="5"/>
    <x v="21"/>
    <x v="156"/>
    <d v="2016-08-12T23:00:00"/>
    <s v="Pessoa Jurídica"/>
    <s v="Sandra"/>
    <n v="2"/>
    <n v="12"/>
    <n v="52"/>
    <n v="624"/>
  </r>
  <r>
    <n v="4621"/>
    <x v="1"/>
    <x v="14"/>
    <x v="157"/>
    <d v="2016-08-15T23:00:00"/>
    <s v="Pessoa Física"/>
    <s v="José"/>
    <n v="3"/>
    <n v="8"/>
    <n v="35"/>
    <n v="280"/>
  </r>
  <r>
    <n v="4622"/>
    <x v="5"/>
    <x v="17"/>
    <x v="158"/>
    <d v="2016-08-16T18:00:00"/>
    <s v="Pessoa Jurídica"/>
    <s v="Fernando"/>
    <n v="3"/>
    <n v="10"/>
    <n v="32"/>
    <n v="320"/>
  </r>
  <r>
    <n v="4623"/>
    <x v="6"/>
    <x v="23"/>
    <x v="159"/>
    <d v="2016-08-10T18:00:00"/>
    <s v="Pessoa Física"/>
    <s v="Caio"/>
    <m/>
    <n v="12"/>
    <n v="48"/>
    <n v="576"/>
  </r>
  <r>
    <n v="4624"/>
    <x v="7"/>
    <x v="22"/>
    <x v="160"/>
    <d v="2016-08-18T12:00:00"/>
    <s v="Pessoa Física"/>
    <s v="Douglas"/>
    <n v="5"/>
    <n v="9"/>
    <n v="48"/>
    <n v="432"/>
  </r>
  <r>
    <n v="4625"/>
    <x v="5"/>
    <x v="23"/>
    <x v="161"/>
    <d v="2016-08-11T18:00:00"/>
    <s v="Pessoa Física"/>
    <s v="Caio"/>
    <n v="5"/>
    <n v="12"/>
    <n v="48"/>
    <n v="576"/>
  </r>
  <r>
    <n v="4626"/>
    <x v="2"/>
    <x v="24"/>
    <x v="162"/>
    <d v="2016-08-19T23:00:00"/>
    <s v="Pessoa Jurídica"/>
    <s v="Humberto"/>
    <n v="5"/>
    <n v="9"/>
    <n v="42"/>
    <n v="378"/>
  </r>
  <r>
    <n v="4627"/>
    <x v="0"/>
    <x v="24"/>
    <x v="162"/>
    <d v="2016-08-19T23:00:00"/>
    <s v="Pessoa Física"/>
    <s v="Jane"/>
    <n v="4"/>
    <n v="12"/>
    <n v="42"/>
    <n v="504"/>
  </r>
  <r>
    <n v="4628"/>
    <x v="6"/>
    <x v="20"/>
    <x v="163"/>
    <d v="2016-08-22T23:00:00"/>
    <s v="Pessoa Física"/>
    <s v="José"/>
    <n v="2"/>
    <n v="9"/>
    <n v="63"/>
    <n v="567"/>
  </r>
  <r>
    <n v="4629"/>
    <x v="8"/>
    <x v="16"/>
    <x v="164"/>
    <d v="2016-08-23T18:00:00"/>
    <s v="Pessoa Jurídica"/>
    <s v="Caio"/>
    <n v="4"/>
    <n v="9"/>
    <n v="48"/>
    <n v="432"/>
  </r>
  <r>
    <n v="4630"/>
    <x v="3"/>
    <x v="18"/>
    <x v="165"/>
    <d v="2016-08-17T18:00:00"/>
    <s v="Pessoa Jurídica"/>
    <s v="Ana"/>
    <n v="3"/>
    <n v="9"/>
    <n v="43"/>
    <n v="387"/>
  </r>
  <r>
    <n v="4631"/>
    <x v="5"/>
    <x v="17"/>
    <x v="166"/>
    <d v="2016-08-25T12:00:00"/>
    <s v="Pessoa Jurídica"/>
    <s v="Roberto"/>
    <n v="2"/>
    <n v="8"/>
    <n v="32"/>
    <n v="256"/>
  </r>
  <r>
    <n v="4632"/>
    <x v="6"/>
    <x v="21"/>
    <x v="167"/>
    <d v="2016-08-18T18:00:00"/>
    <s v="Pessoa Jurídica"/>
    <s v="Manuel"/>
    <n v="4"/>
    <n v="11"/>
    <n v="52"/>
    <n v="572"/>
  </r>
  <r>
    <n v="4633"/>
    <x v="4"/>
    <x v="17"/>
    <x v="168"/>
    <d v="2016-08-26T23:00:00"/>
    <s v="Pessoa Física"/>
    <s v="Henrique"/>
    <n v="5"/>
    <n v="12"/>
    <n v="32"/>
    <n v="384"/>
  </r>
  <r>
    <n v="4634"/>
    <x v="1"/>
    <x v="14"/>
    <x v="168"/>
    <d v="2016-08-26T23:00:00"/>
    <s v="Pessoa Física"/>
    <s v="Sandra"/>
    <n v="5"/>
    <n v="12"/>
    <n v="35"/>
    <n v="420"/>
  </r>
  <r>
    <n v="4635"/>
    <x v="4"/>
    <x v="17"/>
    <x v="169"/>
    <d v="2016-08-29T23:00:00"/>
    <s v="Pessoa Jurídica"/>
    <s v="Henrique"/>
    <n v="3"/>
    <n v="12"/>
    <n v="32"/>
    <n v="384"/>
  </r>
  <r>
    <n v="4636"/>
    <x v="6"/>
    <x v="25"/>
    <x v="170"/>
    <d v="2016-08-30T18:00:00"/>
    <s v="Pessoa Jurídica"/>
    <s v="Sandra"/>
    <n v="3"/>
    <n v="8"/>
    <n v="62"/>
    <n v="496"/>
  </r>
  <r>
    <n v="4637"/>
    <x v="7"/>
    <x v="18"/>
    <x v="171"/>
    <d v="2016-08-24T18:00:00"/>
    <s v="Pessoa Jurídica"/>
    <s v="Jane"/>
    <n v="4"/>
    <n v="9"/>
    <n v="43"/>
    <n v="387"/>
  </r>
  <r>
    <n v="4638"/>
    <x v="3"/>
    <x v="24"/>
    <x v="172"/>
    <d v="2016-09-01T12:00:00"/>
    <s v="Pessoa Física"/>
    <s v="Caio"/>
    <n v="2"/>
    <n v="8"/>
    <n v="42"/>
    <n v="336"/>
  </r>
  <r>
    <n v="4639"/>
    <x v="5"/>
    <x v="22"/>
    <x v="173"/>
    <d v="2016-08-25T18:00:00"/>
    <s v="Pessoa Física"/>
    <s v="Jane"/>
    <n v="4"/>
    <n v="9"/>
    <n v="48"/>
    <n v="432"/>
  </r>
  <r>
    <n v="4640"/>
    <x v="2"/>
    <x v="24"/>
    <x v="174"/>
    <d v="2016-09-02T23:00:00"/>
    <s v="Pessoa Física"/>
    <s v="Sandra"/>
    <n v="3"/>
    <n v="11"/>
    <n v="42"/>
    <n v="462"/>
  </r>
  <r>
    <n v="4641"/>
    <x v="5"/>
    <x v="14"/>
    <x v="174"/>
    <d v="2016-09-02T23:00:00"/>
    <s v="Pessoa Física"/>
    <s v="Humberto"/>
    <n v="4"/>
    <n v="11"/>
    <n v="35"/>
    <n v="385"/>
  </r>
  <r>
    <n v="4642"/>
    <x v="8"/>
    <x v="13"/>
    <x v="175"/>
    <d v="2016-09-05T23:00:00"/>
    <s v="Pessoa Física"/>
    <s v="José"/>
    <n v="5"/>
    <n v="8"/>
    <n v="53"/>
    <n v="424"/>
  </r>
  <r>
    <n v="4643"/>
    <x v="7"/>
    <x v="16"/>
    <x v="176"/>
    <d v="2016-09-06T18:00:00"/>
    <s v="Pessoa Jurídica"/>
    <s v="Joaquim"/>
    <n v="4"/>
    <n v="9"/>
    <n v="48"/>
    <n v="432"/>
  </r>
  <r>
    <n v="4644"/>
    <x v="7"/>
    <x v="15"/>
    <x v="177"/>
    <d v="2016-08-31T18:00:00"/>
    <s v="Pessoa Física"/>
    <s v="Leandro"/>
    <n v="2"/>
    <n v="10"/>
    <n v="62"/>
    <n v="620"/>
  </r>
  <r>
    <n v="4645"/>
    <x v="0"/>
    <x v="17"/>
    <x v="178"/>
    <d v="2016-09-08T12:00:00"/>
    <s v="Pessoa Jurídica"/>
    <s v="Leandro"/>
    <n v="5"/>
    <n v="10"/>
    <n v="32"/>
    <n v="320"/>
  </r>
  <r>
    <n v="4646"/>
    <x v="4"/>
    <x v="20"/>
    <x v="179"/>
    <d v="2016-09-01T18:00:00"/>
    <s v="Pessoa Física"/>
    <s v="Fernando"/>
    <n v="3"/>
    <n v="8"/>
    <n v="63"/>
    <n v="504"/>
  </r>
  <r>
    <n v="4647"/>
    <x v="0"/>
    <x v="18"/>
    <x v="180"/>
    <d v="2016-09-09T23:00:00"/>
    <s v="Pessoa Jurídica"/>
    <s v="Caio"/>
    <n v="3"/>
    <n v="8"/>
    <n v="43"/>
    <n v="344"/>
  </r>
  <r>
    <n v="4648"/>
    <x v="4"/>
    <x v="16"/>
    <x v="180"/>
    <d v="2016-09-09T23:00:00"/>
    <s v="Pessoa Jurídica"/>
    <s v="Roberto"/>
    <n v="5"/>
    <n v="10"/>
    <n v="48"/>
    <n v="480"/>
  </r>
  <r>
    <n v="4649"/>
    <x v="5"/>
    <x v="25"/>
    <x v="181"/>
    <d v="2016-09-12T23:00:00"/>
    <s v="Pessoa Jurídica"/>
    <s v="Paulo"/>
    <n v="4"/>
    <n v="9"/>
    <n v="62"/>
    <n v="558"/>
  </r>
  <r>
    <n v="4650"/>
    <x v="3"/>
    <x v="21"/>
    <x v="182"/>
    <d v="2016-09-13T18:00:00"/>
    <s v="Pessoa Jurídica"/>
    <s v="Sérgio"/>
    <n v="3"/>
    <n v="11"/>
    <n v="52"/>
    <n v="572"/>
  </r>
  <r>
    <n v="4651"/>
    <x v="0"/>
    <x v="16"/>
    <x v="183"/>
    <d v="2016-09-07T18:00:00"/>
    <s v="Pessoa Jurídica"/>
    <s v="Ana"/>
    <n v="3"/>
    <n v="8"/>
    <n v="48"/>
    <n v="384"/>
  </r>
  <r>
    <n v="4652"/>
    <x v="0"/>
    <x v="17"/>
    <x v="184"/>
    <d v="2016-09-15T12:00:00"/>
    <s v="Pessoa Física"/>
    <s v="Paulo"/>
    <n v="2"/>
    <n v="9"/>
    <n v="32"/>
    <n v="288"/>
  </r>
  <r>
    <n v="4653"/>
    <x v="0"/>
    <x v="22"/>
    <x v="185"/>
    <d v="2016-09-08T18:00:00"/>
    <s v="Pessoa Jurídica"/>
    <s v="Fernando"/>
    <n v="2"/>
    <n v="9"/>
    <n v="48"/>
    <n v="432"/>
  </r>
  <r>
    <n v="4654"/>
    <x v="7"/>
    <x v="21"/>
    <x v="186"/>
    <d v="2016-09-16T23:00:00"/>
    <s v="Pessoa Jurídica"/>
    <s v="Paulo"/>
    <n v="3"/>
    <n v="11"/>
    <n v="52"/>
    <n v="572"/>
  </r>
  <r>
    <n v="4655"/>
    <x v="7"/>
    <x v="24"/>
    <x v="186"/>
    <d v="2016-09-16T23:00:00"/>
    <s v="Pessoa Jurídica"/>
    <s v="Caio"/>
    <n v="5"/>
    <n v="12"/>
    <n v="42"/>
    <n v="504"/>
  </r>
  <r>
    <n v="4656"/>
    <x v="0"/>
    <x v="15"/>
    <x v="187"/>
    <d v="2016-09-19T23:00:00"/>
    <s v="Pessoa Física"/>
    <s v="Sandra"/>
    <n v="2"/>
    <n v="10"/>
    <n v="62"/>
    <n v="620"/>
  </r>
  <r>
    <n v="4657"/>
    <x v="3"/>
    <x v="18"/>
    <x v="188"/>
    <d v="2016-09-20T18:00:00"/>
    <s v="Pessoa Física"/>
    <s v="Sandra"/>
    <n v="2"/>
    <n v="10"/>
    <n v="43"/>
    <n v="430"/>
  </r>
  <r>
    <n v="4658"/>
    <x v="4"/>
    <x v="16"/>
    <x v="189"/>
    <d v="2016-09-14T18:00:00"/>
    <s v="Pessoa Física"/>
    <s v="Fernando"/>
    <n v="2"/>
    <n v="12"/>
    <n v="48"/>
    <n v="576"/>
  </r>
  <r>
    <n v="4659"/>
    <x v="3"/>
    <x v="17"/>
    <x v="190"/>
    <d v="2016-09-22T12:00:00"/>
    <s v="Pessoa Jurídica"/>
    <s v="José"/>
    <n v="5"/>
    <n v="10"/>
    <n v="32"/>
    <n v="320"/>
  </r>
  <r>
    <n v="4660"/>
    <x v="8"/>
    <x v="14"/>
    <x v="191"/>
    <d v="2016-09-15T18:00:00"/>
    <s v="Pessoa Física"/>
    <s v="Fernando"/>
    <n v="2"/>
    <n v="11"/>
    <n v="35"/>
    <n v="385"/>
  </r>
  <r>
    <n v="4661"/>
    <x v="6"/>
    <x v="15"/>
    <x v="192"/>
    <d v="2016-09-23T23:00:00"/>
    <s v="Pessoa Física"/>
    <s v="Sandra"/>
    <n v="4"/>
    <n v="9"/>
    <n v="62"/>
    <n v="558"/>
  </r>
  <r>
    <n v="4662"/>
    <x v="1"/>
    <x v="13"/>
    <x v="192"/>
    <d v="2016-09-23T23:00:00"/>
    <s v="Pessoa Jurídica"/>
    <s v="Caio"/>
    <n v="3"/>
    <n v="10"/>
    <n v="53"/>
    <n v="530"/>
  </r>
  <r>
    <n v="4663"/>
    <x v="2"/>
    <x v="16"/>
    <x v="193"/>
    <d v="2016-09-26T23:00:00"/>
    <s v="Pessoa Jurídica"/>
    <s v="Caio"/>
    <n v="4"/>
    <n v="10"/>
    <n v="48"/>
    <n v="480"/>
  </r>
  <r>
    <n v="4664"/>
    <x v="1"/>
    <x v="22"/>
    <x v="194"/>
    <d v="2016-09-27T18:00:00"/>
    <s v="Pessoa Física"/>
    <s v="Rosana"/>
    <n v="3"/>
    <n v="9"/>
    <n v="48"/>
    <n v="432"/>
  </r>
  <r>
    <n v="4665"/>
    <x v="3"/>
    <x v="22"/>
    <x v="195"/>
    <d v="2016-09-21T18:00:00"/>
    <s v="Pessoa Física"/>
    <s v="Paulo"/>
    <n v="4"/>
    <n v="11"/>
    <n v="48"/>
    <n v="528"/>
  </r>
  <r>
    <n v="4666"/>
    <x v="1"/>
    <x v="17"/>
    <x v="196"/>
    <d v="2016-09-29T12:00:00"/>
    <s v="Pessoa Jurídica"/>
    <s v="Paulo"/>
    <n v="2"/>
    <n v="8"/>
    <n v="32"/>
    <n v="256"/>
  </r>
  <r>
    <n v="4667"/>
    <x v="2"/>
    <x v="23"/>
    <x v="197"/>
    <d v="2016-09-22T18:00:00"/>
    <s v="Pessoa Jurídica"/>
    <s v="Joaquim"/>
    <n v="2"/>
    <n v="9"/>
    <n v="48"/>
    <n v="432"/>
  </r>
  <r>
    <n v="4668"/>
    <x v="7"/>
    <x v="18"/>
    <x v="198"/>
    <d v="2016-09-30T23:00:00"/>
    <s v="Pessoa Física"/>
    <s v="Roberto"/>
    <n v="3"/>
    <n v="11"/>
    <n v="43"/>
    <n v="473"/>
  </r>
  <r>
    <n v="4669"/>
    <x v="7"/>
    <x v="19"/>
    <x v="198"/>
    <d v="2016-09-30T23:00:00"/>
    <s v="Pessoa Jurídica"/>
    <s v="Roberto"/>
    <n v="2"/>
    <n v="9"/>
    <n v="75"/>
    <n v="675"/>
  </r>
  <r>
    <n v="4670"/>
    <x v="4"/>
    <x v="22"/>
    <x v="199"/>
    <d v="2016-10-03T23:00:00"/>
    <s v="Pessoa Jurídica"/>
    <s v="Sandra"/>
    <n v="4"/>
    <n v="10"/>
    <n v="48"/>
    <n v="480"/>
  </r>
  <r>
    <n v="4671"/>
    <x v="0"/>
    <x v="15"/>
    <x v="200"/>
    <d v="2016-10-04T18:00:00"/>
    <s v="Pessoa Física"/>
    <s v="Sandra"/>
    <n v="3"/>
    <n v="9"/>
    <n v="62"/>
    <n v="558"/>
  </r>
  <r>
    <n v="4672"/>
    <x v="1"/>
    <x v="22"/>
    <x v="201"/>
    <d v="2016-09-28T18:00:00"/>
    <s v="Pessoa Jurídica"/>
    <s v="Paulo"/>
    <n v="5"/>
    <n v="10"/>
    <n v="48"/>
    <n v="480"/>
  </r>
  <r>
    <n v="4673"/>
    <x v="2"/>
    <x v="14"/>
    <x v="202"/>
    <d v="2016-10-06T12:00:00"/>
    <s v="Pessoa Física"/>
    <s v="Fernando"/>
    <n v="4"/>
    <n v="12"/>
    <n v="35"/>
    <n v="420"/>
  </r>
  <r>
    <n v="4674"/>
    <x v="1"/>
    <x v="23"/>
    <x v="203"/>
    <d v="2016-09-29T18:00:00"/>
    <s v="Pessoa Jurídica"/>
    <s v="Sandra"/>
    <n v="3"/>
    <n v="11"/>
    <n v="48"/>
    <n v="528"/>
  </r>
  <r>
    <n v="4675"/>
    <x v="1"/>
    <x v="14"/>
    <x v="204"/>
    <d v="2016-10-07T23:00:00"/>
    <s v="Pessoa Física"/>
    <s v="Paulo"/>
    <n v="5"/>
    <n v="9"/>
    <n v="35"/>
    <n v="315"/>
  </r>
  <r>
    <n v="4676"/>
    <x v="7"/>
    <x v="16"/>
    <x v="204"/>
    <d v="2016-10-07T23:00:00"/>
    <s v="Pessoa Jurídica"/>
    <s v="Sandra"/>
    <n v="4"/>
    <n v="9"/>
    <n v="48"/>
    <n v="432"/>
  </r>
  <r>
    <n v="4677"/>
    <x v="8"/>
    <x v="19"/>
    <x v="205"/>
    <d v="2016-10-10T23:00:00"/>
    <s v="Pessoa Física"/>
    <s v="Caio"/>
    <n v="4"/>
    <n v="8"/>
    <n v="75"/>
    <n v="600"/>
  </r>
  <r>
    <n v="4678"/>
    <x v="3"/>
    <x v="19"/>
    <x v="206"/>
    <d v="2016-10-11T18:00:00"/>
    <s v="Pessoa Jurídica"/>
    <s v="Sandra"/>
    <n v="3"/>
    <n v="8"/>
    <n v="75"/>
    <n v="600"/>
  </r>
  <r>
    <n v="4679"/>
    <x v="1"/>
    <x v="17"/>
    <x v="207"/>
    <d v="2016-10-05T18:00:00"/>
    <s v="Pessoa Física"/>
    <s v="Sandra"/>
    <n v="4"/>
    <n v="8"/>
    <n v="32"/>
    <n v="256"/>
  </r>
  <r>
    <n v="4680"/>
    <x v="2"/>
    <x v="22"/>
    <x v="208"/>
    <d v="2016-10-13T12:00:00"/>
    <s v="Pessoa Jurídica"/>
    <s v="Sérgio"/>
    <n v="3"/>
    <n v="12"/>
    <n v="48"/>
    <n v="576"/>
  </r>
  <r>
    <n v="4681"/>
    <x v="5"/>
    <x v="15"/>
    <x v="209"/>
    <d v="2016-10-06T18:00:00"/>
    <s v="Pessoa Física"/>
    <s v="Douglas"/>
    <n v="5"/>
    <n v="11"/>
    <n v="62"/>
    <n v="682"/>
  </r>
  <r>
    <n v="4682"/>
    <x v="3"/>
    <x v="25"/>
    <x v="210"/>
    <d v="2016-10-14T23:00:00"/>
    <s v="Pessoa Jurídica"/>
    <s v="Caio"/>
    <m/>
    <n v="10"/>
    <n v="62"/>
    <n v="620"/>
  </r>
  <r>
    <n v="4683"/>
    <x v="2"/>
    <x v="16"/>
    <x v="210"/>
    <d v="2016-10-14T23:00:00"/>
    <s v="Pessoa Jurídica"/>
    <s v="Humberto"/>
    <n v="2"/>
    <n v="8"/>
    <n v="48"/>
    <n v="384"/>
  </r>
  <r>
    <n v="4684"/>
    <x v="8"/>
    <x v="25"/>
    <x v="211"/>
    <d v="2016-10-17T23:00:00"/>
    <s v="Pessoa Jurídica"/>
    <s v="Paulo"/>
    <n v="5"/>
    <n v="10"/>
    <n v="62"/>
    <n v="620"/>
  </r>
  <r>
    <n v="4685"/>
    <x v="8"/>
    <x v="20"/>
    <x v="212"/>
    <d v="2016-10-18T18:00:00"/>
    <s v="Pessoa Física"/>
    <s v="Caio"/>
    <n v="2"/>
    <n v="8"/>
    <n v="63"/>
    <n v="504"/>
  </r>
  <r>
    <n v="4686"/>
    <x v="4"/>
    <x v="15"/>
    <x v="213"/>
    <d v="2016-10-12T18:00:00"/>
    <s v="Pessoa Física"/>
    <s v="Manuel"/>
    <n v="5"/>
    <n v="12"/>
    <n v="62"/>
    <n v="744"/>
  </r>
  <r>
    <n v="4687"/>
    <x v="2"/>
    <x v="16"/>
    <x v="214"/>
    <d v="2016-10-20T12:00:00"/>
    <s v="Pessoa Física"/>
    <s v="Henrique"/>
    <n v="2"/>
    <n v="10"/>
    <n v="48"/>
    <n v="480"/>
  </r>
  <r>
    <n v="4688"/>
    <x v="4"/>
    <x v="13"/>
    <x v="215"/>
    <d v="2016-10-13T18:00:00"/>
    <s v="Pessoa Física"/>
    <s v="Jane"/>
    <n v="3"/>
    <n v="11"/>
    <n v="53"/>
    <n v="583"/>
  </r>
  <r>
    <n v="4689"/>
    <x v="2"/>
    <x v="13"/>
    <x v="216"/>
    <d v="2016-10-21T23:00:00"/>
    <s v="Pessoa Física"/>
    <s v="Jane"/>
    <n v="3"/>
    <n v="8"/>
    <n v="53"/>
    <n v="424"/>
  </r>
  <r>
    <n v="4690"/>
    <x v="8"/>
    <x v="16"/>
    <x v="216"/>
    <d v="2016-10-21T23:00:00"/>
    <s v="Pessoa Física"/>
    <s v="Joaquim"/>
    <n v="3"/>
    <n v="8"/>
    <n v="48"/>
    <n v="384"/>
  </r>
  <r>
    <n v="4691"/>
    <x v="1"/>
    <x v="22"/>
    <x v="217"/>
    <d v="2016-10-24T23:00:00"/>
    <s v="Pessoa Jurídica"/>
    <s v="Sandra"/>
    <n v="2"/>
    <n v="8"/>
    <n v="48"/>
    <n v="384"/>
  </r>
  <r>
    <n v="4692"/>
    <x v="6"/>
    <x v="14"/>
    <x v="218"/>
    <d v="2016-10-25T18:00:00"/>
    <s v="Pessoa Física"/>
    <s v="José"/>
    <n v="2"/>
    <n v="10"/>
    <n v="35"/>
    <n v="350"/>
  </r>
  <r>
    <n v="4693"/>
    <x v="8"/>
    <x v="25"/>
    <x v="219"/>
    <d v="2016-10-19T18:00:00"/>
    <s v="Pessoa Física"/>
    <s v="Ana"/>
    <n v="2"/>
    <n v="11"/>
    <n v="62"/>
    <n v="682"/>
  </r>
  <r>
    <n v="4694"/>
    <x v="0"/>
    <x v="13"/>
    <x v="220"/>
    <d v="2016-10-27T12:00:00"/>
    <s v="Pessoa Física"/>
    <s v="Joaquim"/>
    <n v="2"/>
    <n v="11"/>
    <n v="53"/>
    <n v="583"/>
  </r>
  <r>
    <n v="4695"/>
    <x v="5"/>
    <x v="25"/>
    <x v="221"/>
    <d v="2016-10-20T18:00:00"/>
    <s v="Pessoa Jurídica"/>
    <s v="Jane"/>
    <n v="2"/>
    <n v="8"/>
    <n v="62"/>
    <n v="496"/>
  </r>
  <r>
    <n v="4696"/>
    <x v="8"/>
    <x v="24"/>
    <x v="222"/>
    <d v="2016-10-28T23:00:00"/>
    <s v="Pessoa Jurídica"/>
    <s v="Sandra"/>
    <n v="2"/>
    <n v="9"/>
    <n v="42"/>
    <n v="378"/>
  </r>
  <r>
    <n v="4697"/>
    <x v="1"/>
    <x v="21"/>
    <x v="222"/>
    <d v="2016-10-28T23:00:00"/>
    <s v="Pessoa Física"/>
    <s v="Paulo"/>
    <n v="3"/>
    <n v="10"/>
    <n v="52"/>
    <n v="520"/>
  </r>
  <r>
    <n v="4698"/>
    <x v="5"/>
    <x v="13"/>
    <x v="223"/>
    <d v="2016-10-31T23:00:00"/>
    <s v="Pessoa Física"/>
    <s v="Humberto"/>
    <n v="3"/>
    <n v="12"/>
    <n v="53"/>
    <n v="636"/>
  </r>
  <r>
    <n v="4699"/>
    <x v="5"/>
    <x v="14"/>
    <x v="224"/>
    <d v="2016-11-01T18:00:00"/>
    <s v="Pessoa Física"/>
    <s v="José"/>
    <n v="2"/>
    <n v="11"/>
    <n v="35"/>
    <n v="385"/>
  </r>
  <r>
    <n v="4700"/>
    <x v="6"/>
    <x v="25"/>
    <x v="225"/>
    <d v="2016-10-26T18:00:00"/>
    <s v="Pessoa Jurídica"/>
    <s v="Sandra"/>
    <n v="3"/>
    <n v="10"/>
    <n v="62"/>
    <n v="620"/>
  </r>
  <r>
    <n v="4701"/>
    <x v="2"/>
    <x v="17"/>
    <x v="226"/>
    <d v="2016-11-03T12:00:00"/>
    <s v="Pessoa Jurídica"/>
    <s v="Paulo"/>
    <n v="2"/>
    <n v="10"/>
    <n v="32"/>
    <n v="320"/>
  </r>
  <r>
    <n v="4702"/>
    <x v="6"/>
    <x v="17"/>
    <x v="227"/>
    <d v="2016-10-27T18:00:00"/>
    <s v="Pessoa Jurídica"/>
    <s v="Fernando"/>
    <n v="5"/>
    <n v="11"/>
    <n v="32"/>
    <n v="352"/>
  </r>
  <r>
    <n v="4703"/>
    <x v="2"/>
    <x v="14"/>
    <x v="228"/>
    <d v="2016-11-04T23:00:00"/>
    <s v="Pessoa Física"/>
    <s v="Fernando"/>
    <n v="2"/>
    <n v="10"/>
    <n v="35"/>
    <n v="350"/>
  </r>
  <r>
    <n v="4704"/>
    <x v="4"/>
    <x v="17"/>
    <x v="228"/>
    <d v="2016-11-04T23:00:00"/>
    <s v="Pessoa Jurídica"/>
    <s v="Sérgio"/>
    <n v="3"/>
    <n v="10"/>
    <n v="32"/>
    <n v="320"/>
  </r>
  <r>
    <n v="4705"/>
    <x v="8"/>
    <x v="18"/>
    <x v="229"/>
    <d v="2016-11-07T23:00:00"/>
    <s v="Pessoa Jurídica"/>
    <s v="Leandro"/>
    <n v="2"/>
    <n v="11"/>
    <n v="43"/>
    <n v="473"/>
  </r>
  <r>
    <n v="4706"/>
    <x v="7"/>
    <x v="17"/>
    <x v="230"/>
    <d v="2016-11-08T18:00:00"/>
    <s v="Pessoa Jurídica"/>
    <s v="Leandro"/>
    <n v="2"/>
    <n v="10"/>
    <n v="32"/>
    <n v="320"/>
  </r>
  <r>
    <n v="4707"/>
    <x v="8"/>
    <x v="17"/>
    <x v="231"/>
    <d v="2016-11-02T18:00:00"/>
    <s v="Pessoa Jurídica"/>
    <s v="Joaquim"/>
    <n v="5"/>
    <n v="11"/>
    <n v="32"/>
    <n v="352"/>
  </r>
  <r>
    <n v="4708"/>
    <x v="4"/>
    <x v="15"/>
    <x v="232"/>
    <d v="2016-11-10T12:00:00"/>
    <s v="Pessoa Física"/>
    <s v="Caio"/>
    <n v="3"/>
    <n v="9"/>
    <n v="62"/>
    <n v="558"/>
  </r>
  <r>
    <n v="4709"/>
    <x v="0"/>
    <x v="22"/>
    <x v="233"/>
    <d v="2016-11-03T18:00:00"/>
    <s v="Pessoa Física"/>
    <s v="Ana"/>
    <n v="5"/>
    <n v="10"/>
    <n v="48"/>
    <n v="480"/>
  </r>
  <r>
    <n v="4710"/>
    <x v="6"/>
    <x v="18"/>
    <x v="234"/>
    <d v="2016-11-11T23:00:00"/>
    <s v="Pessoa Jurídica"/>
    <s v="Sandra"/>
    <n v="2"/>
    <n v="10"/>
    <n v="43"/>
    <n v="430"/>
  </r>
  <r>
    <n v="4711"/>
    <x v="0"/>
    <x v="15"/>
    <x v="234"/>
    <d v="2016-11-11T23:00:00"/>
    <s v="Pessoa Jurídica"/>
    <s v="Sérgio"/>
    <n v="5"/>
    <n v="12"/>
    <n v="62"/>
    <n v="744"/>
  </r>
  <r>
    <n v="4712"/>
    <x v="5"/>
    <x v="24"/>
    <x v="235"/>
    <d v="2016-11-14T23:00:00"/>
    <s v="Pessoa Física"/>
    <s v="Fernando"/>
    <n v="3"/>
    <n v="9"/>
    <n v="42"/>
    <n v="378"/>
  </r>
  <r>
    <n v="4713"/>
    <x v="7"/>
    <x v="13"/>
    <x v="236"/>
    <d v="2016-11-15T18:00:00"/>
    <s v="Pessoa Física"/>
    <s v="Roberto"/>
    <n v="4"/>
    <n v="10"/>
    <n v="53"/>
    <n v="530"/>
  </r>
  <r>
    <n v="4714"/>
    <x v="0"/>
    <x v="16"/>
    <x v="237"/>
    <d v="2016-11-09T18:00:00"/>
    <s v="Pessoa Jurídica"/>
    <s v="Roberto"/>
    <n v="2"/>
    <n v="12"/>
    <n v="48"/>
    <n v="576"/>
  </r>
  <r>
    <n v="4715"/>
    <x v="4"/>
    <x v="22"/>
    <x v="238"/>
    <d v="2016-11-17T12:00:00"/>
    <s v="Pessoa Jurídica"/>
    <s v="Caio"/>
    <n v="4"/>
    <n v="8"/>
    <n v="48"/>
    <n v="384"/>
  </r>
  <r>
    <n v="4716"/>
    <x v="8"/>
    <x v="17"/>
    <x v="239"/>
    <d v="2016-11-10T18:00:00"/>
    <s v="Pessoa Jurídica"/>
    <s v="Fernando"/>
    <n v="4"/>
    <n v="9"/>
    <n v="32"/>
    <n v="288"/>
  </r>
  <r>
    <n v="4717"/>
    <x v="5"/>
    <x v="17"/>
    <x v="240"/>
    <d v="2016-11-18T23:00:00"/>
    <s v="Pessoa Jurídica"/>
    <s v="Fernando"/>
    <n v="4"/>
    <n v="12"/>
    <n v="32"/>
    <n v="384"/>
  </r>
  <r>
    <n v="4718"/>
    <x v="6"/>
    <x v="21"/>
    <x v="240"/>
    <d v="2016-11-18T23:00:00"/>
    <s v="Pessoa Jurídica"/>
    <s v="Caio"/>
    <n v="2"/>
    <n v="10"/>
    <n v="52"/>
    <n v="520"/>
  </r>
  <r>
    <n v="4719"/>
    <x v="7"/>
    <x v="18"/>
    <x v="241"/>
    <d v="2016-11-21T23:00:00"/>
    <s v="Pessoa Física"/>
    <s v="Humberto"/>
    <n v="2"/>
    <n v="9"/>
    <n v="43"/>
    <n v="387"/>
  </r>
  <r>
    <n v="4720"/>
    <x v="2"/>
    <x v="25"/>
    <x v="242"/>
    <d v="2016-11-22T18:00:00"/>
    <s v="Pessoa Jurídica"/>
    <s v="Leandro"/>
    <n v="3"/>
    <n v="11"/>
    <n v="62"/>
    <n v="682"/>
  </r>
  <r>
    <n v="4721"/>
    <x v="8"/>
    <x v="17"/>
    <x v="243"/>
    <d v="2016-11-16T18:00:00"/>
    <s v="Pessoa Física"/>
    <s v="Sandra"/>
    <n v="3"/>
    <n v="9"/>
    <n v="32"/>
    <n v="288"/>
  </r>
  <r>
    <n v="4722"/>
    <x v="5"/>
    <x v="23"/>
    <x v="244"/>
    <d v="2016-11-24T12:00:00"/>
    <s v="Pessoa Física"/>
    <s v="Sandra"/>
    <n v="4"/>
    <n v="10"/>
    <n v="48"/>
    <n v="480"/>
  </r>
  <r>
    <n v="4723"/>
    <x v="7"/>
    <x v="17"/>
    <x v="245"/>
    <d v="2016-11-17T18:00:00"/>
    <s v="Pessoa Física"/>
    <s v="Paulo"/>
    <n v="4"/>
    <n v="12"/>
    <n v="32"/>
    <n v="384"/>
  </r>
  <r>
    <n v="4724"/>
    <x v="3"/>
    <x v="17"/>
    <x v="246"/>
    <d v="2016-11-25T23:00:00"/>
    <s v="Pessoa Física"/>
    <s v="Leandro"/>
    <n v="4"/>
    <n v="12"/>
    <n v="32"/>
    <n v="384"/>
  </r>
  <r>
    <n v="4725"/>
    <x v="7"/>
    <x v="21"/>
    <x v="246"/>
    <d v="2016-11-25T23:00:00"/>
    <s v="Pessoa Física"/>
    <s v="Caio"/>
    <n v="4"/>
    <n v="11"/>
    <n v="52"/>
    <n v="572"/>
  </r>
  <r>
    <n v="4726"/>
    <x v="2"/>
    <x v="25"/>
    <x v="247"/>
    <d v="2016-11-28T23:00:00"/>
    <s v="Pessoa Jurídica"/>
    <s v="José"/>
    <n v="2"/>
    <n v="9"/>
    <n v="62"/>
    <n v="558"/>
  </r>
  <r>
    <n v="4727"/>
    <x v="6"/>
    <x v="14"/>
    <x v="248"/>
    <d v="2016-11-29T18:00:00"/>
    <s v="Pessoa Física"/>
    <s v="Fernando"/>
    <n v="3"/>
    <n v="10"/>
    <n v="35"/>
    <n v="350"/>
  </r>
  <r>
    <n v="4728"/>
    <x v="4"/>
    <x v="16"/>
    <x v="249"/>
    <d v="2016-11-23T18:00:00"/>
    <s v="Pessoa Física"/>
    <s v="Ana"/>
    <n v="3"/>
    <n v="12"/>
    <n v="48"/>
    <n v="576"/>
  </r>
  <r>
    <n v="4729"/>
    <x v="3"/>
    <x v="17"/>
    <x v="250"/>
    <d v="2016-12-01T12:00:00"/>
    <s v="Pessoa Jurídica"/>
    <s v="Caio"/>
    <n v="3"/>
    <n v="11"/>
    <n v="32"/>
    <n v="352"/>
  </r>
  <r>
    <n v="4730"/>
    <x v="8"/>
    <x v="19"/>
    <x v="251"/>
    <d v="2016-11-24T18:00:00"/>
    <s v="Pessoa Jurídica"/>
    <s v="Leandro"/>
    <n v="5"/>
    <n v="9"/>
    <n v="75"/>
    <n v="675"/>
  </r>
  <r>
    <n v="4731"/>
    <x v="4"/>
    <x v="15"/>
    <x v="252"/>
    <d v="2016-12-02T23:00:00"/>
    <s v="Pessoa Jurídica"/>
    <s v="Sandra"/>
    <n v="2"/>
    <n v="9"/>
    <n v="62"/>
    <n v="558"/>
  </r>
  <r>
    <n v="4732"/>
    <x v="5"/>
    <x v="16"/>
    <x v="252"/>
    <d v="2016-12-02T23:00:00"/>
    <s v="Pessoa Jurídica"/>
    <s v="Fernando"/>
    <m/>
    <n v="12"/>
    <n v="48"/>
    <n v="576"/>
  </r>
  <r>
    <n v="4733"/>
    <x v="4"/>
    <x v="19"/>
    <x v="253"/>
    <d v="2016-12-05T23:00:00"/>
    <s v="Pessoa Física"/>
    <s v="Paulo"/>
    <n v="4"/>
    <n v="8"/>
    <n v="75"/>
    <n v="600"/>
  </r>
  <r>
    <n v="4734"/>
    <x v="0"/>
    <x v="22"/>
    <x v="254"/>
    <d v="2016-12-06T18:00:00"/>
    <s v="Pessoa Jurídica"/>
    <s v="Henrique"/>
    <n v="4"/>
    <n v="9"/>
    <n v="48"/>
    <n v="432"/>
  </r>
  <r>
    <n v="4735"/>
    <x v="1"/>
    <x v="16"/>
    <x v="255"/>
    <d v="2016-11-30T18:00:00"/>
    <s v="Pessoa Jurídica"/>
    <s v="Paulo"/>
    <n v="5"/>
    <n v="10"/>
    <n v="48"/>
    <n v="480"/>
  </r>
  <r>
    <n v="4736"/>
    <x v="0"/>
    <x v="23"/>
    <x v="256"/>
    <d v="2016-12-08T12:00:00"/>
    <s v="Pessoa Física"/>
    <s v="Fernando"/>
    <n v="5"/>
    <n v="8"/>
    <n v="48"/>
    <n v="384"/>
  </r>
  <r>
    <n v="4737"/>
    <x v="3"/>
    <x v="17"/>
    <x v="257"/>
    <d v="2016-12-01T18:00:00"/>
    <s v="Pessoa Jurídica"/>
    <s v="Ana"/>
    <n v="4"/>
    <n v="8"/>
    <n v="32"/>
    <n v="256"/>
  </r>
  <r>
    <n v="4738"/>
    <x v="3"/>
    <x v="17"/>
    <x v="258"/>
    <d v="2016-12-09T23:00:00"/>
    <s v="Pessoa Física"/>
    <s v="Jane"/>
    <n v="4"/>
    <n v="9"/>
    <n v="32"/>
    <n v="288"/>
  </r>
  <r>
    <n v="4739"/>
    <x v="7"/>
    <x v="22"/>
    <x v="258"/>
    <d v="2016-12-09T23:00:00"/>
    <s v="Pessoa Jurídica"/>
    <s v="Caio"/>
    <n v="4"/>
    <n v="12"/>
    <n v="48"/>
    <n v="576"/>
  </r>
  <r>
    <n v="4740"/>
    <x v="8"/>
    <x v="25"/>
    <x v="259"/>
    <d v="2016-12-12T23:00:00"/>
    <s v="Pessoa Jurídica"/>
    <s v="Sandra"/>
    <n v="3"/>
    <n v="8"/>
    <n v="62"/>
    <n v="496"/>
  </r>
  <r>
    <n v="4741"/>
    <x v="2"/>
    <x v="16"/>
    <x v="260"/>
    <d v="2016-12-13T18:00:00"/>
    <s v="Pessoa Jurídica"/>
    <s v="Sandra"/>
    <n v="5"/>
    <n v="12"/>
    <n v="48"/>
    <n v="576"/>
  </r>
  <r>
    <n v="4742"/>
    <x v="6"/>
    <x v="17"/>
    <x v="261"/>
    <d v="2016-12-07T18:00:00"/>
    <s v="Pessoa Jurídica"/>
    <s v="Sérgio"/>
    <n v="5"/>
    <n v="10"/>
    <n v="32"/>
    <n v="320"/>
  </r>
  <r>
    <n v="4743"/>
    <x v="6"/>
    <x v="23"/>
    <x v="262"/>
    <d v="2016-12-15T12:00:00"/>
    <s v="Pessoa Física"/>
    <s v="Fernando"/>
    <n v="3"/>
    <n v="9"/>
    <n v="48"/>
    <n v="432"/>
  </r>
  <r>
    <n v="4744"/>
    <x v="1"/>
    <x v="25"/>
    <x v="263"/>
    <d v="2016-12-08T18:00:00"/>
    <s v="Pessoa Física"/>
    <s v="Caio"/>
    <n v="2"/>
    <n v="8"/>
    <n v="62"/>
    <n v="496"/>
  </r>
  <r>
    <n v="4745"/>
    <x v="4"/>
    <x v="17"/>
    <x v="264"/>
    <d v="2016-12-16T23:00:00"/>
    <s v="Pessoa Jurídica"/>
    <s v="Sandra"/>
    <n v="5"/>
    <n v="8"/>
    <n v="32"/>
    <n v="256"/>
  </r>
  <r>
    <n v="4746"/>
    <x v="8"/>
    <x v="24"/>
    <x v="264"/>
    <d v="2016-12-16T23:00:00"/>
    <s v="Pessoa Jurídica"/>
    <s v="Henrique"/>
    <n v="5"/>
    <n v="10"/>
    <n v="42"/>
    <n v="420"/>
  </r>
  <r>
    <n v="4747"/>
    <x v="5"/>
    <x v="25"/>
    <x v="265"/>
    <d v="2016-12-19T23:00:00"/>
    <s v="Pessoa Jurídica"/>
    <s v="Caio"/>
    <n v="5"/>
    <n v="11"/>
    <n v="62"/>
    <n v="682"/>
  </r>
  <r>
    <n v="4748"/>
    <x v="5"/>
    <x v="22"/>
    <x v="266"/>
    <d v="2016-12-20T18:00:00"/>
    <s v="Pessoa Jurídica"/>
    <s v="Fernando"/>
    <n v="2"/>
    <n v="8"/>
    <n v="48"/>
    <n v="384"/>
  </r>
  <r>
    <n v="4749"/>
    <x v="2"/>
    <x v="14"/>
    <x v="267"/>
    <d v="2016-12-14T18:00:00"/>
    <s v="Pessoa Jurídica"/>
    <s v="Sérgio"/>
    <n v="3"/>
    <n v="9"/>
    <n v="35"/>
    <n v="315"/>
  </r>
  <r>
    <n v="4750"/>
    <x v="4"/>
    <x v="19"/>
    <x v="268"/>
    <d v="2016-12-22T12:00:00"/>
    <s v="Pessoa Jurídica"/>
    <s v="Humberto"/>
    <n v="3"/>
    <n v="9"/>
    <n v="75"/>
    <n v="675"/>
  </r>
  <r>
    <n v="4751"/>
    <x v="0"/>
    <x v="16"/>
    <x v="269"/>
    <d v="2016-12-15T18:00:00"/>
    <s v="Pessoa Física"/>
    <s v="Paulo"/>
    <n v="4"/>
    <n v="8"/>
    <n v="48"/>
    <n v="384"/>
  </r>
  <r>
    <n v="4752"/>
    <x v="4"/>
    <x v="15"/>
    <x v="270"/>
    <d v="2016-12-23T23:00:00"/>
    <s v="Pessoa Física"/>
    <s v="Caio"/>
    <n v="3"/>
    <n v="10"/>
    <n v="62"/>
    <n v="620"/>
  </r>
  <r>
    <n v="4753"/>
    <x v="0"/>
    <x v="25"/>
    <x v="270"/>
    <d v="2016-12-23T23:00:00"/>
    <s v="Pessoa Física"/>
    <s v="Henrique"/>
    <n v="3"/>
    <n v="10"/>
    <n v="62"/>
    <n v="620"/>
  </r>
  <r>
    <n v="4754"/>
    <x v="7"/>
    <x v="23"/>
    <x v="271"/>
    <d v="2016-12-26T23:00:00"/>
    <s v="Pessoa Física"/>
    <s v="Jane"/>
    <n v="4"/>
    <n v="12"/>
    <n v="48"/>
    <n v="576"/>
  </r>
  <r>
    <n v="4755"/>
    <x v="4"/>
    <x v="21"/>
    <x v="272"/>
    <d v="2016-12-27T18:00:00"/>
    <s v="Pessoa Jurídica"/>
    <s v="Douglas"/>
    <n v="3"/>
    <n v="11"/>
    <n v="52"/>
    <n v="572"/>
  </r>
  <r>
    <n v="4756"/>
    <x v="5"/>
    <x v="19"/>
    <x v="273"/>
    <d v="2016-12-21T18:00:00"/>
    <s v="Pessoa Física"/>
    <s v="Paulo"/>
    <n v="3"/>
    <n v="11"/>
    <n v="75"/>
    <n v="825"/>
  </r>
  <r>
    <n v="4757"/>
    <x v="6"/>
    <x v="21"/>
    <x v="274"/>
    <d v="2016-12-29T12:00:00"/>
    <s v="Pessoa Jurídica"/>
    <s v="Caio"/>
    <n v="2"/>
    <n v="11"/>
    <n v="52"/>
    <n v="572"/>
  </r>
  <r>
    <n v="4758"/>
    <x v="0"/>
    <x v="23"/>
    <x v="275"/>
    <d v="2016-12-22T18:00:00"/>
    <s v="Pessoa Física"/>
    <s v="Leandro"/>
    <n v="2"/>
    <n v="10"/>
    <n v="48"/>
    <n v="480"/>
  </r>
  <r>
    <n v="4759"/>
    <x v="1"/>
    <x v="17"/>
    <x v="276"/>
    <d v="2016-12-30T23:00:00"/>
    <s v="Pessoa Jurídica"/>
    <s v="Fernando"/>
    <n v="2"/>
    <n v="10"/>
    <n v="32"/>
    <n v="320"/>
  </r>
  <r>
    <n v="4760"/>
    <x v="3"/>
    <x v="14"/>
    <x v="276"/>
    <d v="2016-12-30T23:00:00"/>
    <s v="Pessoa Jurídica"/>
    <s v="Paulo"/>
    <n v="3"/>
    <n v="11"/>
    <n v="35"/>
    <n v="385"/>
  </r>
  <r>
    <n v="4761"/>
    <x v="2"/>
    <x v="22"/>
    <x v="277"/>
    <d v="2017-01-02T23:00:00"/>
    <s v="Pessoa Jurídica"/>
    <s v="Caio"/>
    <n v="5"/>
    <n v="11"/>
    <n v="48"/>
    <n v="528"/>
  </r>
  <r>
    <n v="4762"/>
    <x v="0"/>
    <x v="21"/>
    <x v="278"/>
    <d v="2017-01-03T18:00:00"/>
    <s v="Pessoa Jurídica"/>
    <s v="Fernando"/>
    <n v="2"/>
    <n v="12"/>
    <n v="52"/>
    <n v="624"/>
  </r>
  <r>
    <n v="4763"/>
    <x v="6"/>
    <x v="16"/>
    <x v="279"/>
    <d v="2016-12-28T18:00:00"/>
    <s v="Pessoa Jurídica"/>
    <s v="José"/>
    <n v="5"/>
    <n v="8"/>
    <n v="48"/>
    <n v="384"/>
  </r>
  <r>
    <n v="4764"/>
    <x v="0"/>
    <x v="22"/>
    <x v="280"/>
    <d v="2017-01-05T12:00:00"/>
    <s v="Pessoa Física"/>
    <s v="Joaquim"/>
    <n v="5"/>
    <n v="12"/>
    <n v="48"/>
    <n v="576"/>
  </r>
  <r>
    <n v="4765"/>
    <x v="5"/>
    <x v="23"/>
    <x v="281"/>
    <d v="2016-12-29T18:00:00"/>
    <s v="Pessoa Jurídica"/>
    <s v="Sandra"/>
    <n v="4"/>
    <n v="10"/>
    <n v="48"/>
    <n v="480"/>
  </r>
  <r>
    <n v="4766"/>
    <x v="6"/>
    <x v="19"/>
    <x v="282"/>
    <d v="2017-01-06T23:00:00"/>
    <s v="Pessoa Jurídica"/>
    <s v="Rosana"/>
    <n v="2"/>
    <n v="8"/>
    <n v="75"/>
    <n v="600"/>
  </r>
  <r>
    <n v="4767"/>
    <x v="1"/>
    <x v="16"/>
    <x v="282"/>
    <d v="2017-01-06T23:00:00"/>
    <s v="Pessoa Jurídica"/>
    <s v="Jane"/>
    <n v="3"/>
    <n v="10"/>
    <n v="48"/>
    <n v="480"/>
  </r>
  <r>
    <n v="4768"/>
    <x v="4"/>
    <x v="13"/>
    <x v="283"/>
    <d v="2017-01-09T23:00:00"/>
    <s v="Pessoa Jurídica"/>
    <s v="Leandro"/>
    <n v="3"/>
    <n v="9"/>
    <n v="53"/>
    <n v="477"/>
  </r>
  <r>
    <n v="4769"/>
    <x v="5"/>
    <x v="18"/>
    <x v="284"/>
    <d v="2017-01-10T18:00:00"/>
    <s v="Pessoa Jurídica"/>
    <s v="Humberto"/>
    <n v="5"/>
    <n v="12"/>
    <n v="43"/>
    <n v="516"/>
  </r>
  <r>
    <n v="4770"/>
    <x v="5"/>
    <x v="14"/>
    <x v="285"/>
    <d v="2017-01-04T18:00:00"/>
    <s v="Pessoa Jurídica"/>
    <s v="Jane"/>
    <n v="2"/>
    <n v="11"/>
    <n v="35"/>
    <n v="385"/>
  </r>
  <r>
    <n v="4771"/>
    <x v="8"/>
    <x v="16"/>
    <x v="286"/>
    <d v="2017-01-12T12:00:00"/>
    <s v="Pessoa Física"/>
    <s v="Sérgio"/>
    <m/>
    <n v="10"/>
    <n v="48"/>
    <n v="480"/>
  </r>
  <r>
    <n v="4772"/>
    <x v="4"/>
    <x v="24"/>
    <x v="287"/>
    <d v="2017-01-05T18:00:00"/>
    <s v="Pessoa Física"/>
    <s v="Sandra"/>
    <n v="2"/>
    <n v="9"/>
    <n v="42"/>
    <n v="378"/>
  </r>
  <r>
    <n v="4773"/>
    <x v="0"/>
    <x v="18"/>
    <x v="288"/>
    <d v="2017-01-13T23:00:00"/>
    <s v="Pessoa Jurídica"/>
    <s v="Sandra"/>
    <n v="2"/>
    <n v="8"/>
    <n v="43"/>
    <n v="344"/>
  </r>
  <r>
    <n v="4774"/>
    <x v="2"/>
    <x v="19"/>
    <x v="288"/>
    <d v="2017-01-13T23:00:00"/>
    <s v="Pessoa Jurídica"/>
    <s v="Humberto"/>
    <n v="4"/>
    <n v="12"/>
    <n v="75"/>
    <n v="900"/>
  </r>
  <r>
    <n v="4775"/>
    <x v="2"/>
    <x v="24"/>
    <x v="289"/>
    <d v="2017-01-16T23:00:00"/>
    <s v="Pessoa Física"/>
    <s v="Sérgio"/>
    <n v="2"/>
    <n v="9"/>
    <n v="42"/>
    <n v="378"/>
  </r>
  <r>
    <n v="4776"/>
    <x v="6"/>
    <x v="14"/>
    <x v="290"/>
    <d v="2017-01-17T18:00:00"/>
    <s v="Pessoa Física"/>
    <s v="Caio"/>
    <n v="2"/>
    <n v="10"/>
    <n v="35"/>
    <n v="350"/>
  </r>
  <r>
    <n v="4777"/>
    <x v="3"/>
    <x v="21"/>
    <x v="291"/>
    <d v="2017-01-11T18:00:00"/>
    <s v="Pessoa Jurídica"/>
    <s v="Humberto"/>
    <n v="4"/>
    <n v="9"/>
    <n v="52"/>
    <n v="468"/>
  </r>
  <r>
    <n v="4778"/>
    <x v="3"/>
    <x v="24"/>
    <x v="292"/>
    <d v="2017-01-19T12:00:00"/>
    <s v="Pessoa Física"/>
    <s v="Humberto"/>
    <n v="2"/>
    <n v="10"/>
    <n v="42"/>
    <n v="420"/>
  </r>
  <r>
    <n v="4779"/>
    <x v="4"/>
    <x v="24"/>
    <x v="293"/>
    <d v="2017-01-12T18:00:00"/>
    <s v="Pessoa Física"/>
    <s v="Ana"/>
    <n v="4"/>
    <n v="9"/>
    <n v="42"/>
    <n v="378"/>
  </r>
  <r>
    <n v="4780"/>
    <x v="5"/>
    <x v="22"/>
    <x v="294"/>
    <d v="2017-01-20T23:00:00"/>
    <s v="Pessoa Jurídica"/>
    <s v="Joaquim"/>
    <n v="4"/>
    <n v="12"/>
    <n v="48"/>
    <n v="576"/>
  </r>
  <r>
    <n v="4781"/>
    <x v="0"/>
    <x v="17"/>
    <x v="294"/>
    <d v="2017-01-20T23:00:00"/>
    <s v="Pessoa Física"/>
    <s v="Humberto"/>
    <n v="4"/>
    <n v="9"/>
    <n v="32"/>
    <n v="288"/>
  </r>
  <r>
    <n v="4782"/>
    <x v="2"/>
    <x v="13"/>
    <x v="295"/>
    <d v="2017-01-23T23:00:00"/>
    <s v="Pessoa Jurídica"/>
    <s v="Sandra"/>
    <n v="5"/>
    <n v="9"/>
    <n v="53"/>
    <n v="477"/>
  </r>
  <r>
    <n v="4783"/>
    <x v="6"/>
    <x v="17"/>
    <x v="296"/>
    <d v="2017-01-24T18:00:00"/>
    <s v="Pessoa Jurídica"/>
    <s v="Caio"/>
    <n v="3"/>
    <n v="11"/>
    <n v="32"/>
    <n v="352"/>
  </r>
  <r>
    <n v="4784"/>
    <x v="3"/>
    <x v="14"/>
    <x v="297"/>
    <d v="2017-01-18T18:00:00"/>
    <s v="Pessoa Física"/>
    <s v="Ana"/>
    <n v="5"/>
    <n v="12"/>
    <n v="35"/>
    <n v="420"/>
  </r>
  <r>
    <n v="4785"/>
    <x v="3"/>
    <x v="17"/>
    <x v="298"/>
    <d v="2017-01-27T12:00:00"/>
    <s v="Pessoa Jurídica"/>
    <s v="Caio"/>
    <n v="2"/>
    <n v="10"/>
    <n v="32"/>
    <n v="320"/>
  </r>
  <r>
    <n v="4786"/>
    <x v="3"/>
    <x v="21"/>
    <x v="299"/>
    <d v="2017-01-19T18:00:00"/>
    <s v="Pessoa Jurídica"/>
    <s v="Rosana"/>
    <n v="5"/>
    <n v="12"/>
    <n v="52"/>
    <n v="624"/>
  </r>
  <r>
    <n v="4787"/>
    <x v="8"/>
    <x v="25"/>
    <x v="300"/>
    <d v="2017-01-30T23:00:00"/>
    <s v="Pessoa Jurídica"/>
    <s v="Manuel"/>
    <n v="4"/>
    <n v="8"/>
    <n v="62"/>
    <n v="496"/>
  </r>
  <r>
    <n v="4788"/>
    <x v="4"/>
    <x v="15"/>
    <x v="300"/>
    <d v="2017-01-30T23:00:00"/>
    <s v="Pessoa Física"/>
    <s v="Caio"/>
    <n v="4"/>
    <n v="10"/>
    <n v="62"/>
    <n v="620"/>
  </r>
  <r>
    <n v="4789"/>
    <x v="2"/>
    <x v="14"/>
    <x v="301"/>
    <d v="2017-01-31T23:00:00"/>
    <s v="Pessoa Jurídica"/>
    <s v="Rosana"/>
    <n v="5"/>
    <n v="8"/>
    <n v="35"/>
    <n v="280"/>
  </r>
  <r>
    <n v="4790"/>
    <x v="1"/>
    <x v="20"/>
    <x v="302"/>
    <d v="2017-02-01T18:00:00"/>
    <s v="Pessoa Física"/>
    <s v="Leandro"/>
    <n v="4"/>
    <n v="9"/>
    <n v="63"/>
    <n v="567"/>
  </r>
  <r>
    <n v="4791"/>
    <x v="7"/>
    <x v="13"/>
    <x v="303"/>
    <d v="2017-01-26T18:00:00"/>
    <s v="Pessoa Física"/>
    <s v="Ana"/>
    <n v="4"/>
    <n v="8"/>
    <n v="53"/>
    <n v="424"/>
  </r>
  <r>
    <n v="4792"/>
    <x v="4"/>
    <x v="22"/>
    <x v="304"/>
    <d v="2017-02-03T12:00:00"/>
    <s v="Pessoa Jurídica"/>
    <s v="Roberto"/>
    <n v="4"/>
    <n v="10"/>
    <n v="48"/>
    <n v="480"/>
  </r>
  <r>
    <n v="4793"/>
    <x v="7"/>
    <x v="23"/>
    <x v="305"/>
    <d v="2017-01-27T18:00:00"/>
    <s v="Pessoa Física"/>
    <s v="Paulo"/>
    <n v="5"/>
    <n v="12"/>
    <n v="48"/>
    <n v="576"/>
  </r>
  <r>
    <n v="4794"/>
    <x v="4"/>
    <x v="24"/>
    <x v="306"/>
    <d v="2017-02-06T23:00:00"/>
    <s v="Pessoa Jurídica"/>
    <s v="Sérgio"/>
    <n v="2"/>
    <n v="11"/>
    <n v="42"/>
    <n v="462"/>
  </r>
  <r>
    <n v="4795"/>
    <x v="0"/>
    <x v="19"/>
    <x v="306"/>
    <d v="2017-02-06T23:00:00"/>
    <s v="Pessoa Jurídica"/>
    <s v="Caio"/>
    <n v="4"/>
    <n v="11"/>
    <n v="75"/>
    <n v="825"/>
  </r>
  <r>
    <n v="4796"/>
    <x v="7"/>
    <x v="17"/>
    <x v="307"/>
    <d v="2017-02-07T23:00:00"/>
    <s v="Pessoa Jurídica"/>
    <s v="Sandra"/>
    <n v="3"/>
    <n v="8"/>
    <n v="32"/>
    <n v="256"/>
  </r>
  <r>
    <n v="4797"/>
    <x v="6"/>
    <x v="20"/>
    <x v="308"/>
    <d v="2017-02-07T18:00:00"/>
    <s v="Pessoa Física"/>
    <s v="Leandro"/>
    <n v="5"/>
    <n v="10"/>
    <n v="63"/>
    <n v="630"/>
  </r>
  <r>
    <n v="4798"/>
    <x v="6"/>
    <x v="15"/>
    <x v="309"/>
    <d v="2017-02-01T18:00:00"/>
    <s v="Pessoa Física"/>
    <s v="Sérgio"/>
    <n v="2"/>
    <n v="8"/>
    <n v="62"/>
    <n v="496"/>
  </r>
  <r>
    <n v="4799"/>
    <x v="4"/>
    <x v="17"/>
    <x v="310"/>
    <d v="2017-02-09T12:00:00"/>
    <s v="Pessoa Jurídica"/>
    <s v="Douglas"/>
    <n v="2"/>
    <n v="9"/>
    <n v="32"/>
    <n v="288"/>
  </r>
  <r>
    <n v="4800"/>
    <x v="0"/>
    <x v="21"/>
    <x v="311"/>
    <d v="2017-02-02T18:00:00"/>
    <s v="Pessoa Física"/>
    <s v="Rosana"/>
    <n v="3"/>
    <n v="9"/>
    <n v="52"/>
    <n v="468"/>
  </r>
  <r>
    <n v="4801"/>
    <x v="6"/>
    <x v="24"/>
    <x v="312"/>
    <d v="2017-02-10T23:00:00"/>
    <s v="Pessoa Física"/>
    <s v="Rosana"/>
    <n v="5"/>
    <n v="8"/>
    <n v="42"/>
    <n v="336"/>
  </r>
  <r>
    <n v="4802"/>
    <x v="4"/>
    <x v="18"/>
    <x v="312"/>
    <d v="2017-02-10T23:00:00"/>
    <s v="Pessoa Física"/>
    <s v="Joaquim"/>
    <n v="3"/>
    <n v="8"/>
    <n v="43"/>
    <n v="344"/>
  </r>
  <r>
    <n v="4803"/>
    <x v="7"/>
    <x v="17"/>
    <x v="313"/>
    <d v="2017-02-13T23:00:00"/>
    <s v="Pessoa Física"/>
    <s v="Jane"/>
    <n v="2"/>
    <n v="12"/>
    <n v="32"/>
    <n v="384"/>
  </r>
  <r>
    <n v="4804"/>
    <x v="8"/>
    <x v="23"/>
    <x v="314"/>
    <d v="2017-02-14T18:00:00"/>
    <s v="Pessoa Física"/>
    <s v="Sandra"/>
    <n v="5"/>
    <n v="9"/>
    <n v="48"/>
    <n v="432"/>
  </r>
  <r>
    <n v="4805"/>
    <x v="6"/>
    <x v="24"/>
    <x v="315"/>
    <d v="2017-02-08T18:00:00"/>
    <s v="Pessoa Jurídica"/>
    <s v="Manuel"/>
    <n v="2"/>
    <n v="10"/>
    <n v="42"/>
    <n v="420"/>
  </r>
  <r>
    <n v="4806"/>
    <x v="2"/>
    <x v="19"/>
    <x v="316"/>
    <d v="2017-02-16T12:00:00"/>
    <s v="Pessoa Jurídica"/>
    <s v="Caio"/>
    <n v="5"/>
    <n v="11"/>
    <n v="75"/>
    <n v="825"/>
  </r>
  <r>
    <n v="4807"/>
    <x v="3"/>
    <x v="24"/>
    <x v="317"/>
    <d v="2017-02-09T18:00:00"/>
    <s v="Pessoa Física"/>
    <s v="Rosana"/>
    <n v="3"/>
    <n v="8"/>
    <n v="42"/>
    <n v="336"/>
  </r>
  <r>
    <n v="4808"/>
    <x v="6"/>
    <x v="17"/>
    <x v="318"/>
    <d v="2017-02-17T23:00:00"/>
    <s v="Pessoa Jurídica"/>
    <s v="Sérgio"/>
    <n v="5"/>
    <n v="10"/>
    <n v="32"/>
    <n v="320"/>
  </r>
  <r>
    <n v="4809"/>
    <x v="0"/>
    <x v="20"/>
    <x v="318"/>
    <d v="2017-02-17T23:00:00"/>
    <s v="Pessoa Física"/>
    <s v="Jane"/>
    <n v="5"/>
    <n v="11"/>
    <n v="63"/>
    <n v="693"/>
  </r>
  <r>
    <n v="4810"/>
    <x v="7"/>
    <x v="17"/>
    <x v="319"/>
    <d v="2017-02-20T23:00:00"/>
    <s v="Pessoa Jurídica"/>
    <s v="Caio"/>
    <n v="2"/>
    <n v="10"/>
    <n v="32"/>
    <n v="320"/>
  </r>
  <r>
    <n v="4811"/>
    <x v="7"/>
    <x v="25"/>
    <x v="320"/>
    <d v="2017-02-21T18:00:00"/>
    <s v="Pessoa Jurídica"/>
    <s v="Caio"/>
    <n v="4"/>
    <n v="11"/>
    <n v="62"/>
    <n v="682"/>
  </r>
  <r>
    <n v="4812"/>
    <x v="5"/>
    <x v="19"/>
    <x v="321"/>
    <d v="2017-02-15T18:00:00"/>
    <s v="Pessoa Física"/>
    <s v="Fernando"/>
    <n v="3"/>
    <n v="10"/>
    <n v="75"/>
    <n v="750"/>
  </r>
  <r>
    <n v="4813"/>
    <x v="8"/>
    <x v="15"/>
    <x v="322"/>
    <d v="2017-02-23T12:00:00"/>
    <s v="Pessoa Jurídica"/>
    <s v="Manuel"/>
    <n v="5"/>
    <n v="9"/>
    <n v="62"/>
    <n v="558"/>
  </r>
  <r>
    <n v="4814"/>
    <x v="1"/>
    <x v="17"/>
    <x v="323"/>
    <d v="2017-02-16T18:00:00"/>
    <s v="Pessoa Jurídica"/>
    <s v="José"/>
    <n v="2"/>
    <n v="10"/>
    <n v="32"/>
    <n v="320"/>
  </r>
  <r>
    <n v="4815"/>
    <x v="7"/>
    <x v="19"/>
    <x v="324"/>
    <d v="2017-02-24T23:00:00"/>
    <s v="Pessoa Jurídica"/>
    <s v="Fernando"/>
    <n v="5"/>
    <n v="9"/>
    <n v="75"/>
    <n v="675"/>
  </r>
  <r>
    <n v="4816"/>
    <x v="8"/>
    <x v="13"/>
    <x v="324"/>
    <d v="2017-02-24T23:00:00"/>
    <s v="Pessoa Física"/>
    <s v="Sérgio"/>
    <n v="4"/>
    <n v="9"/>
    <n v="53"/>
    <n v="477"/>
  </r>
  <r>
    <n v="4817"/>
    <x v="4"/>
    <x v="25"/>
    <x v="325"/>
    <d v="2017-03-01T23:00:00"/>
    <s v="Pessoa Jurídica"/>
    <s v="Sérgio"/>
    <n v="3"/>
    <n v="8"/>
    <n v="62"/>
    <n v="496"/>
  </r>
  <r>
    <n v="4818"/>
    <x v="3"/>
    <x v="13"/>
    <x v="326"/>
    <d v="2017-03-02T18:00:00"/>
    <s v="Pessoa Física"/>
    <s v="José"/>
    <n v="3"/>
    <n v="9"/>
    <n v="53"/>
    <n v="477"/>
  </r>
  <r>
    <n v="4819"/>
    <x v="7"/>
    <x v="21"/>
    <x v="327"/>
    <d v="2017-02-22T18:00:00"/>
    <s v="Pessoa Física"/>
    <s v="Sandra"/>
    <n v="3"/>
    <n v="10"/>
    <n v="52"/>
    <n v="520"/>
  </r>
  <r>
    <n v="4820"/>
    <x v="8"/>
    <x v="17"/>
    <x v="328"/>
    <d v="2017-03-06T12:00:00"/>
    <s v="Pessoa Física"/>
    <s v="Paulo"/>
    <n v="3"/>
    <n v="10"/>
    <n v="32"/>
    <n v="320"/>
  </r>
  <r>
    <n v="4821"/>
    <x v="1"/>
    <x v="24"/>
    <x v="329"/>
    <d v="2017-02-23T18:00:00"/>
    <s v="Pessoa Física"/>
    <s v="Sandra"/>
    <n v="5"/>
    <n v="10"/>
    <n v="42"/>
    <n v="420"/>
  </r>
  <r>
    <n v="4822"/>
    <x v="7"/>
    <x v="25"/>
    <x v="330"/>
    <d v="2017-03-07T23:00:00"/>
    <s v="Pessoa Jurídica"/>
    <s v="Fernando"/>
    <n v="2"/>
    <n v="10"/>
    <n v="62"/>
    <n v="620"/>
  </r>
  <r>
    <n v="4823"/>
    <x v="7"/>
    <x v="22"/>
    <x v="330"/>
    <d v="2017-03-07T23:00:00"/>
    <s v="Pessoa Física"/>
    <s v="Paulo"/>
    <n v="3"/>
    <n v="8"/>
    <n v="48"/>
    <n v="384"/>
  </r>
  <r>
    <n v="4824"/>
    <x v="8"/>
    <x v="15"/>
    <x v="331"/>
    <d v="2017-03-08T23:00:00"/>
    <s v="Pessoa Jurídica"/>
    <s v="José"/>
    <n v="5"/>
    <n v="8"/>
    <n v="62"/>
    <n v="496"/>
  </r>
  <r>
    <n v="4825"/>
    <x v="5"/>
    <x v="20"/>
    <x v="332"/>
    <d v="2017-03-09T18:00:00"/>
    <s v="Pessoa Física"/>
    <s v="Leandro"/>
    <n v="5"/>
    <n v="11"/>
    <n v="63"/>
    <n v="693"/>
  </r>
  <r>
    <n v="4826"/>
    <x v="2"/>
    <x v="14"/>
    <x v="333"/>
    <d v="2017-03-03T18:00:00"/>
    <s v="Pessoa Física"/>
    <s v="Henrique"/>
    <n v="5"/>
    <n v="11"/>
    <n v="35"/>
    <n v="385"/>
  </r>
  <r>
    <n v="4827"/>
    <x v="4"/>
    <x v="19"/>
    <x v="334"/>
    <d v="2017-03-13T12:00:00"/>
    <s v="Pessoa Jurídica"/>
    <s v="Manuel"/>
    <n v="4"/>
    <n v="8"/>
    <n v="75"/>
    <n v="600"/>
  </r>
  <r>
    <n v="4828"/>
    <x v="7"/>
    <x v="16"/>
    <x v="335"/>
    <d v="2017-03-06T18:00:00"/>
    <s v="Pessoa Física"/>
    <s v="Joaquim"/>
    <n v="3"/>
    <n v="10"/>
    <n v="48"/>
    <n v="480"/>
  </r>
  <r>
    <n v="4829"/>
    <x v="5"/>
    <x v="20"/>
    <x v="336"/>
    <d v="2017-03-13T23:00:00"/>
    <s v="Pessoa Física"/>
    <s v="Rosana"/>
    <n v="5"/>
    <n v="11"/>
    <n v="63"/>
    <n v="693"/>
  </r>
  <r>
    <n v="4830"/>
    <x v="5"/>
    <x v="15"/>
    <x v="336"/>
    <d v="2017-03-13T23:00:00"/>
    <s v="Pessoa Física"/>
    <s v="Roberto"/>
    <n v="2"/>
    <n v="10"/>
    <n v="62"/>
    <n v="620"/>
  </r>
  <r>
    <n v="4831"/>
    <x v="7"/>
    <x v="16"/>
    <x v="337"/>
    <d v="2017-03-13T23:00:00"/>
    <s v="Pessoa Jurídica"/>
    <s v="Sandra"/>
    <n v="2"/>
    <n v="11"/>
    <n v="48"/>
    <n v="528"/>
  </r>
  <r>
    <n v="4832"/>
    <x v="6"/>
    <x v="18"/>
    <x v="338"/>
    <d v="2017-03-14T18:00:00"/>
    <s v="Pessoa Física"/>
    <s v="Ana"/>
    <n v="4"/>
    <n v="8"/>
    <n v="43"/>
    <n v="344"/>
  </r>
  <r>
    <n v="4833"/>
    <x v="3"/>
    <x v="24"/>
    <x v="339"/>
    <d v="2017-03-08T18:00:00"/>
    <s v="Pessoa Física"/>
    <s v="Sandra"/>
    <n v="2"/>
    <n v="12"/>
    <n v="42"/>
    <n v="504"/>
  </r>
  <r>
    <n v="4834"/>
    <x v="3"/>
    <x v="15"/>
    <x v="340"/>
    <d v="2017-03-16T12:00:00"/>
    <s v="Pessoa Física"/>
    <s v="Sandra"/>
    <n v="2"/>
    <n v="12"/>
    <n v="62"/>
    <n v="744"/>
  </r>
  <r>
    <n v="4835"/>
    <x v="3"/>
    <x v="21"/>
    <x v="341"/>
    <d v="2017-03-09T18:00:00"/>
    <s v="Pessoa Jurídica"/>
    <s v="Manuel"/>
    <n v="5"/>
    <n v="9"/>
    <n v="52"/>
    <n v="468"/>
  </r>
  <r>
    <n v="4836"/>
    <x v="0"/>
    <x v="17"/>
    <x v="342"/>
    <d v="2017-03-17T23:00:00"/>
    <s v="Pessoa Jurídica"/>
    <s v="Rosana"/>
    <n v="5"/>
    <n v="9"/>
    <n v="32"/>
    <n v="288"/>
  </r>
  <r>
    <n v="4837"/>
    <x v="0"/>
    <x v="25"/>
    <x v="342"/>
    <d v="2017-03-17T23:00:00"/>
    <s v="Pessoa Jurídica"/>
    <s v="Leandro"/>
    <n v="5"/>
    <n v="12"/>
    <n v="62"/>
    <n v="744"/>
  </r>
  <r>
    <n v="4838"/>
    <x v="2"/>
    <x v="13"/>
    <x v="343"/>
    <d v="2017-03-20T23:00:00"/>
    <s v="Pessoa Jurídica"/>
    <s v="Roberto"/>
    <n v="2"/>
    <n v="11"/>
    <n v="53"/>
    <n v="583"/>
  </r>
  <r>
    <n v="4839"/>
    <x v="6"/>
    <x v="17"/>
    <x v="344"/>
    <d v="2017-03-21T18:00:00"/>
    <s v="Pessoa Jurídica"/>
    <s v="Jane"/>
    <n v="2"/>
    <n v="10"/>
    <n v="32"/>
    <n v="320"/>
  </r>
  <r>
    <n v="4840"/>
    <x v="4"/>
    <x v="25"/>
    <x v="345"/>
    <d v="2017-03-15T18:00:00"/>
    <s v="Pessoa Jurídica"/>
    <s v="Paulo"/>
    <n v="5"/>
    <n v="11"/>
    <n v="62"/>
    <n v="682"/>
  </r>
  <r>
    <n v="4841"/>
    <x v="6"/>
    <x v="17"/>
    <x v="346"/>
    <d v="2017-03-23T12:00:00"/>
    <s v="Pessoa Física"/>
    <s v="José"/>
    <n v="5"/>
    <n v="12"/>
    <n v="32"/>
    <n v="384"/>
  </r>
  <r>
    <n v="4842"/>
    <x v="3"/>
    <x v="21"/>
    <x v="347"/>
    <d v="2017-03-16T18:00:00"/>
    <s v="Pessoa Jurídica"/>
    <s v="Caio"/>
    <n v="3"/>
    <n v="10"/>
    <n v="52"/>
    <n v="520"/>
  </r>
  <r>
    <n v="4843"/>
    <x v="1"/>
    <x v="17"/>
    <x v="348"/>
    <d v="2017-03-24T23:00:00"/>
    <s v="Pessoa Física"/>
    <s v="Fernando"/>
    <n v="2"/>
    <n v="11"/>
    <n v="32"/>
    <n v="352"/>
  </r>
  <r>
    <n v="4844"/>
    <x v="7"/>
    <x v="24"/>
    <x v="348"/>
    <d v="2017-03-24T23:00:00"/>
    <s v="Pessoa Física"/>
    <s v="Ana"/>
    <n v="4"/>
    <n v="9"/>
    <n v="42"/>
    <n v="378"/>
  </r>
  <r>
    <n v="4845"/>
    <x v="4"/>
    <x v="23"/>
    <x v="349"/>
    <d v="2017-03-27T23:00:00"/>
    <s v="Pessoa Física"/>
    <s v="Leandro"/>
    <n v="5"/>
    <n v="9"/>
    <n v="48"/>
    <n v="432"/>
  </r>
  <r>
    <n v="4846"/>
    <x v="8"/>
    <x v="15"/>
    <x v="350"/>
    <d v="2017-03-28T18:00:00"/>
    <s v="Pessoa Física"/>
    <s v="Jane"/>
    <n v="3"/>
    <n v="8"/>
    <n v="62"/>
    <n v="496"/>
  </r>
  <r>
    <n v="4847"/>
    <x v="4"/>
    <x v="21"/>
    <x v="351"/>
    <d v="2017-03-22T18:00:00"/>
    <s v="Pessoa Jurídica"/>
    <s v="Sérgio"/>
    <n v="3"/>
    <n v="9"/>
    <n v="52"/>
    <n v="468"/>
  </r>
  <r>
    <n v="4848"/>
    <x v="4"/>
    <x v="14"/>
    <x v="352"/>
    <d v="2017-03-30T12:00:00"/>
    <s v="Pessoa Física"/>
    <s v="Henrique"/>
    <n v="2"/>
    <n v="8"/>
    <n v="35"/>
    <n v="280"/>
  </r>
  <r>
    <n v="4849"/>
    <x v="7"/>
    <x v="20"/>
    <x v="353"/>
    <d v="2017-03-23T18:00:00"/>
    <s v="Pessoa Jurídica"/>
    <s v="Rosana"/>
    <n v="3"/>
    <n v="8"/>
    <n v="63"/>
    <n v="504"/>
  </r>
  <r>
    <n v="4850"/>
    <x v="4"/>
    <x v="22"/>
    <x v="354"/>
    <d v="2017-03-31T23:00:00"/>
    <s v="Pessoa Física"/>
    <s v="Henrique"/>
    <n v="4"/>
    <n v="9"/>
    <n v="48"/>
    <n v="432"/>
  </r>
  <r>
    <n v="4851"/>
    <x v="6"/>
    <x v="13"/>
    <x v="354"/>
    <d v="2017-03-31T23:00:00"/>
    <s v="Pessoa Física"/>
    <s v="Sérgio"/>
    <n v="3"/>
    <n v="8"/>
    <n v="53"/>
    <n v="424"/>
  </r>
  <r>
    <n v="4854"/>
    <x v="5"/>
    <x v="17"/>
    <x v="355"/>
    <d v="2017-03-29T18:00:00"/>
    <s v="Pessoa Jurídica"/>
    <s v="Sandra"/>
    <n v="3"/>
    <n v="11"/>
    <n v="32"/>
    <n v="352"/>
  </r>
  <r>
    <n v="4856"/>
    <x v="4"/>
    <x v="13"/>
    <x v="356"/>
    <d v="2017-03-30T18:00:00"/>
    <s v="Pessoa Física"/>
    <s v="Paulo"/>
    <n v="5"/>
    <n v="8"/>
    <n v="53"/>
    <n v="424"/>
  </r>
  <r>
    <n v="4852"/>
    <x v="3"/>
    <x v="14"/>
    <x v="357"/>
    <d v="2017-04-03T23:00:00"/>
    <s v="Pessoa Física"/>
    <s v="José"/>
    <n v="4"/>
    <n v="9"/>
    <n v="35"/>
    <n v="315"/>
  </r>
  <r>
    <n v="4853"/>
    <x v="6"/>
    <x v="21"/>
    <x v="358"/>
    <d v="2017-04-04T18:00:00"/>
    <s v="Pessoa Jurídica"/>
    <s v="José"/>
    <n v="2"/>
    <n v="10"/>
    <n v="52"/>
    <n v="520"/>
  </r>
  <r>
    <n v="4855"/>
    <x v="4"/>
    <x v="25"/>
    <x v="359"/>
    <d v="2017-04-06T12:00:00"/>
    <s v="Pessoa Jurídica"/>
    <s v="Joaquim"/>
    <n v="4"/>
    <n v="12"/>
    <n v="62"/>
    <n v="744"/>
  </r>
  <r>
    <n v="4857"/>
    <x v="3"/>
    <x v="15"/>
    <x v="360"/>
    <d v="2017-04-07T23:00:00"/>
    <s v="Pessoa Física"/>
    <s v="Leandro"/>
    <n v="3"/>
    <n v="9"/>
    <n v="62"/>
    <n v="558"/>
  </r>
  <r>
    <n v="4858"/>
    <x v="3"/>
    <x v="16"/>
    <x v="360"/>
    <d v="2017-04-07T23:00:00"/>
    <s v="Pessoa Jurídica"/>
    <s v="Caio"/>
    <n v="4"/>
    <n v="12"/>
    <n v="48"/>
    <n v="576"/>
  </r>
  <r>
    <n v="4859"/>
    <x v="4"/>
    <x v="20"/>
    <x v="361"/>
    <d v="2017-04-10T23:00:00"/>
    <s v="Pessoa Física"/>
    <s v="Sandra"/>
    <n v="4"/>
    <n v="8"/>
    <n v="63"/>
    <n v="504"/>
  </r>
  <r>
    <n v="4860"/>
    <x v="8"/>
    <x v="21"/>
    <x v="362"/>
    <d v="2017-04-11T18:00:00"/>
    <s v="Pessoa Jurídica"/>
    <s v="Paulo"/>
    <n v="5"/>
    <n v="11"/>
    <n v="52"/>
    <n v="572"/>
  </r>
  <r>
    <n v="4861"/>
    <x v="1"/>
    <x v="25"/>
    <x v="363"/>
    <d v="2017-04-05T18:00:00"/>
    <s v="Pessoa Jurídica"/>
    <s v="Fernando"/>
    <n v="4"/>
    <n v="9"/>
    <n v="62"/>
    <n v="558"/>
  </r>
  <r>
    <n v="4862"/>
    <x v="6"/>
    <x v="19"/>
    <x v="364"/>
    <d v="2017-04-13T12:00:00"/>
    <s v="Pessoa Física"/>
    <s v="Sandra"/>
    <n v="3"/>
    <n v="12"/>
    <n v="75"/>
    <n v="900"/>
  </r>
  <r>
    <n v="4863"/>
    <x v="0"/>
    <x v="17"/>
    <x v="365"/>
    <d v="2017-04-06T18:00:00"/>
    <s v="Pessoa Jurídica"/>
    <s v="Sandra"/>
    <n v="5"/>
    <n v="11"/>
    <n v="32"/>
    <n v="352"/>
  </r>
  <r>
    <n v="4864"/>
    <x v="1"/>
    <x v="23"/>
    <x v="366"/>
    <d v="2017-04-17T23:00:00"/>
    <s v="Pessoa Física"/>
    <s v="Henrique"/>
    <n v="4"/>
    <n v="9"/>
    <n v="48"/>
    <n v="432"/>
  </r>
  <r>
    <n v="4865"/>
    <x v="8"/>
    <x v="25"/>
    <x v="366"/>
    <d v="2017-04-17T23:00:00"/>
    <s v="Pessoa Jurídica"/>
    <s v="Manuel"/>
    <n v="3"/>
    <n v="12"/>
    <n v="62"/>
    <n v="744"/>
  </r>
  <r>
    <n v="4866"/>
    <x v="8"/>
    <x v="21"/>
    <x v="367"/>
    <d v="2017-04-18T23:00:00"/>
    <s v="Pessoa Física"/>
    <s v="Roberto"/>
    <n v="2"/>
    <n v="10"/>
    <n v="52"/>
    <n v="520"/>
  </r>
  <r>
    <n v="4867"/>
    <x v="6"/>
    <x v="22"/>
    <x v="368"/>
    <d v="2017-04-19T18:00:00"/>
    <s v="Pessoa Jurídica"/>
    <s v="Fernando"/>
    <n v="2"/>
    <n v="10"/>
    <n v="48"/>
    <n v="480"/>
  </r>
  <r>
    <n v="4868"/>
    <x v="8"/>
    <x v="18"/>
    <x v="369"/>
    <d v="2017-04-12T18:00:00"/>
    <s v="Pessoa Física"/>
    <s v="Caio"/>
    <n v="5"/>
    <n v="9"/>
    <n v="43"/>
    <n v="387"/>
  </r>
  <r>
    <n v="4869"/>
    <x v="4"/>
    <x v="14"/>
    <x v="370"/>
    <d v="2017-04-24T12:00:00"/>
    <s v="Pessoa Física"/>
    <s v="Sérgio"/>
    <n v="3"/>
    <n v="12"/>
    <n v="35"/>
    <n v="420"/>
  </r>
  <r>
    <n v="4870"/>
    <x v="2"/>
    <x v="13"/>
    <x v="371"/>
    <d v="2017-04-13T18:00:00"/>
    <s v="Pessoa Jurídica"/>
    <s v="Paulo"/>
    <n v="4"/>
    <n v="9"/>
    <n v="53"/>
    <n v="477"/>
  </r>
  <r>
    <n v="4871"/>
    <x v="2"/>
    <x v="16"/>
    <x v="372"/>
    <d v="2017-04-25T23:00:00"/>
    <s v="Pessoa Jurídica"/>
    <s v="Leandro"/>
    <n v="5"/>
    <n v="8"/>
    <n v="48"/>
    <n v="384"/>
  </r>
  <r>
    <n v="4872"/>
    <x v="8"/>
    <x v="15"/>
    <x v="372"/>
    <d v="2017-04-25T23:00:00"/>
    <s v="Pessoa Física"/>
    <s v="Fernando"/>
    <n v="4"/>
    <n v="8"/>
    <n v="62"/>
    <n v="496"/>
  </r>
  <r>
    <n v="4873"/>
    <x v="8"/>
    <x v="21"/>
    <x v="373"/>
    <d v="2017-04-26T23:00:00"/>
    <s v="Pessoa Jurídica"/>
    <s v="Caio"/>
    <n v="4"/>
    <n v="8"/>
    <n v="52"/>
    <n v="416"/>
  </r>
  <r>
    <n v="4874"/>
    <x v="7"/>
    <x v="17"/>
    <x v="374"/>
    <d v="2017-04-27T18:00:00"/>
    <s v="Pessoa Jurídica"/>
    <s v="Ana"/>
    <n v="5"/>
    <n v="12"/>
    <n v="32"/>
    <n v="384"/>
  </r>
  <r>
    <n v="4875"/>
    <x v="2"/>
    <x v="15"/>
    <x v="375"/>
    <d v="2017-04-20T18:00:00"/>
    <s v="Pessoa Jurídica"/>
    <s v="Douglas"/>
    <n v="2"/>
    <n v="8"/>
    <n v="62"/>
    <n v="496"/>
  </r>
  <r>
    <n v="4876"/>
    <x v="6"/>
    <x v="14"/>
    <x v="376"/>
    <d v="2017-04-28T12:00:00"/>
    <s v="Pessoa Física"/>
    <s v="Roberto"/>
    <n v="4"/>
    <n v="11"/>
    <n v="35"/>
    <n v="385"/>
  </r>
  <r>
    <n v="4877"/>
    <x v="0"/>
    <x v="15"/>
    <x v="377"/>
    <d v="2017-04-20T18:00:00"/>
    <s v="Pessoa Física"/>
    <s v="Manuel"/>
    <n v="5"/>
    <n v="12"/>
    <n v="62"/>
    <n v="744"/>
  </r>
  <r>
    <n v="4878"/>
    <x v="2"/>
    <x v="24"/>
    <x v="378"/>
    <d v="2017-05-02T23:00:00"/>
    <s v="Pessoa Jurídica"/>
    <s v="Sandra"/>
    <n v="3"/>
    <n v="11"/>
    <n v="42"/>
    <n v="462"/>
  </r>
  <r>
    <n v="4879"/>
    <x v="4"/>
    <x v="17"/>
    <x v="378"/>
    <d v="2017-05-02T23:00:00"/>
    <s v="Pessoa Jurídica"/>
    <s v="Caio"/>
    <n v="5"/>
    <n v="12"/>
    <n v="32"/>
    <n v="384"/>
  </r>
  <r>
    <n v="4880"/>
    <x v="2"/>
    <x v="21"/>
    <x v="379"/>
    <d v="2017-05-03T23:00:00"/>
    <s v="Pessoa Jurídica"/>
    <s v="Ana"/>
    <n v="3"/>
    <n v="12"/>
    <n v="52"/>
    <n v="624"/>
  </r>
  <r>
    <n v="4881"/>
    <x v="8"/>
    <x v="19"/>
    <x v="380"/>
    <d v="2017-05-04T18:00:00"/>
    <s v="Pessoa Jurídica"/>
    <s v="Caio"/>
    <n v="3"/>
    <n v="11"/>
    <n v="75"/>
    <n v="825"/>
  </r>
  <r>
    <n v="4882"/>
    <x v="4"/>
    <x v="21"/>
    <x v="381"/>
    <d v="2017-04-27T18:00:00"/>
    <s v="Pessoa Física"/>
    <s v="Caio"/>
    <n v="2"/>
    <n v="11"/>
    <n v="52"/>
    <n v="572"/>
  </r>
  <r>
    <n v="4883"/>
    <x v="2"/>
    <x v="24"/>
    <x v="382"/>
    <d v="2017-05-05T12:00:00"/>
    <s v="Pessoa Jurídica"/>
    <s v="Sandra"/>
    <n v="3"/>
    <n v="11"/>
    <n v="42"/>
    <n v="462"/>
  </r>
  <r>
    <n v="4884"/>
    <x v="6"/>
    <x v="13"/>
    <x v="383"/>
    <d v="2017-04-27T18:00:00"/>
    <s v="Pessoa Física"/>
    <s v="Paulo"/>
    <n v="4"/>
    <n v="12"/>
    <n v="53"/>
    <n v="636"/>
  </r>
  <r>
    <n v="4885"/>
    <x v="8"/>
    <x v="17"/>
    <x v="384"/>
    <d v="2017-05-08T23:00:00"/>
    <s v="Pessoa Jurídica"/>
    <s v="Sandra"/>
    <n v="5"/>
    <n v="12"/>
    <n v="32"/>
    <n v="384"/>
  </r>
  <r>
    <n v="4886"/>
    <x v="8"/>
    <x v="24"/>
    <x v="384"/>
    <d v="2017-05-08T23:00:00"/>
    <s v="Pessoa Física"/>
    <s v="Caio"/>
    <n v="4"/>
    <n v="8"/>
    <n v="42"/>
    <n v="336"/>
  </r>
  <r>
    <n v="4887"/>
    <x v="1"/>
    <x v="19"/>
    <x v="385"/>
    <d v="2017-05-09T23:00:00"/>
    <s v="Pessoa Jurídica"/>
    <s v="Ana"/>
    <n v="3"/>
    <n v="11"/>
    <n v="75"/>
    <n v="825"/>
  </r>
  <r>
    <n v="4888"/>
    <x v="6"/>
    <x v="17"/>
    <x v="386"/>
    <d v="2017-05-10T18:00:00"/>
    <s v="Pessoa Jurídica"/>
    <s v="Ana"/>
    <n v="5"/>
    <n v="9"/>
    <n v="32"/>
    <n v="288"/>
  </r>
  <r>
    <n v="4889"/>
    <x v="0"/>
    <x v="14"/>
    <x v="387"/>
    <d v="2017-05-04T18:00:00"/>
    <s v="Pessoa Física"/>
    <s v="José"/>
    <n v="2"/>
    <n v="8"/>
    <n v="35"/>
    <n v="280"/>
  </r>
  <r>
    <n v="4890"/>
    <x v="6"/>
    <x v="23"/>
    <x v="388"/>
    <d v="2017-05-12T12:00:00"/>
    <s v="Pessoa Física"/>
    <s v="Douglas"/>
    <n v="2"/>
    <n v="8"/>
    <n v="48"/>
    <n v="384"/>
  </r>
  <r>
    <n v="4891"/>
    <x v="5"/>
    <x v="19"/>
    <x v="389"/>
    <d v="2017-05-05T18:00:00"/>
    <s v="Pessoa Jurídica"/>
    <s v="Fernando"/>
    <n v="2"/>
    <n v="11"/>
    <n v="75"/>
    <n v="825"/>
  </r>
  <r>
    <n v="4892"/>
    <x v="2"/>
    <x v="24"/>
    <x v="390"/>
    <d v="2017-05-12T23:00:00"/>
    <s v="Pessoa Física"/>
    <s v="Paulo"/>
    <n v="5"/>
    <n v="12"/>
    <n v="42"/>
    <n v="504"/>
  </r>
  <r>
    <n v="4893"/>
    <x v="4"/>
    <x v="19"/>
    <x v="390"/>
    <d v="2017-05-12T23:00:00"/>
    <s v="Pessoa Jurídica"/>
    <s v="Sandra"/>
    <n v="4"/>
    <n v="12"/>
    <n v="75"/>
    <n v="900"/>
  </r>
  <r>
    <n v="4894"/>
    <x v="3"/>
    <x v="25"/>
    <x v="391"/>
    <d v="2017-05-15T23:00:00"/>
    <s v="Pessoa Jurídica"/>
    <s v="Paulo"/>
    <n v="3"/>
    <n v="12"/>
    <n v="62"/>
    <n v="744"/>
  </r>
  <r>
    <n v="4895"/>
    <x v="6"/>
    <x v="15"/>
    <x v="392"/>
    <d v="2017-05-16T18:00:00"/>
    <s v="Pessoa Física"/>
    <s v="Fernando"/>
    <n v="2"/>
    <n v="11"/>
    <n v="62"/>
    <n v="682"/>
  </r>
  <r>
    <n v="4896"/>
    <x v="5"/>
    <x v="17"/>
    <x v="393"/>
    <d v="2017-05-10T18:00:00"/>
    <s v="Pessoa Jurídica"/>
    <s v="Paulo"/>
    <n v="3"/>
    <n v="12"/>
    <n v="32"/>
    <n v="384"/>
  </r>
  <r>
    <n v="4897"/>
    <x v="1"/>
    <x v="15"/>
    <x v="394"/>
    <d v="2017-05-18T12:00:00"/>
    <s v="Pessoa Física"/>
    <s v="Douglas"/>
    <n v="2"/>
    <n v="8"/>
    <n v="62"/>
    <n v="496"/>
  </r>
  <r>
    <n v="4898"/>
    <x v="5"/>
    <x v="14"/>
    <x v="395"/>
    <d v="2017-05-11T18:00:00"/>
    <s v="Pessoa Física"/>
    <s v="Joaquim"/>
    <n v="4"/>
    <n v="12"/>
    <n v="35"/>
    <n v="420"/>
  </r>
  <r>
    <n v="4899"/>
    <x v="2"/>
    <x v="22"/>
    <x v="396"/>
    <d v="2017-05-19T23:00:00"/>
    <s v="Pessoa Física"/>
    <s v="Caio"/>
    <n v="3"/>
    <n v="11"/>
    <n v="48"/>
    <n v="528"/>
  </r>
  <r>
    <n v="4900"/>
    <x v="7"/>
    <x v="20"/>
    <x v="396"/>
    <d v="2017-05-19T23:00:00"/>
    <s v="Pessoa Física"/>
    <s v="Sandra"/>
    <n v="2"/>
    <n v="8"/>
    <n v="63"/>
    <n v="504"/>
  </r>
  <r>
    <n v="4901"/>
    <x v="7"/>
    <x v="21"/>
    <x v="397"/>
    <d v="2017-05-22T23:00:00"/>
    <s v="Pessoa Física"/>
    <s v="Fernando"/>
    <n v="2"/>
    <n v="11"/>
    <n v="52"/>
    <n v="572"/>
  </r>
  <r>
    <n v="4902"/>
    <x v="3"/>
    <x v="17"/>
    <x v="398"/>
    <d v="2017-05-23T18:00:00"/>
    <s v="Pessoa Física"/>
    <s v="Joaquim"/>
    <n v="4"/>
    <n v="9"/>
    <n v="32"/>
    <n v="288"/>
  </r>
  <r>
    <n v="4903"/>
    <x v="5"/>
    <x v="17"/>
    <x v="399"/>
    <d v="2017-05-17T18:00:00"/>
    <s v="Pessoa Jurídica"/>
    <s v="Sérgio"/>
    <n v="3"/>
    <n v="9"/>
    <n v="32"/>
    <n v="288"/>
  </r>
  <r>
    <n v="4904"/>
    <x v="0"/>
    <x v="19"/>
    <x v="400"/>
    <d v="2017-05-25T12:00:00"/>
    <s v="Pessoa Física"/>
    <s v="Rosana"/>
    <n v="5"/>
    <n v="8"/>
    <n v="75"/>
    <n v="600"/>
  </r>
  <r>
    <n v="4905"/>
    <x v="1"/>
    <x v="21"/>
    <x v="401"/>
    <d v="2017-05-18T18:00:00"/>
    <s v="Pessoa Jurídica"/>
    <s v="Fernando"/>
    <n v="2"/>
    <n v="10"/>
    <n v="52"/>
    <n v="520"/>
  </r>
  <r>
    <n v="4906"/>
    <x v="4"/>
    <x v="21"/>
    <x v="402"/>
    <d v="2017-05-26T23:00:00"/>
    <s v="Pessoa Jurídica"/>
    <s v="Caio"/>
    <n v="5"/>
    <n v="11"/>
    <n v="52"/>
    <n v="572"/>
  </r>
  <r>
    <n v="4907"/>
    <x v="6"/>
    <x v="17"/>
    <x v="402"/>
    <d v="2017-05-26T23:00:00"/>
    <s v="Pessoa Jurídica"/>
    <s v="Humberto"/>
    <n v="5"/>
    <n v="8"/>
    <n v="32"/>
    <n v="256"/>
  </r>
  <r>
    <n v="4908"/>
    <x v="3"/>
    <x v="14"/>
    <x v="403"/>
    <d v="2017-05-29T23:00:00"/>
    <s v="Pessoa Física"/>
    <s v="Humberto"/>
    <n v="4"/>
    <n v="12"/>
    <n v="35"/>
    <n v="420"/>
  </r>
  <r>
    <n v="4909"/>
    <x v="0"/>
    <x v="18"/>
    <x v="404"/>
    <d v="2017-05-30T18:00:00"/>
    <s v="Pessoa Jurídica"/>
    <s v="Roberto"/>
    <n v="4"/>
    <n v="10"/>
    <n v="43"/>
    <n v="430"/>
  </r>
  <r>
    <n v="4910"/>
    <x v="7"/>
    <x v="15"/>
    <x v="405"/>
    <d v="2017-05-24T18:00:00"/>
    <s v="Pessoa Física"/>
    <s v="Paulo"/>
    <n v="5"/>
    <n v="10"/>
    <n v="62"/>
    <n v="620"/>
  </r>
  <r>
    <n v="4911"/>
    <x v="8"/>
    <x v="15"/>
    <x v="406"/>
    <d v="2017-06-01T12:00:00"/>
    <s v="Pessoa Jurídica"/>
    <s v="Paulo"/>
    <n v="2"/>
    <n v="10"/>
    <n v="62"/>
    <n v="620"/>
  </r>
  <r>
    <n v="4912"/>
    <x v="4"/>
    <x v="15"/>
    <x v="407"/>
    <d v="2017-05-25T18:00:00"/>
    <s v="Pessoa Física"/>
    <s v="Fernando"/>
    <n v="3"/>
    <n v="11"/>
    <n v="62"/>
    <n v="682"/>
  </r>
  <r>
    <n v="4913"/>
    <x v="4"/>
    <x v="20"/>
    <x v="408"/>
    <d v="2017-06-02T23:00:00"/>
    <s v="Pessoa Jurídica"/>
    <s v="Sandra"/>
    <n v="5"/>
    <n v="10"/>
    <n v="63"/>
    <n v="630"/>
  </r>
  <r>
    <n v="4914"/>
    <x v="3"/>
    <x v="14"/>
    <x v="408"/>
    <d v="2017-06-02T23:00:00"/>
    <s v="Pessoa Física"/>
    <s v="Caio"/>
    <n v="5"/>
    <n v="9"/>
    <n v="35"/>
    <n v="315"/>
  </r>
  <r>
    <n v="4915"/>
    <x v="2"/>
    <x v="17"/>
    <x v="409"/>
    <d v="2017-06-05T23:00:00"/>
    <s v="Pessoa Jurídica"/>
    <s v="Joaquim"/>
    <n v="3"/>
    <n v="9"/>
    <n v="32"/>
    <n v="288"/>
  </r>
  <r>
    <n v="4916"/>
    <x v="1"/>
    <x v="15"/>
    <x v="410"/>
    <d v="2017-06-06T18:00:00"/>
    <s v="Pessoa Física"/>
    <s v="Jane"/>
    <n v="3"/>
    <n v="9"/>
    <n v="62"/>
    <n v="558"/>
  </r>
  <r>
    <n v="4917"/>
    <x v="6"/>
    <x v="19"/>
    <x v="411"/>
    <d v="2017-05-31T18:00:00"/>
    <s v="Pessoa Jurídica"/>
    <s v="Joaquim"/>
    <n v="5"/>
    <n v="10"/>
    <n v="75"/>
    <n v="750"/>
  </r>
  <r>
    <n v="4918"/>
    <x v="3"/>
    <x v="25"/>
    <x v="412"/>
    <d v="2017-06-08T12:00:00"/>
    <s v="Pessoa Física"/>
    <s v="Humberto"/>
    <n v="4"/>
    <n v="11"/>
    <n v="62"/>
    <n v="682"/>
  </r>
  <r>
    <n v="4919"/>
    <x v="4"/>
    <x v="17"/>
    <x v="413"/>
    <d v="2017-06-01T18:00:00"/>
    <s v="Pessoa Jurídica"/>
    <s v="José"/>
    <n v="4"/>
    <n v="12"/>
    <n v="32"/>
    <n v="384"/>
  </r>
  <r>
    <n v="4920"/>
    <x v="7"/>
    <x v="15"/>
    <x v="414"/>
    <d v="2017-06-09T23:00:00"/>
    <s v="Pessoa Jurídica"/>
    <s v="Sandra"/>
    <n v="2"/>
    <n v="9"/>
    <n v="62"/>
    <n v="558"/>
  </r>
  <r>
    <n v="4921"/>
    <x v="3"/>
    <x v="22"/>
    <x v="414"/>
    <d v="2017-06-09T23:00:00"/>
    <s v="Pessoa Jurídica"/>
    <s v="Humberto"/>
    <n v="3"/>
    <n v="10"/>
    <n v="48"/>
    <n v="480"/>
  </r>
  <r>
    <n v="4922"/>
    <x v="3"/>
    <x v="21"/>
    <x v="415"/>
    <d v="2017-06-12T23:00:00"/>
    <s v="Pessoa Jurídica"/>
    <s v="Fernando"/>
    <n v="3"/>
    <n v="11"/>
    <n v="52"/>
    <n v="572"/>
  </r>
  <r>
    <n v="4923"/>
    <x v="3"/>
    <x v="23"/>
    <x v="416"/>
    <d v="2017-06-13T18:00:00"/>
    <s v="Pessoa Física"/>
    <s v="Sandra"/>
    <n v="4"/>
    <n v="12"/>
    <n v="48"/>
    <n v="576"/>
  </r>
  <r>
    <n v="4924"/>
    <x v="5"/>
    <x v="13"/>
    <x v="417"/>
    <d v="2017-06-07T18:00:00"/>
    <s v="Pessoa Física"/>
    <s v="Sérgio"/>
    <n v="4"/>
    <n v="12"/>
    <n v="53"/>
    <n v="636"/>
  </r>
  <r>
    <n v="4925"/>
    <x v="0"/>
    <x v="13"/>
    <x v="418"/>
    <d v="2017-06-16T12:00:00"/>
    <s v="Pessoa Jurídica"/>
    <s v="Caio"/>
    <n v="5"/>
    <n v="9"/>
    <n v="53"/>
    <n v="477"/>
  </r>
  <r>
    <n v="4926"/>
    <x v="7"/>
    <x v="20"/>
    <x v="419"/>
    <d v="2017-06-08T18:00:00"/>
    <s v="Pessoa Física"/>
    <s v="Jane"/>
    <n v="2"/>
    <n v="9"/>
    <n v="63"/>
    <n v="567"/>
  </r>
  <r>
    <n v="4927"/>
    <x v="6"/>
    <x v="23"/>
    <x v="420"/>
    <d v="2017-06-19T23:00:00"/>
    <s v="Pessoa Física"/>
    <s v="Sandra"/>
    <n v="3"/>
    <n v="10"/>
    <n v="48"/>
    <n v="480"/>
  </r>
  <r>
    <n v="4928"/>
    <x v="5"/>
    <x v="19"/>
    <x v="420"/>
    <d v="2017-06-19T23:00:00"/>
    <s v="Pessoa Jurídica"/>
    <s v="Caio"/>
    <n v="5"/>
    <n v="11"/>
    <n v="75"/>
    <n v="825"/>
  </r>
  <r>
    <n v="4929"/>
    <x v="1"/>
    <x v="23"/>
    <x v="421"/>
    <d v="2017-06-20T23:00:00"/>
    <s v="Pessoa Física"/>
    <s v="Humberto"/>
    <n v="5"/>
    <n v="9"/>
    <n v="48"/>
    <n v="432"/>
  </r>
  <r>
    <n v="4930"/>
    <x v="6"/>
    <x v="23"/>
    <x v="422"/>
    <d v="2017-06-21T18:00:00"/>
    <s v="Pessoa Jurídica"/>
    <s v="Rosana"/>
    <n v="4"/>
    <n v="10"/>
    <n v="48"/>
    <n v="480"/>
  </r>
  <r>
    <n v="4931"/>
    <x v="4"/>
    <x v="18"/>
    <x v="423"/>
    <d v="2017-06-14T18:00:00"/>
    <s v="Pessoa Física"/>
    <s v="Douglas"/>
    <n v="4"/>
    <n v="12"/>
    <n v="43"/>
    <n v="516"/>
  </r>
  <r>
    <n v="4932"/>
    <x v="4"/>
    <x v="23"/>
    <x v="424"/>
    <d v="2017-06-23T12:00:00"/>
    <s v="Pessoa Jurídica"/>
    <s v="Roberto"/>
    <n v="5"/>
    <n v="11"/>
    <n v="48"/>
    <n v="528"/>
  </r>
  <r>
    <n v="4933"/>
    <x v="0"/>
    <x v="19"/>
    <x v="425"/>
    <d v="2017-06-16T18:00:00"/>
    <s v="Pessoa Física"/>
    <s v="Fernando"/>
    <n v="5"/>
    <n v="10"/>
    <n v="75"/>
    <n v="750"/>
  </r>
  <r>
    <n v="4934"/>
    <x v="7"/>
    <x v="19"/>
    <x v="426"/>
    <d v="2017-06-26T23:00:00"/>
    <s v="Pessoa Jurídica"/>
    <s v="Sandra"/>
    <n v="3"/>
    <n v="12"/>
    <n v="75"/>
    <n v="900"/>
  </r>
  <r>
    <n v="4935"/>
    <x v="8"/>
    <x v="13"/>
    <x v="426"/>
    <d v="2017-06-26T23:00:00"/>
    <s v="Pessoa Física"/>
    <s v="Roberto"/>
    <n v="4"/>
    <n v="8"/>
    <n v="53"/>
    <n v="424"/>
  </r>
  <r>
    <n v="4936"/>
    <x v="0"/>
    <x v="16"/>
    <x v="427"/>
    <d v="2017-06-27T23:00:00"/>
    <s v="Pessoa Jurídica"/>
    <s v="Fernando"/>
    <n v="4"/>
    <n v="9"/>
    <n v="48"/>
    <n v="432"/>
  </r>
  <r>
    <n v="4937"/>
    <x v="6"/>
    <x v="25"/>
    <x v="428"/>
    <d v="2017-06-28T18:00:00"/>
    <s v="Pessoa Jurídica"/>
    <s v="Ana"/>
    <n v="4"/>
    <n v="9"/>
    <n v="62"/>
    <n v="558"/>
  </r>
  <r>
    <n v="4938"/>
    <x v="4"/>
    <x v="20"/>
    <x v="429"/>
    <d v="2017-06-21T18:00:00"/>
    <s v="Pessoa Física"/>
    <s v="Caio"/>
    <n v="2"/>
    <n v="12"/>
    <n v="63"/>
    <n v="756"/>
  </r>
  <r>
    <n v="4939"/>
    <x v="7"/>
    <x v="19"/>
    <x v="430"/>
    <d v="2017-06-29T12:00:00"/>
    <s v="Pessoa Jurídica"/>
    <s v="Sandra"/>
    <n v="4"/>
    <n v="9"/>
    <n v="75"/>
    <n v="675"/>
  </r>
  <r>
    <n v="4940"/>
    <x v="3"/>
    <x v="13"/>
    <x v="431"/>
    <d v="2017-06-22T18:00:00"/>
    <s v="Pessoa Física"/>
    <s v="Fernando"/>
    <n v="4"/>
    <n v="11"/>
    <n v="53"/>
    <n v="583"/>
  </r>
  <r>
    <n v="4941"/>
    <x v="8"/>
    <x v="20"/>
    <x v="432"/>
    <d v="2017-06-30T23:00:00"/>
    <s v="Pessoa Física"/>
    <s v="Douglas"/>
    <n v="5"/>
    <n v="8"/>
    <n v="63"/>
    <n v="504"/>
  </r>
  <r>
    <n v="4942"/>
    <x v="4"/>
    <x v="20"/>
    <x v="432"/>
    <d v="2017-06-30T23:00:00"/>
    <s v="Pessoa Física"/>
    <s v="Paulo"/>
    <n v="2"/>
    <n v="12"/>
    <n v="63"/>
    <n v="756"/>
  </r>
  <r>
    <n v="4943"/>
    <x v="0"/>
    <x v="16"/>
    <x v="433"/>
    <d v="2017-07-03T23:00:00"/>
    <s v="Pessoa Física"/>
    <s v="Roberto"/>
    <n v="5"/>
    <n v="9"/>
    <n v="48"/>
    <n v="432"/>
  </r>
  <r>
    <n v="4944"/>
    <x v="0"/>
    <x v="23"/>
    <x v="434"/>
    <d v="2017-07-04T18:00:00"/>
    <s v="Pessoa Jurídica"/>
    <s v="Fernando"/>
    <n v="3"/>
    <n v="8"/>
    <n v="48"/>
    <n v="384"/>
  </r>
  <r>
    <n v="4945"/>
    <x v="4"/>
    <x v="22"/>
    <x v="435"/>
    <d v="2017-06-28T18:00:00"/>
    <s v="Pessoa Jurídica"/>
    <s v="Paulo"/>
    <n v="5"/>
    <n v="10"/>
    <n v="48"/>
    <n v="480"/>
  </r>
  <r>
    <n v="4946"/>
    <x v="5"/>
    <x v="16"/>
    <x v="436"/>
    <d v="2017-07-06T12:00:00"/>
    <s v="Pessoa Jurídica"/>
    <s v="Henrique"/>
    <n v="4"/>
    <n v="9"/>
    <n v="48"/>
    <n v="432"/>
  </r>
  <r>
    <n v="4947"/>
    <x v="2"/>
    <x v="25"/>
    <x v="437"/>
    <d v="2017-06-29T18:00:00"/>
    <s v="Pessoa Jurídica"/>
    <s v="Roberto"/>
    <n v="4"/>
    <n v="9"/>
    <n v="62"/>
    <n v="558"/>
  </r>
  <r>
    <n v="4948"/>
    <x v="2"/>
    <x v="13"/>
    <x v="438"/>
    <d v="2017-07-07T23:00:00"/>
    <s v="Pessoa Física"/>
    <s v="Caio"/>
    <n v="5"/>
    <n v="10"/>
    <n v="53"/>
    <n v="530"/>
  </r>
  <r>
    <n v="4949"/>
    <x v="7"/>
    <x v="24"/>
    <x v="438"/>
    <d v="2017-07-07T23:00:00"/>
    <s v="Pessoa Física"/>
    <s v="Caio"/>
    <n v="3"/>
    <n v="10"/>
    <n v="42"/>
    <n v="420"/>
  </r>
  <r>
    <n v="4950"/>
    <x v="0"/>
    <x v="24"/>
    <x v="439"/>
    <d v="2017-07-10T23:00:00"/>
    <s v="Pessoa Física"/>
    <s v="Joaquim"/>
    <n v="2"/>
    <n v="9"/>
    <n v="42"/>
    <n v="378"/>
  </r>
  <r>
    <n v="4951"/>
    <x v="4"/>
    <x v="25"/>
    <x v="440"/>
    <d v="2017-07-11T18:00:00"/>
    <s v="Pessoa Jurídica"/>
    <s v="Caio"/>
    <n v="3"/>
    <n v="8"/>
    <n v="62"/>
    <n v="496"/>
  </r>
  <r>
    <n v="4952"/>
    <x v="7"/>
    <x v="17"/>
    <x v="441"/>
    <d v="2017-07-05T18:00:00"/>
    <s v="Pessoa Jurídica"/>
    <s v="Fernando"/>
    <n v="4"/>
    <n v="8"/>
    <n v="32"/>
    <n v="256"/>
  </r>
  <r>
    <n v="4953"/>
    <x v="5"/>
    <x v="22"/>
    <x v="442"/>
    <d v="2017-07-13T12:00:00"/>
    <s v="Pessoa Jurídica"/>
    <s v="Manuel"/>
    <n v="4"/>
    <n v="8"/>
    <n v="48"/>
    <n v="384"/>
  </r>
  <r>
    <n v="4954"/>
    <x v="3"/>
    <x v="14"/>
    <x v="443"/>
    <d v="2017-08-01T23:00:00"/>
    <s v="Pessoa Física"/>
    <s v="José"/>
    <n v="4"/>
    <n v="9"/>
    <n v="35"/>
    <n v="315"/>
  </r>
  <r>
    <n v="4955"/>
    <x v="6"/>
    <x v="21"/>
    <x v="444"/>
    <d v="2017-08-02T18:00:00"/>
    <s v="Pessoa Jurídica"/>
    <s v="José"/>
    <n v="2"/>
    <n v="10"/>
    <n v="52"/>
    <n v="520"/>
  </r>
  <r>
    <n v="4956"/>
    <x v="4"/>
    <x v="25"/>
    <x v="445"/>
    <d v="2017-08-04T12:00:00"/>
    <s v="Pessoa Jurídica"/>
    <s v="Joaquim"/>
    <n v="4"/>
    <n v="12"/>
    <n v="62"/>
    <n v="744"/>
  </r>
  <r>
    <n v="4957"/>
    <x v="3"/>
    <x v="15"/>
    <x v="446"/>
    <d v="2017-08-05T23:00:00"/>
    <s v="Pessoa Física"/>
    <s v="Leandro"/>
    <n v="3"/>
    <n v="9"/>
    <n v="62"/>
    <n v="558"/>
  </r>
  <r>
    <n v="4958"/>
    <x v="3"/>
    <x v="16"/>
    <x v="446"/>
    <d v="2017-08-05T23:00:00"/>
    <s v="Pessoa Jurídica"/>
    <s v="Caio"/>
    <n v="4"/>
    <n v="12"/>
    <n v="48"/>
    <n v="576"/>
  </r>
  <r>
    <n v="4959"/>
    <x v="4"/>
    <x v="20"/>
    <x v="447"/>
    <d v="2017-08-08T23:00:00"/>
    <s v="Pessoa Física"/>
    <s v="Sandra"/>
    <n v="4"/>
    <n v="8"/>
    <n v="63"/>
    <n v="504"/>
  </r>
  <r>
    <n v="4960"/>
    <x v="8"/>
    <x v="21"/>
    <x v="448"/>
    <d v="2017-08-09T18:00:00"/>
    <s v="Pessoa Jurídica"/>
    <s v="Paulo"/>
    <n v="5"/>
    <n v="11"/>
    <n v="52"/>
    <n v="572"/>
  </r>
  <r>
    <n v="4961"/>
    <x v="1"/>
    <x v="25"/>
    <x v="449"/>
    <d v="2017-08-03T18:00:00"/>
    <s v="Pessoa Jurídica"/>
    <s v="Fernando"/>
    <n v="4"/>
    <n v="9"/>
    <n v="62"/>
    <n v="558"/>
  </r>
  <r>
    <n v="4962"/>
    <x v="6"/>
    <x v="19"/>
    <x v="450"/>
    <d v="2017-08-11T12:00:00"/>
    <s v="Pessoa Física"/>
    <s v="Sandra"/>
    <n v="3"/>
    <n v="12"/>
    <n v="75"/>
    <n v="900"/>
  </r>
  <r>
    <n v="4963"/>
    <x v="0"/>
    <x v="17"/>
    <x v="451"/>
    <d v="2017-08-04T18:00:00"/>
    <s v="Pessoa Jurídica"/>
    <s v="Sandra"/>
    <n v="5"/>
    <n v="11"/>
    <n v="32"/>
    <n v="352"/>
  </r>
  <r>
    <n v="4964"/>
    <x v="1"/>
    <x v="23"/>
    <x v="452"/>
    <d v="2017-08-15T23:00:00"/>
    <s v="Pessoa Física"/>
    <s v="Henrique"/>
    <n v="4"/>
    <n v="9"/>
    <n v="48"/>
    <n v="432"/>
  </r>
  <r>
    <n v="4965"/>
    <x v="8"/>
    <x v="25"/>
    <x v="452"/>
    <d v="2017-08-15T23:00:00"/>
    <s v="Pessoa Jurídica"/>
    <s v="Manuel"/>
    <n v="3"/>
    <n v="12"/>
    <n v="62"/>
    <n v="744"/>
  </r>
  <r>
    <n v="4966"/>
    <x v="8"/>
    <x v="21"/>
    <x v="453"/>
    <d v="2017-08-16T23:00:00"/>
    <s v="Pessoa Física"/>
    <s v="Roberto"/>
    <n v="2"/>
    <n v="10"/>
    <n v="52"/>
    <n v="520"/>
  </r>
  <r>
    <n v="4967"/>
    <x v="6"/>
    <x v="22"/>
    <x v="454"/>
    <d v="2017-08-17T18:00:00"/>
    <s v="Pessoa Jurídica"/>
    <s v="Fernando"/>
    <n v="2"/>
    <n v="10"/>
    <n v="48"/>
    <n v="480"/>
  </r>
  <r>
    <n v="4968"/>
    <x v="8"/>
    <x v="18"/>
    <x v="455"/>
    <d v="2017-08-10T18:00:00"/>
    <s v="Pessoa Física"/>
    <s v="Caio"/>
    <n v="5"/>
    <n v="9"/>
    <n v="43"/>
    <n v="387"/>
  </r>
  <r>
    <n v="4969"/>
    <x v="4"/>
    <x v="14"/>
    <x v="456"/>
    <d v="2017-08-22T12:00:00"/>
    <s v="Pessoa Física"/>
    <s v="Sérgio"/>
    <n v="3"/>
    <n v="12"/>
    <n v="35"/>
    <n v="420"/>
  </r>
  <r>
    <n v="4970"/>
    <x v="2"/>
    <x v="13"/>
    <x v="457"/>
    <d v="2017-08-11T18:00:00"/>
    <s v="Pessoa Jurídica"/>
    <s v="Paulo"/>
    <n v="4"/>
    <n v="9"/>
    <n v="53"/>
    <n v="477"/>
  </r>
  <r>
    <n v="4971"/>
    <x v="2"/>
    <x v="16"/>
    <x v="458"/>
    <d v="2017-08-23T23:00:00"/>
    <s v="Pessoa Jurídica"/>
    <s v="Leandro"/>
    <n v="5"/>
    <n v="8"/>
    <n v="48"/>
    <n v="384"/>
  </r>
  <r>
    <n v="4972"/>
    <x v="8"/>
    <x v="15"/>
    <x v="458"/>
    <d v="2017-08-23T23:00:00"/>
    <s v="Pessoa Física"/>
    <s v="Fernando"/>
    <n v="4"/>
    <n v="8"/>
    <n v="62"/>
    <n v="496"/>
  </r>
  <r>
    <n v="4973"/>
    <x v="8"/>
    <x v="21"/>
    <x v="459"/>
    <d v="2017-08-24T23:00:00"/>
    <s v="Pessoa Jurídica"/>
    <s v="Caio"/>
    <n v="4"/>
    <n v="8"/>
    <n v="52"/>
    <n v="416"/>
  </r>
  <r>
    <n v="4974"/>
    <x v="7"/>
    <x v="17"/>
    <x v="460"/>
    <d v="2017-08-25T18:00:00"/>
    <s v="Pessoa Jurídica"/>
    <s v="Ana"/>
    <n v="5"/>
    <n v="12"/>
    <n v="32"/>
    <n v="384"/>
  </r>
  <r>
    <n v="4975"/>
    <x v="2"/>
    <x v="15"/>
    <x v="461"/>
    <d v="2017-08-18T18:00:00"/>
    <s v="Pessoa Jurídica"/>
    <s v="Douglas"/>
    <n v="2"/>
    <n v="8"/>
    <n v="62"/>
    <n v="496"/>
  </r>
  <r>
    <n v="4976"/>
    <x v="6"/>
    <x v="14"/>
    <x v="462"/>
    <d v="2017-08-26T12:00:00"/>
    <s v="Pessoa Física"/>
    <s v="Roberto"/>
    <n v="4"/>
    <n v="11"/>
    <n v="35"/>
    <n v="385"/>
  </r>
  <r>
    <n v="4977"/>
    <x v="0"/>
    <x v="15"/>
    <x v="463"/>
    <d v="2017-08-18T18:00:00"/>
    <s v="Pessoa Física"/>
    <s v="Manuel"/>
    <n v="5"/>
    <n v="12"/>
    <n v="62"/>
    <n v="744"/>
  </r>
  <r>
    <n v="4978"/>
    <x v="2"/>
    <x v="24"/>
    <x v="464"/>
    <d v="2017-08-30T23:00:00"/>
    <s v="Pessoa Jurídica"/>
    <s v="Sandra"/>
    <n v="3"/>
    <n v="11"/>
    <n v="42"/>
    <n v="462"/>
  </r>
  <r>
    <n v="4979"/>
    <x v="4"/>
    <x v="17"/>
    <x v="464"/>
    <d v="2017-08-30T23:00:00"/>
    <s v="Pessoa Jurídica"/>
    <s v="Caio"/>
    <n v="5"/>
    <n v="12"/>
    <n v="32"/>
    <n v="384"/>
  </r>
  <r>
    <n v="4980"/>
    <x v="2"/>
    <x v="21"/>
    <x v="465"/>
    <d v="2017-08-31T23:00:00"/>
    <s v="Pessoa Jurídica"/>
    <s v="Ana"/>
    <n v="3"/>
    <n v="12"/>
    <n v="52"/>
    <n v="624"/>
  </r>
  <r>
    <n v="4981"/>
    <x v="8"/>
    <x v="19"/>
    <x v="466"/>
    <d v="2017-09-01T18:00:00"/>
    <s v="Pessoa Jurídica"/>
    <s v="Caio"/>
    <n v="3"/>
    <n v="11"/>
    <n v="75"/>
    <n v="825"/>
  </r>
  <r>
    <n v="4982"/>
    <x v="4"/>
    <x v="21"/>
    <x v="467"/>
    <d v="2017-08-25T18:00:00"/>
    <s v="Pessoa Física"/>
    <s v="Caio"/>
    <n v="2"/>
    <n v="11"/>
    <n v="52"/>
    <n v="572"/>
  </r>
  <r>
    <n v="4983"/>
    <x v="2"/>
    <x v="24"/>
    <x v="468"/>
    <d v="2017-09-02T12:00:00"/>
    <s v="Pessoa Jurídica"/>
    <s v="Sandra"/>
    <n v="3"/>
    <n v="11"/>
    <n v="42"/>
    <n v="462"/>
  </r>
  <r>
    <n v="4984"/>
    <x v="6"/>
    <x v="13"/>
    <x v="469"/>
    <d v="2017-08-25T18:00:00"/>
    <s v="Pessoa Física"/>
    <s v="Paulo"/>
    <n v="4"/>
    <n v="12"/>
    <n v="53"/>
    <n v="636"/>
  </r>
  <r>
    <n v="4985"/>
    <x v="8"/>
    <x v="17"/>
    <x v="470"/>
    <d v="2017-09-05T23:00:00"/>
    <s v="Pessoa Jurídica"/>
    <s v="Sandra"/>
    <n v="5"/>
    <n v="12"/>
    <n v="32"/>
    <n v="384"/>
  </r>
  <r>
    <n v="4986"/>
    <x v="8"/>
    <x v="24"/>
    <x v="470"/>
    <d v="2017-09-05T23:00:00"/>
    <s v="Pessoa Física"/>
    <s v="Caio"/>
    <n v="4"/>
    <n v="8"/>
    <n v="42"/>
    <n v="336"/>
  </r>
  <r>
    <n v="4987"/>
    <x v="1"/>
    <x v="19"/>
    <x v="471"/>
    <d v="2017-09-06T23:00:00"/>
    <s v="Pessoa Jurídica"/>
    <s v="Ana"/>
    <n v="3"/>
    <n v="11"/>
    <n v="75"/>
    <n v="825"/>
  </r>
  <r>
    <n v="4988"/>
    <x v="6"/>
    <x v="17"/>
    <x v="472"/>
    <d v="2017-09-07T18:00:00"/>
    <s v="Pessoa Jurídica"/>
    <s v="Ana"/>
    <n v="5"/>
    <n v="9"/>
    <n v="32"/>
    <n v="288"/>
  </r>
  <r>
    <n v="4989"/>
    <x v="0"/>
    <x v="14"/>
    <x v="473"/>
    <d v="2017-09-01T18:00:00"/>
    <s v="Pessoa Física"/>
    <s v="José"/>
    <n v="2"/>
    <n v="8"/>
    <n v="35"/>
    <n v="280"/>
  </r>
  <r>
    <n v="4990"/>
    <x v="6"/>
    <x v="23"/>
    <x v="474"/>
    <d v="2017-09-09T12:00:00"/>
    <s v="Pessoa Física"/>
    <s v="Douglas"/>
    <n v="2"/>
    <n v="8"/>
    <n v="48"/>
    <n v="384"/>
  </r>
  <r>
    <n v="4991"/>
    <x v="5"/>
    <x v="19"/>
    <x v="475"/>
    <d v="2017-09-02T18:00:00"/>
    <s v="Pessoa Jurídica"/>
    <s v="Fernando"/>
    <n v="2"/>
    <n v="11"/>
    <n v="75"/>
    <n v="825"/>
  </r>
  <r>
    <n v="4992"/>
    <x v="2"/>
    <x v="24"/>
    <x v="476"/>
    <d v="2017-09-09T23:00:00"/>
    <s v="Pessoa Física"/>
    <s v="Paulo"/>
    <n v="5"/>
    <n v="12"/>
    <n v="42"/>
    <n v="504"/>
  </r>
  <r>
    <n v="4993"/>
    <x v="4"/>
    <x v="19"/>
    <x v="476"/>
    <d v="2017-09-09T23:00:00"/>
    <s v="Pessoa Jurídica"/>
    <s v="Sandra"/>
    <n v="4"/>
    <n v="12"/>
    <n v="75"/>
    <n v="900"/>
  </r>
  <r>
    <n v="4994"/>
    <x v="3"/>
    <x v="25"/>
    <x v="477"/>
    <d v="2017-09-12T23:00:00"/>
    <s v="Pessoa Jurídica"/>
    <s v="Paulo"/>
    <n v="3"/>
    <n v="12"/>
    <n v="62"/>
    <n v="744"/>
  </r>
  <r>
    <n v="4995"/>
    <x v="6"/>
    <x v="15"/>
    <x v="478"/>
    <d v="2017-09-13T18:00:00"/>
    <s v="Pessoa Física"/>
    <s v="Fernando"/>
    <n v="2"/>
    <n v="11"/>
    <n v="62"/>
    <n v="682"/>
  </r>
  <r>
    <n v="4996"/>
    <x v="5"/>
    <x v="17"/>
    <x v="479"/>
    <d v="2017-09-07T18:00:00"/>
    <s v="Pessoa Jurídica"/>
    <s v="Paulo"/>
    <n v="3"/>
    <n v="12"/>
    <n v="32"/>
    <n v="384"/>
  </r>
  <r>
    <n v="4997"/>
    <x v="1"/>
    <x v="15"/>
    <x v="480"/>
    <d v="2017-09-15T12:00:00"/>
    <s v="Pessoa Física"/>
    <s v="Douglas"/>
    <n v="2"/>
    <n v="8"/>
    <n v="62"/>
    <n v="496"/>
  </r>
  <r>
    <n v="4998"/>
    <x v="5"/>
    <x v="14"/>
    <x v="481"/>
    <d v="2017-09-08T18:00:00"/>
    <s v="Pessoa Física"/>
    <s v="Joaquim"/>
    <n v="4"/>
    <n v="12"/>
    <n v="35"/>
    <n v="420"/>
  </r>
  <r>
    <n v="4999"/>
    <x v="2"/>
    <x v="22"/>
    <x v="482"/>
    <d v="2017-09-16T23:00:00"/>
    <s v="Pessoa Física"/>
    <s v="Caio"/>
    <n v="3"/>
    <n v="11"/>
    <n v="48"/>
    <n v="528"/>
  </r>
  <r>
    <n v="5000"/>
    <x v="7"/>
    <x v="20"/>
    <x v="482"/>
    <d v="2017-09-16T23:00:00"/>
    <s v="Pessoa Física"/>
    <s v="Sandra"/>
    <n v="2"/>
    <n v="8"/>
    <n v="63"/>
    <n v="504"/>
  </r>
  <r>
    <n v="5001"/>
    <x v="7"/>
    <x v="21"/>
    <x v="483"/>
    <d v="2017-09-19T23:00:00"/>
    <s v="Pessoa Física"/>
    <s v="Fernando"/>
    <n v="2"/>
    <n v="11"/>
    <n v="52"/>
    <n v="572"/>
  </r>
  <r>
    <n v="5002"/>
    <x v="3"/>
    <x v="17"/>
    <x v="484"/>
    <d v="2017-09-20T18:00:00"/>
    <s v="Pessoa Física"/>
    <s v="Joaquim"/>
    <n v="4"/>
    <n v="9"/>
    <n v="32"/>
    <n v="288"/>
  </r>
  <r>
    <n v="5003"/>
    <x v="5"/>
    <x v="17"/>
    <x v="485"/>
    <d v="2017-09-14T18:00:00"/>
    <s v="Pessoa Jurídica"/>
    <s v="Sérgio"/>
    <n v="3"/>
    <n v="9"/>
    <n v="32"/>
    <n v="288"/>
  </r>
  <r>
    <n v="5004"/>
    <x v="0"/>
    <x v="19"/>
    <x v="486"/>
    <d v="2017-09-22T12:00:00"/>
    <s v="Pessoa Física"/>
    <s v="Rosana"/>
    <n v="5"/>
    <n v="8"/>
    <n v="75"/>
    <n v="600"/>
  </r>
  <r>
    <n v="5005"/>
    <x v="1"/>
    <x v="21"/>
    <x v="487"/>
    <d v="2017-09-15T18:00:00"/>
    <s v="Pessoa Jurídica"/>
    <s v="Fernando"/>
    <n v="2"/>
    <n v="10"/>
    <n v="52"/>
    <n v="520"/>
  </r>
  <r>
    <n v="5006"/>
    <x v="4"/>
    <x v="21"/>
    <x v="488"/>
    <d v="2017-09-23T23:00:00"/>
    <s v="Pessoa Jurídica"/>
    <s v="Caio"/>
    <n v="5"/>
    <n v="11"/>
    <n v="52"/>
    <n v="572"/>
  </r>
  <r>
    <n v="5007"/>
    <x v="6"/>
    <x v="17"/>
    <x v="488"/>
    <d v="2017-09-23T23:00:00"/>
    <s v="Pessoa Jurídica"/>
    <s v="Humberto"/>
    <n v="5"/>
    <n v="8"/>
    <n v="32"/>
    <n v="256"/>
  </r>
  <r>
    <n v="5008"/>
    <x v="3"/>
    <x v="14"/>
    <x v="489"/>
    <d v="2017-09-26T23:00:00"/>
    <s v="Pessoa Física"/>
    <s v="Humberto"/>
    <n v="4"/>
    <n v="12"/>
    <n v="35"/>
    <n v="420"/>
  </r>
  <r>
    <n v="5009"/>
    <x v="0"/>
    <x v="18"/>
    <x v="490"/>
    <d v="2017-09-27T18:00:00"/>
    <s v="Pessoa Jurídica"/>
    <s v="Roberto"/>
    <n v="4"/>
    <n v="10"/>
    <n v="43"/>
    <n v="430"/>
  </r>
  <r>
    <n v="5010"/>
    <x v="7"/>
    <x v="15"/>
    <x v="491"/>
    <d v="2017-09-21T18:00:00"/>
    <s v="Pessoa Física"/>
    <s v="Paulo"/>
    <n v="5"/>
    <n v="10"/>
    <n v="62"/>
    <n v="620"/>
  </r>
  <r>
    <n v="5011"/>
    <x v="8"/>
    <x v="15"/>
    <x v="492"/>
    <d v="2017-09-29T12:00:00"/>
    <s v="Pessoa Jurídica"/>
    <s v="Paulo"/>
    <n v="2"/>
    <n v="10"/>
    <n v="62"/>
    <n v="620"/>
  </r>
  <r>
    <n v="5012"/>
    <x v="4"/>
    <x v="15"/>
    <x v="493"/>
    <d v="2017-09-22T18:00:00"/>
    <s v="Pessoa Física"/>
    <s v="Fernando"/>
    <n v="3"/>
    <n v="11"/>
    <n v="62"/>
    <n v="682"/>
  </r>
  <r>
    <n v="5013"/>
    <x v="4"/>
    <x v="20"/>
    <x v="494"/>
    <d v="2017-09-30T23:00:00"/>
    <s v="Pessoa Jurídica"/>
    <s v="Sandra"/>
    <n v="5"/>
    <n v="10"/>
    <n v="63"/>
    <n v="630"/>
  </r>
  <r>
    <n v="5014"/>
    <x v="3"/>
    <x v="14"/>
    <x v="494"/>
    <d v="2017-09-30T23:00:00"/>
    <s v="Pessoa Física"/>
    <s v="Caio"/>
    <n v="5"/>
    <n v="9"/>
    <n v="35"/>
    <n v="315"/>
  </r>
  <r>
    <n v="5015"/>
    <x v="2"/>
    <x v="17"/>
    <x v="495"/>
    <d v="2017-10-03T23:00:00"/>
    <s v="Pessoa Jurídica"/>
    <s v="Joaquim"/>
    <n v="3"/>
    <n v="9"/>
    <n v="32"/>
    <n v="288"/>
  </r>
  <r>
    <n v="5016"/>
    <x v="1"/>
    <x v="15"/>
    <x v="496"/>
    <d v="2017-10-04T18:00:00"/>
    <s v="Pessoa Física"/>
    <s v="Jane"/>
    <n v="3"/>
    <n v="9"/>
    <n v="62"/>
    <n v="558"/>
  </r>
  <r>
    <n v="5017"/>
    <x v="6"/>
    <x v="19"/>
    <x v="497"/>
    <d v="2017-09-28T18:00:00"/>
    <s v="Pessoa Jurídica"/>
    <s v="Joaquim"/>
    <n v="5"/>
    <n v="10"/>
    <n v="75"/>
    <n v="750"/>
  </r>
  <r>
    <n v="5018"/>
    <x v="3"/>
    <x v="25"/>
    <x v="498"/>
    <d v="2017-10-06T12:00:00"/>
    <s v="Pessoa Física"/>
    <s v="Humberto"/>
    <n v="4"/>
    <n v="11"/>
    <n v="62"/>
    <n v="682"/>
  </r>
  <r>
    <n v="5019"/>
    <x v="4"/>
    <x v="17"/>
    <x v="499"/>
    <d v="2017-09-29T18:00:00"/>
    <s v="Pessoa Jurídica"/>
    <s v="José"/>
    <n v="4"/>
    <n v="12"/>
    <n v="32"/>
    <n v="384"/>
  </r>
  <r>
    <n v="5020"/>
    <x v="7"/>
    <x v="15"/>
    <x v="500"/>
    <d v="2017-10-07T23:00:00"/>
    <s v="Pessoa Jurídica"/>
    <s v="Sandra"/>
    <n v="2"/>
    <n v="9"/>
    <n v="62"/>
    <n v="558"/>
  </r>
  <r>
    <n v="5021"/>
    <x v="3"/>
    <x v="22"/>
    <x v="500"/>
    <d v="2017-10-07T23:00:00"/>
    <s v="Pessoa Jurídica"/>
    <s v="Humberto"/>
    <n v="3"/>
    <n v="10"/>
    <n v="48"/>
    <n v="480"/>
  </r>
  <r>
    <n v="5022"/>
    <x v="3"/>
    <x v="21"/>
    <x v="501"/>
    <d v="2017-10-10T23:00:00"/>
    <s v="Pessoa Jurídica"/>
    <s v="Fernando"/>
    <n v="3"/>
    <n v="11"/>
    <n v="52"/>
    <n v="572"/>
  </r>
  <r>
    <n v="5023"/>
    <x v="3"/>
    <x v="23"/>
    <x v="502"/>
    <d v="2017-10-11T18:00:00"/>
    <s v="Pessoa Física"/>
    <s v="Sandra"/>
    <n v="4"/>
    <n v="12"/>
    <n v="48"/>
    <n v="576"/>
  </r>
  <r>
    <n v="5024"/>
    <x v="5"/>
    <x v="13"/>
    <x v="503"/>
    <d v="2017-10-05T18:00:00"/>
    <s v="Pessoa Física"/>
    <s v="Sérgio"/>
    <n v="4"/>
    <n v="12"/>
    <n v="53"/>
    <n v="636"/>
  </r>
  <r>
    <n v="5025"/>
    <x v="0"/>
    <x v="13"/>
    <x v="504"/>
    <d v="2017-10-14T12:00:00"/>
    <s v="Pessoa Jurídica"/>
    <s v="Caio"/>
    <n v="5"/>
    <n v="9"/>
    <n v="53"/>
    <n v="477"/>
  </r>
  <r>
    <n v="5026"/>
    <x v="3"/>
    <x v="14"/>
    <x v="505"/>
    <d v="2017-10-30T23:00:00"/>
    <s v="Pessoa Física"/>
    <s v="José"/>
    <n v="4"/>
    <n v="9"/>
    <n v="35"/>
    <n v="315"/>
  </r>
  <r>
    <n v="5027"/>
    <x v="6"/>
    <x v="21"/>
    <x v="506"/>
    <d v="2017-10-31T18:00:00"/>
    <s v="Pessoa Jurídica"/>
    <s v="José"/>
    <n v="2"/>
    <n v="10"/>
    <n v="52"/>
    <n v="520"/>
  </r>
  <r>
    <n v="5028"/>
    <x v="4"/>
    <x v="25"/>
    <x v="507"/>
    <d v="2017-11-02T12:00:00"/>
    <s v="Pessoa Jurídica"/>
    <s v="Joaquim"/>
    <n v="4"/>
    <n v="12"/>
    <n v="62"/>
    <n v="744"/>
  </r>
  <r>
    <n v="5029"/>
    <x v="3"/>
    <x v="15"/>
    <x v="508"/>
    <d v="2017-11-03T23:00:00"/>
    <s v="Pessoa Física"/>
    <s v="Leandro"/>
    <n v="3"/>
    <n v="9"/>
    <n v="62"/>
    <n v="558"/>
  </r>
  <r>
    <n v="5030"/>
    <x v="3"/>
    <x v="16"/>
    <x v="508"/>
    <d v="2017-11-03T23:00:00"/>
    <s v="Pessoa Jurídica"/>
    <s v="Caio"/>
    <n v="4"/>
    <n v="12"/>
    <n v="48"/>
    <n v="576"/>
  </r>
  <r>
    <n v="5031"/>
    <x v="4"/>
    <x v="20"/>
    <x v="509"/>
    <d v="2017-11-06T23:00:00"/>
    <s v="Pessoa Física"/>
    <s v="Sandra"/>
    <n v="4"/>
    <n v="8"/>
    <n v="63"/>
    <n v="504"/>
  </r>
  <r>
    <n v="5032"/>
    <x v="8"/>
    <x v="21"/>
    <x v="510"/>
    <d v="2017-11-07T18:00:00"/>
    <s v="Pessoa Jurídica"/>
    <s v="Paulo"/>
    <n v="5"/>
    <n v="11"/>
    <n v="52"/>
    <n v="572"/>
  </r>
  <r>
    <n v="5033"/>
    <x v="1"/>
    <x v="25"/>
    <x v="511"/>
    <d v="2017-11-01T18:00:00"/>
    <s v="Pessoa Jurídica"/>
    <s v="Fernando"/>
    <n v="4"/>
    <n v="9"/>
    <n v="62"/>
    <n v="558"/>
  </r>
  <r>
    <n v="5034"/>
    <x v="6"/>
    <x v="19"/>
    <x v="512"/>
    <d v="2017-11-09T12:00:00"/>
    <s v="Pessoa Física"/>
    <s v="Sandra"/>
    <n v="3"/>
    <n v="12"/>
    <n v="75"/>
    <n v="900"/>
  </r>
  <r>
    <n v="5035"/>
    <x v="0"/>
    <x v="17"/>
    <x v="513"/>
    <d v="2017-11-02T18:00:00"/>
    <s v="Pessoa Jurídica"/>
    <s v="Sandra"/>
    <n v="5"/>
    <n v="11"/>
    <n v="32"/>
    <n v="352"/>
  </r>
  <r>
    <n v="5036"/>
    <x v="1"/>
    <x v="23"/>
    <x v="514"/>
    <d v="2017-11-13T23:00:00"/>
    <s v="Pessoa Física"/>
    <s v="Henrique"/>
    <n v="4"/>
    <n v="9"/>
    <n v="48"/>
    <n v="432"/>
  </r>
  <r>
    <n v="5037"/>
    <x v="8"/>
    <x v="25"/>
    <x v="514"/>
    <d v="2017-11-13T23:00:00"/>
    <s v="Pessoa Jurídica"/>
    <s v="Manuel"/>
    <n v="3"/>
    <n v="12"/>
    <n v="62"/>
    <n v="744"/>
  </r>
  <r>
    <n v="5038"/>
    <x v="8"/>
    <x v="21"/>
    <x v="515"/>
    <d v="2017-11-14T23:00:00"/>
    <s v="Pessoa Física"/>
    <s v="Roberto"/>
    <n v="2"/>
    <n v="10"/>
    <n v="52"/>
    <n v="520"/>
  </r>
  <r>
    <n v="5039"/>
    <x v="6"/>
    <x v="22"/>
    <x v="516"/>
    <d v="2017-11-15T18:00:00"/>
    <s v="Pessoa Jurídica"/>
    <s v="Fernando"/>
    <n v="2"/>
    <n v="10"/>
    <n v="48"/>
    <n v="480"/>
  </r>
  <r>
    <n v="5040"/>
    <x v="8"/>
    <x v="18"/>
    <x v="517"/>
    <d v="2017-11-08T18:00:00"/>
    <s v="Pessoa Física"/>
    <s v="Caio"/>
    <n v="5"/>
    <n v="9"/>
    <n v="43"/>
    <n v="387"/>
  </r>
  <r>
    <n v="5041"/>
    <x v="4"/>
    <x v="14"/>
    <x v="518"/>
    <d v="2017-11-20T12:00:00"/>
    <s v="Pessoa Física"/>
    <s v="Sérgio"/>
    <n v="3"/>
    <n v="12"/>
    <n v="35"/>
    <n v="420"/>
  </r>
  <r>
    <n v="5042"/>
    <x v="2"/>
    <x v="13"/>
    <x v="519"/>
    <d v="2017-11-09T18:00:00"/>
    <s v="Pessoa Jurídica"/>
    <s v="Paulo"/>
    <n v="4"/>
    <n v="9"/>
    <n v="53"/>
    <n v="477"/>
  </r>
  <r>
    <n v="5043"/>
    <x v="2"/>
    <x v="16"/>
    <x v="520"/>
    <d v="2017-11-21T23:00:00"/>
    <s v="Pessoa Jurídica"/>
    <s v="Leandro"/>
    <n v="5"/>
    <n v="8"/>
    <n v="48"/>
    <n v="384"/>
  </r>
  <r>
    <n v="5044"/>
    <x v="8"/>
    <x v="15"/>
    <x v="520"/>
    <d v="2017-11-21T23:00:00"/>
    <s v="Pessoa Física"/>
    <s v="Fernando"/>
    <n v="4"/>
    <n v="8"/>
    <n v="62"/>
    <n v="496"/>
  </r>
  <r>
    <n v="5045"/>
    <x v="8"/>
    <x v="21"/>
    <x v="521"/>
    <d v="2017-11-22T23:00:00"/>
    <s v="Pessoa Jurídica"/>
    <s v="Caio"/>
    <n v="4"/>
    <n v="8"/>
    <n v="52"/>
    <n v="416"/>
  </r>
  <r>
    <n v="5046"/>
    <x v="7"/>
    <x v="17"/>
    <x v="522"/>
    <d v="2017-11-23T18:00:00"/>
    <s v="Pessoa Jurídica"/>
    <s v="Ana"/>
    <n v="5"/>
    <n v="12"/>
    <n v="32"/>
    <n v="384"/>
  </r>
  <r>
    <n v="5047"/>
    <x v="2"/>
    <x v="15"/>
    <x v="523"/>
    <d v="2017-11-16T18:00:00"/>
    <s v="Pessoa Jurídica"/>
    <s v="Douglas"/>
    <n v="2"/>
    <n v="8"/>
    <n v="62"/>
    <n v="496"/>
  </r>
  <r>
    <n v="5048"/>
    <x v="6"/>
    <x v="14"/>
    <x v="524"/>
    <d v="2017-11-24T12:00:00"/>
    <s v="Pessoa Física"/>
    <s v="Roberto"/>
    <n v="4"/>
    <n v="11"/>
    <n v="35"/>
    <n v="385"/>
  </r>
  <r>
    <n v="5049"/>
    <x v="0"/>
    <x v="15"/>
    <x v="525"/>
    <d v="2017-11-16T18:00:00"/>
    <s v="Pessoa Física"/>
    <s v="Manuel"/>
    <n v="5"/>
    <n v="12"/>
    <n v="62"/>
    <n v="744"/>
  </r>
  <r>
    <n v="5050"/>
    <x v="2"/>
    <x v="24"/>
    <x v="526"/>
    <d v="2017-11-28T23:00:00"/>
    <s v="Pessoa Jurídica"/>
    <s v="Sandra"/>
    <n v="3"/>
    <n v="11"/>
    <n v="42"/>
    <n v="462"/>
  </r>
  <r>
    <n v="5051"/>
    <x v="4"/>
    <x v="17"/>
    <x v="526"/>
    <d v="2017-11-28T23:00:00"/>
    <s v="Pessoa Jurídica"/>
    <s v="Caio"/>
    <n v="5"/>
    <n v="12"/>
    <n v="32"/>
    <n v="384"/>
  </r>
  <r>
    <n v="5052"/>
    <x v="2"/>
    <x v="21"/>
    <x v="527"/>
    <d v="2017-11-29T23:00:00"/>
    <s v="Pessoa Jurídica"/>
    <s v="Ana"/>
    <n v="3"/>
    <n v="12"/>
    <n v="52"/>
    <n v="624"/>
  </r>
  <r>
    <n v="5053"/>
    <x v="8"/>
    <x v="19"/>
    <x v="528"/>
    <d v="2017-11-30T18:00:00"/>
    <s v="Pessoa Jurídica"/>
    <s v="Caio"/>
    <n v="3"/>
    <n v="11"/>
    <n v="75"/>
    <n v="825"/>
  </r>
  <r>
    <n v="5054"/>
    <x v="4"/>
    <x v="21"/>
    <x v="529"/>
    <d v="2017-11-23T18:00:00"/>
    <s v="Pessoa Física"/>
    <s v="Caio"/>
    <n v="2"/>
    <n v="11"/>
    <n v="52"/>
    <n v="572"/>
  </r>
  <r>
    <n v="5055"/>
    <x v="2"/>
    <x v="24"/>
    <x v="530"/>
    <d v="2017-12-01T12:00:00"/>
    <s v="Pessoa Jurídica"/>
    <s v="Sandra"/>
    <n v="3"/>
    <n v="11"/>
    <n v="42"/>
    <n v="462"/>
  </r>
  <r>
    <n v="5056"/>
    <x v="6"/>
    <x v="13"/>
    <x v="531"/>
    <d v="2017-11-23T18:00:00"/>
    <s v="Pessoa Física"/>
    <s v="Paulo"/>
    <n v="4"/>
    <n v="12"/>
    <n v="53"/>
    <n v="636"/>
  </r>
  <r>
    <n v="5057"/>
    <x v="8"/>
    <x v="17"/>
    <x v="532"/>
    <d v="2017-12-04T23:00:00"/>
    <s v="Pessoa Jurídica"/>
    <s v="Sandra"/>
    <n v="5"/>
    <n v="12"/>
    <n v="32"/>
    <n v="384"/>
  </r>
  <r>
    <n v="5058"/>
    <x v="8"/>
    <x v="24"/>
    <x v="532"/>
    <d v="2017-12-04T23:00:00"/>
    <s v="Pessoa Física"/>
    <s v="Caio"/>
    <n v="4"/>
    <n v="8"/>
    <n v="42"/>
    <n v="336"/>
  </r>
  <r>
    <n v="5059"/>
    <x v="1"/>
    <x v="19"/>
    <x v="533"/>
    <d v="2017-12-05T23:00:00"/>
    <s v="Pessoa Jurídica"/>
    <s v="Ana"/>
    <n v="3"/>
    <n v="11"/>
    <n v="75"/>
    <n v="825"/>
  </r>
  <r>
    <n v="5060"/>
    <x v="6"/>
    <x v="17"/>
    <x v="534"/>
    <d v="2017-12-06T18:00:00"/>
    <s v="Pessoa Jurídica"/>
    <s v="Ana"/>
    <n v="5"/>
    <n v="9"/>
    <n v="32"/>
    <n v="288"/>
  </r>
  <r>
    <n v="5061"/>
    <x v="0"/>
    <x v="14"/>
    <x v="535"/>
    <d v="2017-11-30T18:00:00"/>
    <s v="Pessoa Física"/>
    <s v="José"/>
    <n v="2"/>
    <n v="8"/>
    <n v="35"/>
    <n v="280"/>
  </r>
  <r>
    <n v="5062"/>
    <x v="6"/>
    <x v="23"/>
    <x v="536"/>
    <d v="2017-12-08T12:00:00"/>
    <s v="Pessoa Física"/>
    <s v="Douglas"/>
    <n v="2"/>
    <n v="8"/>
    <n v="48"/>
    <n v="384"/>
  </r>
  <r>
    <n v="5063"/>
    <x v="5"/>
    <x v="19"/>
    <x v="537"/>
    <d v="2017-12-01T18:00:00"/>
    <s v="Pessoa Jurídica"/>
    <s v="Fernando"/>
    <n v="2"/>
    <n v="11"/>
    <n v="75"/>
    <n v="825"/>
  </r>
  <r>
    <n v="5064"/>
    <x v="2"/>
    <x v="24"/>
    <x v="538"/>
    <d v="2017-12-08T23:00:00"/>
    <s v="Pessoa Física"/>
    <s v="Paulo"/>
    <n v="5"/>
    <n v="12"/>
    <n v="42"/>
    <n v="504"/>
  </r>
  <r>
    <n v="5065"/>
    <x v="4"/>
    <x v="19"/>
    <x v="538"/>
    <d v="2017-12-08T23:00:00"/>
    <s v="Pessoa Jurídica"/>
    <s v="Sandra"/>
    <n v="4"/>
    <n v="12"/>
    <n v="75"/>
    <n v="900"/>
  </r>
  <r>
    <n v="5066"/>
    <x v="3"/>
    <x v="25"/>
    <x v="539"/>
    <d v="2017-12-11T23:00:00"/>
    <s v="Pessoa Jurídica"/>
    <s v="Paulo"/>
    <n v="3"/>
    <n v="12"/>
    <n v="62"/>
    <n v="744"/>
  </r>
  <r>
    <n v="5067"/>
    <x v="6"/>
    <x v="15"/>
    <x v="540"/>
    <d v="2017-12-12T18:00:00"/>
    <s v="Pessoa Física"/>
    <s v="Fernando"/>
    <n v="2"/>
    <n v="11"/>
    <n v="62"/>
    <n v="682"/>
  </r>
  <r>
    <n v="5068"/>
    <x v="5"/>
    <x v="17"/>
    <x v="541"/>
    <d v="2017-12-06T18:00:00"/>
    <s v="Pessoa Jurídica"/>
    <s v="Paulo"/>
    <n v="3"/>
    <n v="12"/>
    <n v="32"/>
    <n v="384"/>
  </r>
  <r>
    <n v="5069"/>
    <x v="1"/>
    <x v="15"/>
    <x v="542"/>
    <d v="2017-12-14T12:00:00"/>
    <s v="Pessoa Física"/>
    <s v="Douglas"/>
    <n v="2"/>
    <n v="8"/>
    <n v="62"/>
    <n v="496"/>
  </r>
  <r>
    <n v="5070"/>
    <x v="5"/>
    <x v="14"/>
    <x v="543"/>
    <d v="2017-12-07T18:00:00"/>
    <s v="Pessoa Física"/>
    <s v="Joaquim"/>
    <n v="4"/>
    <n v="12"/>
    <n v="35"/>
    <n v="420"/>
  </r>
  <r>
    <n v="5071"/>
    <x v="2"/>
    <x v="22"/>
    <x v="544"/>
    <d v="2017-12-15T23:00:00"/>
    <s v="Pessoa Física"/>
    <s v="Caio"/>
    <n v="3"/>
    <n v="11"/>
    <n v="48"/>
    <n v="528"/>
  </r>
  <r>
    <n v="5072"/>
    <x v="7"/>
    <x v="20"/>
    <x v="544"/>
    <d v="2017-12-15T23:00:00"/>
    <s v="Pessoa Física"/>
    <s v="Sandra"/>
    <n v="2"/>
    <n v="8"/>
    <n v="63"/>
    <n v="504"/>
  </r>
  <r>
    <n v="5073"/>
    <x v="7"/>
    <x v="21"/>
    <x v="545"/>
    <d v="2017-12-18T23:00:00"/>
    <s v="Pessoa Física"/>
    <s v="Fernando"/>
    <n v="2"/>
    <n v="11"/>
    <n v="52"/>
    <n v="572"/>
  </r>
  <r>
    <n v="5074"/>
    <x v="3"/>
    <x v="17"/>
    <x v="546"/>
    <d v="2017-12-19T18:00:00"/>
    <s v="Pessoa Física"/>
    <s v="Joaquim"/>
    <n v="4"/>
    <n v="9"/>
    <n v="32"/>
    <n v="288"/>
  </r>
  <r>
    <n v="5075"/>
    <x v="5"/>
    <x v="17"/>
    <x v="547"/>
    <d v="2017-12-13T18:00:00"/>
    <s v="Pessoa Jurídica"/>
    <s v="Sérgio"/>
    <n v="3"/>
    <n v="9"/>
    <n v="32"/>
    <n v="288"/>
  </r>
  <r>
    <n v="5076"/>
    <x v="0"/>
    <x v="19"/>
    <x v="548"/>
    <d v="2017-12-21T12:00:00"/>
    <s v="Pessoa Física"/>
    <s v="Rosana"/>
    <n v="5"/>
    <n v="8"/>
    <n v="75"/>
    <n v="600"/>
  </r>
  <r>
    <n v="5077"/>
    <x v="1"/>
    <x v="21"/>
    <x v="549"/>
    <d v="2017-12-14T18:00:00"/>
    <s v="Pessoa Jurídica"/>
    <s v="Fernando"/>
    <n v="2"/>
    <n v="10"/>
    <n v="52"/>
    <n v="520"/>
  </r>
  <r>
    <n v="5078"/>
    <x v="4"/>
    <x v="21"/>
    <x v="550"/>
    <d v="2017-12-22T23:00:00"/>
    <s v="Pessoa Jurídica"/>
    <s v="Caio"/>
    <n v="5"/>
    <n v="11"/>
    <n v="52"/>
    <n v="572"/>
  </r>
  <r>
    <n v="5079"/>
    <x v="6"/>
    <x v="17"/>
    <x v="550"/>
    <d v="2017-12-22T23:00:00"/>
    <s v="Pessoa Jurídica"/>
    <s v="Humberto"/>
    <n v="5"/>
    <n v="8"/>
    <n v="32"/>
    <n v="256"/>
  </r>
  <r>
    <n v="5080"/>
    <x v="3"/>
    <x v="14"/>
    <x v="551"/>
    <d v="2017-12-25T23:00:00"/>
    <s v="Pessoa Física"/>
    <s v="Humberto"/>
    <n v="4"/>
    <n v="12"/>
    <n v="35"/>
    <n v="420"/>
  </r>
  <r>
    <n v="5081"/>
    <x v="0"/>
    <x v="18"/>
    <x v="552"/>
    <d v="2017-12-26T18:00:00"/>
    <s v="Pessoa Jurídica"/>
    <s v="Roberto"/>
    <n v="4"/>
    <n v="10"/>
    <n v="43"/>
    <n v="430"/>
  </r>
  <r>
    <n v="5082"/>
    <x v="7"/>
    <x v="15"/>
    <x v="553"/>
    <d v="2017-12-20T18:00:00"/>
    <s v="Pessoa Física"/>
    <s v="Paulo"/>
    <n v="5"/>
    <n v="10"/>
    <n v="62"/>
    <n v="620"/>
  </r>
  <r>
    <n v="5083"/>
    <x v="8"/>
    <x v="15"/>
    <x v="554"/>
    <d v="2017-12-28T12:00:00"/>
    <s v="Pessoa Jurídica"/>
    <s v="Paulo"/>
    <n v="2"/>
    <n v="10"/>
    <n v="62"/>
    <n v="620"/>
  </r>
  <r>
    <n v="5084"/>
    <x v="4"/>
    <x v="15"/>
    <x v="555"/>
    <d v="2017-12-21T18:00:00"/>
    <s v="Pessoa Física"/>
    <s v="Fernando"/>
    <n v="3"/>
    <n v="11"/>
    <n v="62"/>
    <n v="682"/>
  </r>
  <r>
    <n v="5085"/>
    <x v="4"/>
    <x v="20"/>
    <x v="556"/>
    <d v="2017-12-29T23:00:00"/>
    <s v="Pessoa Jurídica"/>
    <s v="Sandra"/>
    <n v="5"/>
    <n v="10"/>
    <n v="63"/>
    <n v="630"/>
  </r>
  <r>
    <n v="5086"/>
    <x v="3"/>
    <x v="14"/>
    <x v="556"/>
    <d v="2017-12-29T23:00:00"/>
    <s v="Pessoa Física"/>
    <s v="Caio"/>
    <n v="5"/>
    <n v="9"/>
    <n v="35"/>
    <n v="315"/>
  </r>
  <r>
    <n v="5087"/>
    <x v="2"/>
    <x v="17"/>
    <x v="557"/>
    <d v="2018-01-01T23:00:00"/>
    <s v="Pessoa Jurídica"/>
    <s v="Joaquim"/>
    <n v="3"/>
    <n v="9"/>
    <n v="32"/>
    <n v="288"/>
  </r>
  <r>
    <n v="5088"/>
    <x v="1"/>
    <x v="15"/>
    <x v="558"/>
    <d v="2018-01-02T18:00:00"/>
    <s v="Pessoa Física"/>
    <s v="Jane"/>
    <n v="3"/>
    <n v="9"/>
    <n v="62"/>
    <n v="558"/>
  </r>
  <r>
    <n v="5089"/>
    <x v="6"/>
    <x v="19"/>
    <x v="559"/>
    <d v="2017-12-27T18:00:00"/>
    <s v="Pessoa Jurídica"/>
    <s v="Joaquim"/>
    <n v="5"/>
    <n v="10"/>
    <n v="75"/>
    <n v="750"/>
  </r>
  <r>
    <n v="5090"/>
    <x v="3"/>
    <x v="25"/>
    <x v="560"/>
    <d v="2018-01-04T12:00:00"/>
    <s v="Pessoa Física"/>
    <s v="Humberto"/>
    <n v="4"/>
    <n v="11"/>
    <n v="62"/>
    <n v="682"/>
  </r>
  <r>
    <n v="5091"/>
    <x v="4"/>
    <x v="17"/>
    <x v="561"/>
    <d v="2017-12-28T18:00:00"/>
    <s v="Pessoa Jurídica"/>
    <s v="José"/>
    <n v="4"/>
    <n v="12"/>
    <n v="32"/>
    <n v="384"/>
  </r>
  <r>
    <n v="5092"/>
    <x v="7"/>
    <x v="15"/>
    <x v="562"/>
    <d v="2018-01-05T23:00:00"/>
    <s v="Pessoa Jurídica"/>
    <s v="Sandra"/>
    <n v="2"/>
    <n v="9"/>
    <n v="62"/>
    <n v="558"/>
  </r>
  <r>
    <n v="5093"/>
    <x v="3"/>
    <x v="22"/>
    <x v="562"/>
    <d v="2018-01-05T23:00:00"/>
    <s v="Pessoa Jurídica"/>
    <s v="Humberto"/>
    <n v="3"/>
    <n v="10"/>
    <n v="48"/>
    <n v="480"/>
  </r>
  <r>
    <n v="5094"/>
    <x v="3"/>
    <x v="21"/>
    <x v="563"/>
    <d v="2018-01-08T23:00:00"/>
    <s v="Pessoa Jurídica"/>
    <s v="Fernando"/>
    <n v="3"/>
    <n v="11"/>
    <n v="52"/>
    <n v="572"/>
  </r>
  <r>
    <n v="5095"/>
    <x v="3"/>
    <x v="23"/>
    <x v="564"/>
    <d v="2018-01-09T18:00:00"/>
    <s v="Pessoa Física"/>
    <s v="Sandra"/>
    <n v="4"/>
    <n v="12"/>
    <n v="48"/>
    <n v="576"/>
  </r>
  <r>
    <n v="5096"/>
    <x v="5"/>
    <x v="13"/>
    <x v="565"/>
    <d v="2018-01-03T18:00:00"/>
    <s v="Pessoa Física"/>
    <s v="Sérgio"/>
    <n v="4"/>
    <n v="12"/>
    <n v="53"/>
    <n v="636"/>
  </r>
  <r>
    <n v="5097"/>
    <x v="0"/>
    <x v="13"/>
    <x v="566"/>
    <d v="2018-01-12T12:00:00"/>
    <s v="Pessoa Jurídica"/>
    <s v="Caio"/>
    <n v="5"/>
    <n v="9"/>
    <n v="53"/>
    <n v="477"/>
  </r>
  <r>
    <n v="5098"/>
    <x v="7"/>
    <x v="18"/>
    <x v="567"/>
    <d v="2018-01-15T18:00:00"/>
    <s v="Pessoa Jurídica"/>
    <s v="Rosana"/>
    <n v="5"/>
    <n v="12"/>
    <n v="42"/>
    <n v="504"/>
  </r>
  <r>
    <n v="5099"/>
    <x v="7"/>
    <x v="23"/>
    <x v="567"/>
    <d v="2018-01-15T18:00:00"/>
    <s v="Pessoa Física"/>
    <s v="Humberto"/>
    <n v="2"/>
    <n v="8"/>
    <n v="47"/>
    <n v="376"/>
  </r>
  <r>
    <n v="5100"/>
    <x v="5"/>
    <x v="16"/>
    <x v="568"/>
    <d v="2018-01-09T18:00:00"/>
    <s v="Pessoa Jurídica"/>
    <s v="Caio"/>
    <n v="5"/>
    <n v="8"/>
    <n v="47"/>
    <n v="376"/>
  </r>
  <r>
    <n v="5101"/>
    <x v="6"/>
    <x v="16"/>
    <x v="569"/>
    <d v="2018-01-18T23:00:00"/>
    <s v="Pessoa Jurídica"/>
    <s v="Manuel"/>
    <n v="5"/>
    <n v="12"/>
    <n v="47"/>
    <n v="564"/>
  </r>
  <r>
    <n v="5102"/>
    <x v="4"/>
    <x v="20"/>
    <x v="569"/>
    <d v="2018-01-18T23:00:00"/>
    <s v="Pessoa Jurídica"/>
    <s v="Douglas"/>
    <n v="3"/>
    <n v="12"/>
    <n v="62"/>
    <n v="744"/>
  </r>
  <r>
    <n v="5103"/>
    <x v="3"/>
    <x v="19"/>
    <x v="569"/>
    <d v="2018-01-18T23:00:00"/>
    <s v="Pessoa Física"/>
    <s v="Paulo"/>
    <n v="3"/>
    <n v="8"/>
    <n v="73"/>
    <n v="584"/>
  </r>
  <r>
    <n v="5104"/>
    <x v="2"/>
    <x v="25"/>
    <x v="569"/>
    <d v="2018-01-18T23:00:00"/>
    <s v="Pessoa Jurídica"/>
    <s v="Roberto"/>
    <n v="2"/>
    <n v="12"/>
    <n v="61"/>
    <n v="732"/>
  </r>
  <r>
    <n v="5105"/>
    <x v="6"/>
    <x v="21"/>
    <x v="570"/>
    <d v="2018-01-16T18:00:00"/>
    <s v="Pessoa Física"/>
    <s v="Caio"/>
    <n v="5"/>
    <n v="10"/>
    <n v="51"/>
    <n v="510"/>
  </r>
  <r>
    <n v="5106"/>
    <x v="8"/>
    <x v="24"/>
    <x v="570"/>
    <d v="2018-01-16T18:00:00"/>
    <s v="Pessoa Física"/>
    <s v="Leandro"/>
    <n v="3"/>
    <n v="12"/>
    <n v="41"/>
    <n v="492"/>
  </r>
  <r>
    <n v="5107"/>
    <x v="4"/>
    <x v="17"/>
    <x v="571"/>
    <d v="2018-01-24T12:00:00"/>
    <s v="Pessoa Jurídica"/>
    <s v="Douglas"/>
    <n v="3"/>
    <n v="8"/>
    <n v="31"/>
    <n v="248"/>
  </r>
  <r>
    <n v="5108"/>
    <x v="6"/>
    <x v="17"/>
    <x v="571"/>
    <d v="2018-01-24T12:00:00"/>
    <s v="Pessoa Jurídica"/>
    <s v="Fernando"/>
    <n v="2"/>
    <n v="8"/>
    <n v="31"/>
    <n v="248"/>
  </r>
  <r>
    <n v="5109"/>
    <x v="8"/>
    <x v="22"/>
    <x v="572"/>
    <d v="2018-01-25T23:00:00"/>
    <s v="Pessoa Jurídica"/>
    <s v="Caio"/>
    <n v="3"/>
    <n v="12"/>
    <n v="47"/>
    <n v="564"/>
  </r>
  <r>
    <n v="5110"/>
    <x v="8"/>
    <x v="14"/>
    <x v="572"/>
    <d v="2018-01-25T23:00:00"/>
    <s v="Pessoa Física"/>
    <s v="José"/>
    <n v="3"/>
    <n v="8"/>
    <n v="33"/>
    <n v="264"/>
  </r>
  <r>
    <n v="5111"/>
    <x v="6"/>
    <x v="23"/>
    <x v="572"/>
    <d v="2018-01-25T23:00:00"/>
    <s v="Pessoa Física"/>
    <s v="Ana"/>
    <n v="2"/>
    <n v="9"/>
    <n v="47"/>
    <n v="423"/>
  </r>
  <r>
    <n v="5112"/>
    <x v="3"/>
    <x v="13"/>
    <x v="573"/>
    <d v="2018-01-28T23:00:00"/>
    <s v="Pessoa Física"/>
    <s v="Paulo"/>
    <n v="3"/>
    <n v="11"/>
    <n v="52"/>
    <n v="572"/>
  </r>
  <r>
    <n v="5113"/>
    <x v="2"/>
    <x v="22"/>
    <x v="573"/>
    <d v="2018-01-28T23:00:00"/>
    <s v="Pessoa Física"/>
    <s v="Fernando"/>
    <n v="3"/>
    <n v="8"/>
    <n v="47"/>
    <n v="376"/>
  </r>
  <r>
    <n v="5114"/>
    <x v="3"/>
    <x v="13"/>
    <x v="573"/>
    <d v="2018-01-28T23:00:00"/>
    <s v="Pessoa Física"/>
    <s v="Paulo"/>
    <n v="4"/>
    <n v="9"/>
    <n v="52"/>
    <n v="468"/>
  </r>
  <r>
    <n v="5115"/>
    <x v="3"/>
    <x v="22"/>
    <x v="574"/>
    <d v="2018-01-29T18:00:00"/>
    <s v="Pessoa Jurídica"/>
    <s v="Leandro"/>
    <n v="2"/>
    <n v="11"/>
    <n v="47"/>
    <n v="517"/>
  </r>
  <r>
    <n v="5116"/>
    <x v="5"/>
    <x v="20"/>
    <x v="575"/>
    <d v="2018-01-23T18:00:00"/>
    <s v="Pessoa Física"/>
    <s v="José"/>
    <n v="4"/>
    <n v="11"/>
    <n v="62"/>
    <n v="682"/>
  </r>
  <r>
    <n v="5117"/>
    <x v="1"/>
    <x v="17"/>
    <x v="576"/>
    <d v="2018-01-24T18:00:00"/>
    <s v="Pessoa Jurídica"/>
    <s v="Henrique"/>
    <n v="4"/>
    <n v="10"/>
    <n v="31"/>
    <n v="310"/>
  </r>
  <r>
    <n v="5118"/>
    <x v="5"/>
    <x v="22"/>
    <x v="576"/>
    <d v="2018-01-24T18:00:00"/>
    <s v="Pessoa Jurídica"/>
    <s v="Caio"/>
    <n v="5"/>
    <n v="9"/>
    <n v="47"/>
    <n v="423"/>
  </r>
  <r>
    <n v="5119"/>
    <x v="0"/>
    <x v="19"/>
    <x v="577"/>
    <d v="2018-02-01T23:00:00"/>
    <s v="Pessoa Física"/>
    <s v="Joaquim"/>
    <n v="3"/>
    <n v="11"/>
    <n v="73"/>
    <n v="803"/>
  </r>
  <r>
    <n v="5120"/>
    <x v="7"/>
    <x v="23"/>
    <x v="577"/>
    <d v="2018-02-01T23:00:00"/>
    <s v="Pessoa Física"/>
    <s v="José"/>
    <n v="3"/>
    <n v="11"/>
    <n v="47"/>
    <n v="517"/>
  </r>
  <r>
    <n v="5121"/>
    <x v="1"/>
    <x v="20"/>
    <x v="577"/>
    <d v="2018-02-01T23:00:00"/>
    <s v="Pessoa Física"/>
    <s v="Sérgio"/>
    <n v="4"/>
    <n v="8"/>
    <n v="62"/>
    <n v="496"/>
  </r>
  <r>
    <n v="5122"/>
    <x v="7"/>
    <x v="17"/>
    <x v="577"/>
    <d v="2018-02-01T23:00:00"/>
    <s v="Pessoa Jurídica"/>
    <s v="Fernando"/>
    <n v="2"/>
    <n v="8"/>
    <n v="31"/>
    <n v="248"/>
  </r>
  <r>
    <n v="5123"/>
    <x v="1"/>
    <x v="20"/>
    <x v="577"/>
    <d v="2018-02-01T23:00:00"/>
    <s v="Pessoa Física"/>
    <s v="Fernando"/>
    <n v="2"/>
    <n v="8"/>
    <n v="62"/>
    <n v="496"/>
  </r>
  <r>
    <n v="5124"/>
    <x v="3"/>
    <x v="15"/>
    <x v="577"/>
    <d v="2018-02-01T23:00:00"/>
    <s v="Pessoa Jurídica"/>
    <s v="Fernando"/>
    <n v="3"/>
    <n v="8"/>
    <n v="61"/>
    <n v="488"/>
  </r>
  <r>
    <n v="5125"/>
    <x v="4"/>
    <x v="18"/>
    <x v="577"/>
    <d v="2018-02-01T23:00:00"/>
    <s v="Pessoa Física"/>
    <s v="Paulo"/>
    <n v="3"/>
    <n v="10"/>
    <n v="42"/>
    <n v="420"/>
  </r>
  <r>
    <n v="5126"/>
    <x v="4"/>
    <x v="24"/>
    <x v="577"/>
    <d v="2018-02-01T23:00:00"/>
    <s v="Pessoa Física"/>
    <s v="Sandra"/>
    <n v="3"/>
    <n v="11"/>
    <n v="41"/>
    <n v="451"/>
  </r>
  <r>
    <n v="5127"/>
    <x v="8"/>
    <x v="17"/>
    <x v="578"/>
    <d v="2018-01-30T18:00:00"/>
    <s v="Pessoa Física"/>
    <s v="Rosana"/>
    <n v="3"/>
    <n v="9"/>
    <n v="31"/>
    <n v="279"/>
  </r>
  <r>
    <n v="5128"/>
    <x v="2"/>
    <x v="17"/>
    <x v="578"/>
    <d v="2018-01-30T18:00:00"/>
    <s v="Pessoa Jurídica"/>
    <s v="Henrique"/>
    <n v="5"/>
    <n v="11"/>
    <n v="31"/>
    <n v="341"/>
  </r>
  <r>
    <n v="5129"/>
    <x v="3"/>
    <x v="16"/>
    <x v="579"/>
    <d v="2018-02-07T12:00:00"/>
    <s v="Pessoa Jurídica"/>
    <s v="Manuel"/>
    <n v="4"/>
    <n v="12"/>
    <n v="47"/>
    <n v="564"/>
  </r>
  <r>
    <n v="5130"/>
    <x v="7"/>
    <x v="24"/>
    <x v="579"/>
    <d v="2018-02-07T12:00:00"/>
    <s v="Pessoa Física"/>
    <s v="Sandra"/>
    <n v="3"/>
    <n v="12"/>
    <n v="41"/>
    <n v="492"/>
  </r>
  <r>
    <n v="5131"/>
    <x v="0"/>
    <x v="15"/>
    <x v="580"/>
    <d v="2018-01-31T18:00:00"/>
    <s v="Pessoa Jurídica"/>
    <s v="Rosana"/>
    <n v="5"/>
    <n v="8"/>
    <n v="61"/>
    <n v="488"/>
  </r>
  <r>
    <n v="5132"/>
    <x v="5"/>
    <x v="16"/>
    <x v="581"/>
    <d v="2018-02-08T23:00:00"/>
    <s v="Pessoa Jurídica"/>
    <s v="Ana"/>
    <n v="5"/>
    <n v="12"/>
    <n v="47"/>
    <n v="564"/>
  </r>
  <r>
    <n v="5133"/>
    <x v="6"/>
    <x v="17"/>
    <x v="582"/>
    <d v="2018-02-11T23:00:00"/>
    <s v="Pessoa Física"/>
    <s v="Caio"/>
    <n v="3"/>
    <n v="9"/>
    <n v="31"/>
    <n v="279"/>
  </r>
  <r>
    <n v="5134"/>
    <x v="6"/>
    <x v="24"/>
    <x v="582"/>
    <d v="2018-02-11T23:00:00"/>
    <s v="Pessoa Física"/>
    <s v="Joaquim"/>
    <n v="5"/>
    <n v="10"/>
    <n v="41"/>
    <n v="410"/>
  </r>
  <r>
    <n v="5135"/>
    <x v="0"/>
    <x v="22"/>
    <x v="582"/>
    <d v="2018-02-11T23:00:00"/>
    <s v="Pessoa Jurídica"/>
    <s v="Douglas"/>
    <n v="4"/>
    <n v="10"/>
    <n v="47"/>
    <n v="470"/>
  </r>
  <r>
    <n v="5136"/>
    <x v="1"/>
    <x v="25"/>
    <x v="582"/>
    <d v="2018-02-11T23:00:00"/>
    <s v="Pessoa Jurídica"/>
    <s v="Humberto"/>
    <n v="2"/>
    <n v="9"/>
    <n v="61"/>
    <n v="549"/>
  </r>
  <r>
    <n v="5137"/>
    <x v="6"/>
    <x v="19"/>
    <x v="583"/>
    <d v="2018-02-12T18:00:00"/>
    <s v="Pessoa Física"/>
    <s v="Douglas"/>
    <n v="4"/>
    <n v="12"/>
    <n v="73"/>
    <n v="876"/>
  </r>
  <r>
    <n v="5138"/>
    <x v="2"/>
    <x v="24"/>
    <x v="583"/>
    <d v="2018-02-12T18:00:00"/>
    <s v="Pessoa Física"/>
    <s v="Fernando"/>
    <n v="5"/>
    <n v="11"/>
    <n v="41"/>
    <n v="451"/>
  </r>
  <r>
    <n v="5139"/>
    <x v="7"/>
    <x v="18"/>
    <x v="583"/>
    <d v="2018-02-12T18:00:00"/>
    <s v="Pessoa Física"/>
    <s v="Douglas"/>
    <n v="3"/>
    <n v="9"/>
    <n v="42"/>
    <n v="378"/>
  </r>
  <r>
    <n v="5140"/>
    <x v="7"/>
    <x v="25"/>
    <x v="584"/>
    <d v="2018-02-07T18:00:00"/>
    <s v="Pessoa Jurídica"/>
    <s v="Roberto"/>
    <n v="5"/>
    <n v="9"/>
    <n v="61"/>
    <n v="549"/>
  </r>
  <r>
    <n v="5141"/>
    <x v="2"/>
    <x v="20"/>
    <x v="584"/>
    <d v="2018-02-07T18:00:00"/>
    <s v="Pessoa Jurídica"/>
    <s v="Caio"/>
    <n v="4"/>
    <n v="10"/>
    <n v="62"/>
    <n v="620"/>
  </r>
  <r>
    <n v="5142"/>
    <x v="4"/>
    <x v="18"/>
    <x v="585"/>
    <d v="2018-02-15T23:00:00"/>
    <s v="Pessoa Física"/>
    <s v="Rosana"/>
    <n v="5"/>
    <n v="11"/>
    <n v="42"/>
    <n v="462"/>
  </r>
  <r>
    <n v="5143"/>
    <x v="4"/>
    <x v="23"/>
    <x v="586"/>
    <d v="2018-02-18T23:00:00"/>
    <s v="Pessoa Jurídica"/>
    <s v="José"/>
    <n v="5"/>
    <n v="8"/>
    <n v="47"/>
    <n v="376"/>
  </r>
  <r>
    <n v="5144"/>
    <x v="2"/>
    <x v="17"/>
    <x v="587"/>
    <d v="2018-02-13T18:00:00"/>
    <s v="Pessoa Jurídica"/>
    <s v="Caio"/>
    <n v="5"/>
    <n v="11"/>
    <n v="31"/>
    <n v="341"/>
  </r>
  <r>
    <n v="5145"/>
    <x v="3"/>
    <x v="19"/>
    <x v="588"/>
    <d v="2018-02-21T12:00:00"/>
    <s v="Pessoa Jurídica"/>
    <s v="Paulo"/>
    <n v="4"/>
    <n v="12"/>
    <n v="73"/>
    <n v="876"/>
  </r>
  <r>
    <n v="5146"/>
    <x v="4"/>
    <x v="23"/>
    <x v="588"/>
    <d v="2018-02-21T12:00:00"/>
    <s v="Pessoa Jurídica"/>
    <s v="Caio"/>
    <n v="2"/>
    <n v="12"/>
    <n v="47"/>
    <n v="564"/>
  </r>
  <r>
    <n v="5147"/>
    <x v="7"/>
    <x v="19"/>
    <x v="589"/>
    <d v="2018-02-14T18:00:00"/>
    <s v="Pessoa Física"/>
    <s v="Ana"/>
    <n v="4"/>
    <n v="9"/>
    <n v="73"/>
    <n v="657"/>
  </r>
  <r>
    <n v="5148"/>
    <x v="5"/>
    <x v="17"/>
    <x v="590"/>
    <d v="2018-02-22T23:00:00"/>
    <s v="Pessoa Jurídica"/>
    <s v="Sandra"/>
    <n v="2"/>
    <n v="9"/>
    <n v="31"/>
    <n v="279"/>
  </r>
  <r>
    <n v="5149"/>
    <x v="3"/>
    <x v="14"/>
    <x v="591"/>
    <d v="2018-02-25T23:00:00"/>
    <s v="Pessoa Física"/>
    <s v="Sandra"/>
    <n v="3"/>
    <n v="10"/>
    <n v="33"/>
    <n v="330"/>
  </r>
  <r>
    <n v="5150"/>
    <x v="7"/>
    <x v="14"/>
    <x v="591"/>
    <d v="2018-02-25T23:00:00"/>
    <s v="Pessoa Jurídica"/>
    <s v="Fernando"/>
    <n v="5"/>
    <n v="11"/>
    <n v="33"/>
    <n v="363"/>
  </r>
  <r>
    <n v="5151"/>
    <x v="4"/>
    <x v="23"/>
    <x v="592"/>
    <d v="2018-02-26T18:00:00"/>
    <s v="Pessoa Física"/>
    <s v="Sérgio"/>
    <n v="2"/>
    <n v="12"/>
    <n v="47"/>
    <n v="564"/>
  </r>
  <r>
    <n v="5152"/>
    <x v="2"/>
    <x v="19"/>
    <x v="592"/>
    <d v="2018-02-26T18:00:00"/>
    <s v="Pessoa Jurídica"/>
    <s v="Sandra"/>
    <n v="3"/>
    <n v="11"/>
    <n v="73"/>
    <n v="803"/>
  </r>
  <r>
    <n v="5153"/>
    <x v="5"/>
    <x v="21"/>
    <x v="593"/>
    <d v="2018-02-28T12:00:00"/>
    <s v="Pessoa Jurídica"/>
    <s v="Sandra"/>
    <n v="4"/>
    <n v="12"/>
    <n v="51"/>
    <n v="612"/>
  </r>
  <r>
    <n v="5154"/>
    <x v="4"/>
    <x v="22"/>
    <x v="593"/>
    <d v="2018-02-28T12:00:00"/>
    <s v="Pessoa Física"/>
    <s v="Sandra"/>
    <n v="3"/>
    <n v="8"/>
    <n v="47"/>
    <n v="376"/>
  </r>
  <r>
    <n v="5155"/>
    <x v="2"/>
    <x v="20"/>
    <x v="594"/>
    <d v="2018-02-21T18:00:00"/>
    <s v="Pessoa Jurídica"/>
    <s v="Jane"/>
    <n v="4"/>
    <n v="12"/>
    <n v="62"/>
    <n v="744"/>
  </r>
  <r>
    <n v="5156"/>
    <x v="6"/>
    <x v="20"/>
    <x v="594"/>
    <d v="2018-02-21T18:00:00"/>
    <s v="Pessoa Física"/>
    <s v="Caio"/>
    <n v="2"/>
    <n v="12"/>
    <n v="62"/>
    <n v="744"/>
  </r>
  <r>
    <n v="5157"/>
    <x v="2"/>
    <x v="16"/>
    <x v="595"/>
    <d v="2018-03-01T23:00:00"/>
    <s v="Pessoa Jurídica"/>
    <s v="Humberto"/>
    <n v="5"/>
    <n v="12"/>
    <n v="47"/>
    <n v="564"/>
  </r>
  <r>
    <n v="5158"/>
    <x v="5"/>
    <x v="17"/>
    <x v="596"/>
    <d v="2018-03-04T23:00:00"/>
    <s v="Pessoa Jurídica"/>
    <s v="José"/>
    <n v="5"/>
    <n v="8"/>
    <n v="31"/>
    <n v="248"/>
  </r>
  <r>
    <n v="5159"/>
    <x v="2"/>
    <x v="17"/>
    <x v="596"/>
    <d v="2018-03-04T23:00:00"/>
    <s v="Pessoa Jurídica"/>
    <s v="Paulo"/>
    <n v="3"/>
    <n v="11"/>
    <n v="31"/>
    <n v="341"/>
  </r>
  <r>
    <n v="5160"/>
    <x v="5"/>
    <x v="14"/>
    <x v="596"/>
    <d v="2018-03-04T23:00:00"/>
    <s v="Pessoa Física"/>
    <s v="Jane"/>
    <n v="3"/>
    <n v="11"/>
    <n v="33"/>
    <n v="363"/>
  </r>
  <r>
    <n v="5161"/>
    <x v="5"/>
    <x v="20"/>
    <x v="596"/>
    <d v="2018-03-04T23:00:00"/>
    <s v="Pessoa Física"/>
    <s v="Henrique"/>
    <n v="3"/>
    <n v="12"/>
    <n v="62"/>
    <n v="744"/>
  </r>
  <r>
    <n v="5162"/>
    <x v="7"/>
    <x v="24"/>
    <x v="597"/>
    <d v="2018-03-05T18:00:00"/>
    <s v="Pessoa Jurídica"/>
    <s v="Fernando"/>
    <n v="3"/>
    <n v="10"/>
    <n v="41"/>
    <n v="410"/>
  </r>
  <r>
    <n v="5163"/>
    <x v="7"/>
    <x v="17"/>
    <x v="597"/>
    <d v="2018-03-05T18:00:00"/>
    <s v="Pessoa Jurídica"/>
    <s v="Sérgio"/>
    <n v="5"/>
    <n v="12"/>
    <n v="31"/>
    <n v="372"/>
  </r>
  <r>
    <n v="5164"/>
    <x v="6"/>
    <x v="24"/>
    <x v="597"/>
    <d v="2018-03-05T18:00:00"/>
    <s v="Pessoa Jurídica"/>
    <s v="Douglas"/>
    <n v="3"/>
    <n v="11"/>
    <n v="41"/>
    <n v="451"/>
  </r>
  <r>
    <n v="5165"/>
    <x v="6"/>
    <x v="21"/>
    <x v="598"/>
    <d v="2018-02-27T18:00:00"/>
    <s v="Pessoa Jurídica"/>
    <s v="Ana"/>
    <n v="5"/>
    <n v="11"/>
    <n v="51"/>
    <n v="561"/>
  </r>
  <r>
    <n v="5166"/>
    <x v="5"/>
    <x v="17"/>
    <x v="599"/>
    <d v="2018-03-07T12:00:00"/>
    <s v="Pessoa Jurídica"/>
    <s v="José"/>
    <n v="5"/>
    <n v="9"/>
    <n v="31"/>
    <n v="279"/>
  </r>
  <r>
    <n v="5167"/>
    <x v="2"/>
    <x v="25"/>
    <x v="599"/>
    <d v="2018-03-07T12:00:00"/>
    <s v="Pessoa Física"/>
    <s v="Rosana"/>
    <n v="2"/>
    <n v="10"/>
    <n v="61"/>
    <n v="610"/>
  </r>
  <r>
    <n v="5168"/>
    <x v="7"/>
    <x v="13"/>
    <x v="599"/>
    <d v="2018-03-07T12:00:00"/>
    <s v="Pessoa Física"/>
    <s v="Sérgio"/>
    <n v="5"/>
    <n v="12"/>
    <n v="52"/>
    <n v="624"/>
  </r>
  <r>
    <n v="5169"/>
    <x v="5"/>
    <x v="14"/>
    <x v="600"/>
    <d v="2018-02-28T18:00:00"/>
    <s v="Pessoa Jurídica"/>
    <s v="Paulo"/>
    <n v="5"/>
    <n v="8"/>
    <n v="33"/>
    <n v="264"/>
  </r>
  <r>
    <n v="5170"/>
    <x v="2"/>
    <x v="24"/>
    <x v="600"/>
    <d v="2018-02-28T18:00:00"/>
    <s v="Pessoa Física"/>
    <s v="Henrique"/>
    <n v="5"/>
    <n v="10"/>
    <n v="41"/>
    <n v="410"/>
  </r>
  <r>
    <n v="5171"/>
    <x v="5"/>
    <x v="25"/>
    <x v="600"/>
    <d v="2018-02-28T18:00:00"/>
    <s v="Pessoa Física"/>
    <s v="Caio"/>
    <n v="2"/>
    <n v="10"/>
    <n v="61"/>
    <n v="610"/>
  </r>
  <r>
    <n v="5172"/>
    <x v="3"/>
    <x v="14"/>
    <x v="601"/>
    <d v="2018-03-08T23:00:00"/>
    <s v="Pessoa Física"/>
    <s v="Rosana"/>
    <n v="3"/>
    <n v="8"/>
    <n v="33"/>
    <n v="264"/>
  </r>
  <r>
    <n v="5173"/>
    <x v="4"/>
    <x v="18"/>
    <x v="602"/>
    <d v="2018-03-11T23:00:00"/>
    <s v="Pessoa Física"/>
    <s v="Jane"/>
    <n v="3"/>
    <n v="12"/>
    <n v="42"/>
    <n v="504"/>
  </r>
  <r>
    <n v="5174"/>
    <x v="7"/>
    <x v="24"/>
    <x v="603"/>
    <d v="2018-03-12T18:00:00"/>
    <s v="Pessoa Jurídica"/>
    <s v="Manuel"/>
    <n v="4"/>
    <n v="12"/>
    <n v="41"/>
    <n v="492"/>
  </r>
  <r>
    <n v="5175"/>
    <x v="0"/>
    <x v="18"/>
    <x v="603"/>
    <d v="2018-03-12T18:00:00"/>
    <s v="Pessoa Física"/>
    <s v="Ana"/>
    <n v="5"/>
    <n v="8"/>
    <n v="42"/>
    <n v="336"/>
  </r>
  <r>
    <n v="5176"/>
    <x v="2"/>
    <x v="17"/>
    <x v="604"/>
    <d v="2018-03-06T18:00:00"/>
    <s v="Pessoa Física"/>
    <s v="Roberto"/>
    <n v="5"/>
    <n v="10"/>
    <n v="31"/>
    <n v="310"/>
  </r>
  <r>
    <n v="5177"/>
    <x v="3"/>
    <x v="20"/>
    <x v="605"/>
    <d v="2018-03-18T23:00:00"/>
    <s v="Pessoa Jurídica"/>
    <s v="Sandra"/>
    <n v="4"/>
    <n v="8"/>
    <n v="62"/>
    <n v="496"/>
  </r>
  <r>
    <n v="5178"/>
    <x v="2"/>
    <x v="19"/>
    <x v="606"/>
    <d v="2018-03-19T18:00:00"/>
    <s v="Pessoa Jurídica"/>
    <s v="Fernando"/>
    <n v="5"/>
    <n v="12"/>
    <n v="73"/>
    <n v="876"/>
  </r>
  <r>
    <n v="5179"/>
    <x v="1"/>
    <x v="16"/>
    <x v="607"/>
    <d v="2018-03-21T12:00:00"/>
    <s v="Pessoa Física"/>
    <s v="Manuel"/>
    <n v="3"/>
    <n v="9"/>
    <n v="47"/>
    <n v="423"/>
  </r>
  <r>
    <n v="5180"/>
    <x v="7"/>
    <x v="24"/>
    <x v="608"/>
    <d v="2018-03-14T18:00:00"/>
    <s v="Pessoa Jurídica"/>
    <s v="José"/>
    <n v="5"/>
    <n v="9"/>
    <n v="41"/>
    <n v="369"/>
  </r>
  <r>
    <n v="5181"/>
    <x v="0"/>
    <x v="14"/>
    <x v="608"/>
    <d v="2018-03-14T18:00:00"/>
    <s v="Pessoa Física"/>
    <s v="Caio"/>
    <n v="5"/>
    <n v="8"/>
    <n v="33"/>
    <n v="264"/>
  </r>
  <r>
    <n v="5182"/>
    <x v="8"/>
    <x v="25"/>
    <x v="608"/>
    <d v="2018-03-14T18:00:00"/>
    <s v="Pessoa Jurídica"/>
    <s v="Humberto"/>
    <n v="4"/>
    <n v="12"/>
    <n v="61"/>
    <n v="732"/>
  </r>
  <r>
    <n v="5183"/>
    <x v="8"/>
    <x v="14"/>
    <x v="608"/>
    <d v="2018-03-14T18:00:00"/>
    <s v="Pessoa Física"/>
    <s v="Sérgio"/>
    <n v="3"/>
    <n v="11"/>
    <n v="33"/>
    <n v="363"/>
  </r>
  <r>
    <n v="5184"/>
    <x v="1"/>
    <x v="25"/>
    <x v="609"/>
    <d v="2018-03-22T23:00:00"/>
    <s v="Pessoa Jurídica"/>
    <s v="Rosana"/>
    <n v="3"/>
    <n v="10"/>
    <n v="61"/>
    <n v="610"/>
  </r>
  <r>
    <n v="5185"/>
    <x v="6"/>
    <x v="13"/>
    <x v="609"/>
    <d v="2018-03-22T23:00:00"/>
    <s v="Pessoa Física"/>
    <s v="Leandro"/>
    <n v="2"/>
    <n v="9"/>
    <n v="52"/>
    <n v="468"/>
  </r>
  <r>
    <n v="5186"/>
    <x v="5"/>
    <x v="24"/>
    <x v="609"/>
    <d v="2018-03-22T23:00:00"/>
    <s v="Pessoa Física"/>
    <s v="Caio"/>
    <n v="5"/>
    <n v="10"/>
    <n v="41"/>
    <n v="410"/>
  </r>
  <r>
    <n v="5187"/>
    <x v="7"/>
    <x v="23"/>
    <x v="610"/>
    <d v="2018-03-20T18:00:00"/>
    <s v="Pessoa Jurídica"/>
    <s v="Sandra"/>
    <n v="2"/>
    <n v="12"/>
    <n v="47"/>
    <n v="564"/>
  </r>
  <r>
    <n v="5188"/>
    <x v="4"/>
    <x v="21"/>
    <x v="610"/>
    <d v="2018-03-20T18:00:00"/>
    <s v="Pessoa Jurídica"/>
    <s v="Humberto"/>
    <n v="4"/>
    <n v="12"/>
    <n v="51"/>
    <n v="612"/>
  </r>
  <r>
    <n v="5189"/>
    <x v="3"/>
    <x v="18"/>
    <x v="611"/>
    <d v="2018-03-28T12:00:00"/>
    <s v="Pessoa Física"/>
    <s v="Fernando"/>
    <n v="2"/>
    <n v="9"/>
    <n v="42"/>
    <n v="378"/>
  </r>
  <r>
    <n v="5190"/>
    <x v="5"/>
    <x v="15"/>
    <x v="611"/>
    <d v="2018-03-28T12:00:00"/>
    <s v="Pessoa Física"/>
    <s v="Paulo"/>
    <m/>
    <n v="11"/>
    <n v="61"/>
    <n v="671"/>
  </r>
  <r>
    <n v="5191"/>
    <x v="2"/>
    <x v="13"/>
    <x v="611"/>
    <d v="2018-03-28T12:00:00"/>
    <s v="Pessoa Física"/>
    <s v="Fernando"/>
    <n v="2"/>
    <n v="9"/>
    <n v="52"/>
    <n v="468"/>
  </r>
  <r>
    <n v="5192"/>
    <x v="4"/>
    <x v="24"/>
    <x v="611"/>
    <d v="2018-03-28T12:00:00"/>
    <s v="Pessoa Física"/>
    <s v="Sérgio"/>
    <n v="2"/>
    <n v="9"/>
    <n v="41"/>
    <n v="369"/>
  </r>
  <r>
    <n v="5193"/>
    <x v="0"/>
    <x v="19"/>
    <x v="612"/>
    <d v="2018-03-29T23:00:00"/>
    <s v="Pessoa Jurídica"/>
    <s v="Sandra"/>
    <n v="3"/>
    <n v="9"/>
    <n v="73"/>
    <n v="657"/>
  </r>
  <r>
    <n v="5194"/>
    <x v="3"/>
    <x v="13"/>
    <x v="613"/>
    <d v="2018-04-01T23:00:00"/>
    <s v="Pessoa Física"/>
    <s v="Humberto"/>
    <n v="5"/>
    <n v="8"/>
    <n v="52"/>
    <n v="416"/>
  </r>
  <r>
    <n v="5195"/>
    <x v="1"/>
    <x v="17"/>
    <x v="614"/>
    <d v="2018-04-02T18:00:00"/>
    <s v="Pessoa Jurídica"/>
    <s v="Caio"/>
    <n v="5"/>
    <n v="9"/>
    <n v="31"/>
    <n v="279"/>
  </r>
  <r>
    <n v="5196"/>
    <x v="7"/>
    <x v="15"/>
    <x v="614"/>
    <d v="2018-04-02T18:00:00"/>
    <s v="Pessoa Física"/>
    <s v="Rosana"/>
    <n v="4"/>
    <n v="8"/>
    <n v="61"/>
    <n v="488"/>
  </r>
  <r>
    <n v="5197"/>
    <x v="2"/>
    <x v="13"/>
    <x v="614"/>
    <d v="2018-04-02T18:00:00"/>
    <s v="Pessoa Jurídica"/>
    <s v="Caio"/>
    <n v="2"/>
    <n v="11"/>
    <n v="52"/>
    <n v="572"/>
  </r>
  <r>
    <n v="5198"/>
    <x v="7"/>
    <x v="15"/>
    <x v="615"/>
    <d v="2018-03-27T18:00:00"/>
    <s v="Pessoa Jurídica"/>
    <s v="Paulo"/>
    <n v="5"/>
    <n v="12"/>
    <n v="61"/>
    <n v="732"/>
  </r>
  <r>
    <n v="5199"/>
    <x v="8"/>
    <x v="15"/>
    <x v="616"/>
    <d v="2018-04-04T12:00:00"/>
    <s v="Pessoa Jurídica"/>
    <s v="Caio"/>
    <n v="3"/>
    <n v="8"/>
    <n v="61"/>
    <n v="488"/>
  </r>
  <r>
    <n v="5200"/>
    <x v="3"/>
    <x v="17"/>
    <x v="616"/>
    <d v="2018-04-04T12:00:00"/>
    <s v="Pessoa Física"/>
    <s v="Sérgio"/>
    <n v="2"/>
    <n v="12"/>
    <n v="31"/>
    <n v="372"/>
  </r>
  <r>
    <n v="5201"/>
    <x v="0"/>
    <x v="19"/>
    <x v="616"/>
    <d v="2018-04-04T12:00:00"/>
    <s v="Pessoa Jurídica"/>
    <s v="Caio"/>
    <n v="2"/>
    <n v="12"/>
    <n v="73"/>
    <n v="876"/>
  </r>
  <r>
    <n v="5202"/>
    <x v="7"/>
    <x v="17"/>
    <x v="617"/>
    <d v="2018-03-28T18:00:00"/>
    <s v="Pessoa Jurídica"/>
    <s v="Fernando"/>
    <n v="3"/>
    <n v="9"/>
    <n v="31"/>
    <n v="279"/>
  </r>
  <r>
    <n v="5203"/>
    <x v="8"/>
    <x v="17"/>
    <x v="617"/>
    <d v="2018-03-28T18:00:00"/>
    <s v="Pessoa Jurídica"/>
    <s v="Douglas"/>
    <n v="3"/>
    <n v="11"/>
    <n v="31"/>
    <n v="341"/>
  </r>
  <r>
    <n v="5204"/>
    <x v="4"/>
    <x v="19"/>
    <x v="618"/>
    <d v="2018-04-05T23:00:00"/>
    <s v="Pessoa Jurídica"/>
    <s v="Leandro"/>
    <n v="2"/>
    <n v="8"/>
    <n v="73"/>
    <n v="584"/>
  </r>
  <r>
    <n v="5205"/>
    <x v="5"/>
    <x v="14"/>
    <x v="618"/>
    <d v="2018-04-05T23:00:00"/>
    <s v="Pessoa Jurídica"/>
    <s v="Henrique"/>
    <n v="5"/>
    <n v="8"/>
    <n v="33"/>
    <n v="264"/>
  </r>
  <r>
    <n v="5206"/>
    <x v="3"/>
    <x v="22"/>
    <x v="618"/>
    <d v="2018-04-05T23:00:00"/>
    <s v="Pessoa Jurídica"/>
    <s v="Sandra"/>
    <n v="3"/>
    <n v="12"/>
    <n v="47"/>
    <n v="564"/>
  </r>
  <r>
    <n v="5207"/>
    <x v="2"/>
    <x v="13"/>
    <x v="618"/>
    <d v="2018-04-05T23:00:00"/>
    <s v="Pessoa Física"/>
    <s v="Joaquim"/>
    <n v="2"/>
    <n v="9"/>
    <n v="52"/>
    <n v="468"/>
  </r>
  <r>
    <n v="5208"/>
    <x v="3"/>
    <x v="20"/>
    <x v="618"/>
    <d v="2018-04-05T23:00:00"/>
    <s v="Pessoa Jurídica"/>
    <s v="Ana"/>
    <n v="3"/>
    <n v="8"/>
    <n v="62"/>
    <n v="496"/>
  </r>
  <r>
    <n v="5209"/>
    <x v="7"/>
    <x v="14"/>
    <x v="619"/>
    <d v="2018-04-09T18:00:00"/>
    <s v="Pessoa Física"/>
    <s v="Henrique"/>
    <n v="4"/>
    <n v="9"/>
    <n v="33"/>
    <n v="297"/>
  </r>
  <r>
    <n v="5210"/>
    <x v="1"/>
    <x v="14"/>
    <x v="620"/>
    <d v="2018-04-03T18:00:00"/>
    <s v="Pessoa Física"/>
    <s v="Caio"/>
    <n v="5"/>
    <n v="11"/>
    <n v="33"/>
    <n v="363"/>
  </r>
  <r>
    <n v="5211"/>
    <x v="1"/>
    <x v="22"/>
    <x v="620"/>
    <d v="2018-04-03T18:00:00"/>
    <s v="Pessoa Jurídica"/>
    <s v="Roberto"/>
    <n v="2"/>
    <n v="8"/>
    <n v="47"/>
    <n v="376"/>
  </r>
  <r>
    <n v="5212"/>
    <x v="1"/>
    <x v="23"/>
    <x v="621"/>
    <d v="2018-04-11T12:00:00"/>
    <s v="Pessoa Física"/>
    <s v="Joaquim"/>
    <n v="5"/>
    <n v="9"/>
    <n v="47"/>
    <n v="423"/>
  </r>
  <r>
    <n v="5213"/>
    <x v="8"/>
    <x v="20"/>
    <x v="621"/>
    <d v="2018-04-11T12:00:00"/>
    <s v="Pessoa Jurídica"/>
    <s v="Leandro"/>
    <n v="5"/>
    <n v="12"/>
    <n v="62"/>
    <n v="744"/>
  </r>
  <r>
    <n v="5214"/>
    <x v="6"/>
    <x v="15"/>
    <x v="622"/>
    <d v="2018-04-12T23:00:00"/>
    <s v="Pessoa Física"/>
    <s v="Sandra"/>
    <n v="5"/>
    <n v="8"/>
    <n v="61"/>
    <n v="488"/>
  </r>
  <r>
    <n v="5215"/>
    <x v="8"/>
    <x v="20"/>
    <x v="622"/>
    <d v="2018-04-12T23:00:00"/>
    <s v="Pessoa Física"/>
    <s v="Manuel"/>
    <n v="4"/>
    <n v="8"/>
    <n v="62"/>
    <n v="496"/>
  </r>
  <r>
    <n v="5216"/>
    <x v="2"/>
    <x v="14"/>
    <x v="622"/>
    <d v="2018-04-12T23:00:00"/>
    <s v="Pessoa Física"/>
    <s v="Ana"/>
    <n v="4"/>
    <n v="11"/>
    <n v="33"/>
    <n v="363"/>
  </r>
  <r>
    <n v="5217"/>
    <x v="4"/>
    <x v="23"/>
    <x v="622"/>
    <d v="2018-04-12T23:00:00"/>
    <s v="Pessoa Jurídica"/>
    <s v="Douglas"/>
    <n v="5"/>
    <n v="8"/>
    <n v="47"/>
    <n v="376"/>
  </r>
  <r>
    <n v="5218"/>
    <x v="7"/>
    <x v="14"/>
    <x v="622"/>
    <d v="2018-04-12T23:00:00"/>
    <s v="Pessoa Física"/>
    <s v="Caio"/>
    <n v="4"/>
    <n v="8"/>
    <n v="33"/>
    <n v="264"/>
  </r>
  <r>
    <n v="5219"/>
    <x v="0"/>
    <x v="25"/>
    <x v="623"/>
    <d v="2018-04-15T23:00:00"/>
    <s v="Pessoa Jurídica"/>
    <s v="Jane"/>
    <n v="4"/>
    <n v="12"/>
    <n v="61"/>
    <n v="732"/>
  </r>
  <r>
    <n v="5220"/>
    <x v="4"/>
    <x v="14"/>
    <x v="624"/>
    <d v="2018-04-16T18:00:00"/>
    <s v="Pessoa Jurídica"/>
    <s v="Paulo"/>
    <n v="2"/>
    <n v="11"/>
    <n v="33"/>
    <n v="363"/>
  </r>
  <r>
    <n v="5221"/>
    <x v="7"/>
    <x v="24"/>
    <x v="624"/>
    <d v="2018-04-16T18:00:00"/>
    <s v="Pessoa Física"/>
    <s v="Douglas"/>
    <n v="5"/>
    <n v="10"/>
    <n v="41"/>
    <n v="410"/>
  </r>
  <r>
    <n v="5222"/>
    <x v="0"/>
    <x v="14"/>
    <x v="625"/>
    <d v="2018-04-10T18:00:00"/>
    <s v="Pessoa Física"/>
    <s v="Douglas"/>
    <n v="4"/>
    <n v="9"/>
    <n v="33"/>
    <n v="297"/>
  </r>
  <r>
    <n v="5223"/>
    <x v="2"/>
    <x v="15"/>
    <x v="625"/>
    <d v="2018-04-10T18:00:00"/>
    <s v="Pessoa Física"/>
    <s v="Jane"/>
    <n v="5"/>
    <n v="12"/>
    <n v="61"/>
    <n v="732"/>
  </r>
  <r>
    <n v="5224"/>
    <x v="2"/>
    <x v="25"/>
    <x v="626"/>
    <d v="2018-04-18T12:00:00"/>
    <s v="Pessoa Jurídica"/>
    <s v="Caio"/>
    <n v="2"/>
    <n v="10"/>
    <n v="61"/>
    <n v="610"/>
  </r>
  <r>
    <n v="5225"/>
    <x v="8"/>
    <x v="17"/>
    <x v="626"/>
    <d v="2018-04-18T12:00:00"/>
    <s v="Pessoa Jurídica"/>
    <s v="Manuel"/>
    <n v="2"/>
    <n v="8"/>
    <n v="31"/>
    <n v="248"/>
  </r>
  <r>
    <n v="5226"/>
    <x v="3"/>
    <x v="13"/>
    <x v="626"/>
    <d v="2018-04-18T12:00:00"/>
    <s v="Pessoa Jurídica"/>
    <s v="Jane"/>
    <n v="2"/>
    <n v="12"/>
    <n v="52"/>
    <n v="624"/>
  </r>
  <r>
    <n v="5227"/>
    <x v="2"/>
    <x v="25"/>
    <x v="626"/>
    <d v="2018-04-18T12:00:00"/>
    <s v="Pessoa Jurídica"/>
    <s v="Sandra"/>
    <n v="4"/>
    <n v="11"/>
    <n v="61"/>
    <n v="671"/>
  </r>
  <r>
    <n v="5228"/>
    <x v="0"/>
    <x v="20"/>
    <x v="627"/>
    <d v="2018-04-11T18:00:00"/>
    <s v="Pessoa Jurídica"/>
    <s v="Manuel"/>
    <n v="4"/>
    <n v="11"/>
    <n v="62"/>
    <n v="682"/>
  </r>
  <r>
    <n v="5229"/>
    <x v="2"/>
    <x v="22"/>
    <x v="628"/>
    <d v="2018-04-19T23:00:00"/>
    <s v="Pessoa Jurídica"/>
    <s v="Henrique"/>
    <n v="2"/>
    <n v="9"/>
    <n v="47"/>
    <n v="423"/>
  </r>
  <r>
    <n v="5230"/>
    <x v="2"/>
    <x v="23"/>
    <x v="628"/>
    <d v="2018-04-19T23:00:00"/>
    <s v="Pessoa Jurídica"/>
    <s v="Sérgio"/>
    <n v="5"/>
    <n v="9"/>
    <n v="47"/>
    <n v="423"/>
  </r>
  <r>
    <n v="5231"/>
    <x v="1"/>
    <x v="25"/>
    <x v="629"/>
    <d v="2018-04-22T23:00:00"/>
    <s v="Pessoa Jurídica"/>
    <s v="Sérgio"/>
    <n v="2"/>
    <n v="11"/>
    <n v="61"/>
    <n v="671"/>
  </r>
  <r>
    <n v="5232"/>
    <x v="0"/>
    <x v="17"/>
    <x v="629"/>
    <d v="2018-04-22T23:00:00"/>
    <s v="Pessoa Física"/>
    <s v="Caio"/>
    <n v="2"/>
    <n v="9"/>
    <n v="31"/>
    <n v="279"/>
  </r>
  <r>
    <n v="5233"/>
    <x v="1"/>
    <x v="25"/>
    <x v="629"/>
    <d v="2018-04-22T23:00:00"/>
    <s v="Pessoa Jurídica"/>
    <s v="Jane"/>
    <n v="4"/>
    <n v="8"/>
    <n v="61"/>
    <n v="488"/>
  </r>
  <r>
    <n v="5234"/>
    <x v="4"/>
    <x v="22"/>
    <x v="630"/>
    <d v="2018-04-17T18:00:00"/>
    <s v="Pessoa Jurídica"/>
    <s v="Caio"/>
    <n v="5"/>
    <n v="8"/>
    <n v="47"/>
    <n v="376"/>
  </r>
  <r>
    <n v="5235"/>
    <x v="2"/>
    <x v="20"/>
    <x v="630"/>
    <d v="2018-04-17T18:00:00"/>
    <s v="Pessoa Física"/>
    <s v="Leandro"/>
    <n v="5"/>
    <n v="10"/>
    <n v="62"/>
    <n v="620"/>
  </r>
  <r>
    <n v="5236"/>
    <x v="7"/>
    <x v="16"/>
    <x v="630"/>
    <d v="2018-04-17T18:00:00"/>
    <s v="Pessoa Jurídica"/>
    <s v="Fernando"/>
    <n v="4"/>
    <n v="12"/>
    <n v="47"/>
    <n v="564"/>
  </r>
  <r>
    <n v="5237"/>
    <x v="2"/>
    <x v="19"/>
    <x v="631"/>
    <d v="2018-04-25T12:00:00"/>
    <s v="Pessoa Jurídica"/>
    <s v="Sandra"/>
    <n v="3"/>
    <n v="8"/>
    <n v="73"/>
    <n v="584"/>
  </r>
  <r>
    <n v="5238"/>
    <x v="5"/>
    <x v="17"/>
    <x v="632"/>
    <d v="2018-04-18T18:00:00"/>
    <s v="Pessoa Jurídica"/>
    <s v="Paulo"/>
    <n v="2"/>
    <n v="8"/>
    <n v="31"/>
    <n v="248"/>
  </r>
  <r>
    <n v="5239"/>
    <x v="1"/>
    <x v="15"/>
    <x v="632"/>
    <d v="2018-04-18T18:00:00"/>
    <s v="Pessoa Jurídica"/>
    <s v="Jane"/>
    <n v="2"/>
    <n v="9"/>
    <n v="61"/>
    <n v="549"/>
  </r>
  <r>
    <n v="5240"/>
    <x v="3"/>
    <x v="13"/>
    <x v="633"/>
    <d v="2018-04-26T23:00:00"/>
    <s v="Pessoa Física"/>
    <s v="Humberto"/>
    <n v="4"/>
    <n v="9"/>
    <n v="52"/>
    <n v="468"/>
  </r>
  <r>
    <n v="5241"/>
    <x v="4"/>
    <x v="17"/>
    <x v="633"/>
    <d v="2018-04-26T23:00:00"/>
    <s v="Pessoa Jurídica"/>
    <s v="Sandra"/>
    <n v="5"/>
    <n v="8"/>
    <n v="31"/>
    <n v="248"/>
  </r>
  <r>
    <n v="5242"/>
    <x v="1"/>
    <x v="25"/>
    <x v="633"/>
    <d v="2018-04-26T23:00:00"/>
    <s v="Pessoa Jurídica"/>
    <s v="Leandro"/>
    <n v="2"/>
    <n v="10"/>
    <n v="61"/>
    <n v="610"/>
  </r>
  <r>
    <n v="5243"/>
    <x v="3"/>
    <x v="18"/>
    <x v="633"/>
    <d v="2018-04-26T23:00:00"/>
    <s v="Pessoa Jurídica"/>
    <s v="Sérgio"/>
    <n v="5"/>
    <n v="8"/>
    <n v="42"/>
    <n v="336"/>
  </r>
  <r>
    <n v="5244"/>
    <x v="5"/>
    <x v="15"/>
    <x v="633"/>
    <d v="2018-04-26T23:00:00"/>
    <s v="Pessoa Física"/>
    <s v="Sandra"/>
    <n v="5"/>
    <n v="9"/>
    <n v="61"/>
    <n v="549"/>
  </r>
  <r>
    <n v="5245"/>
    <x v="4"/>
    <x v="17"/>
    <x v="633"/>
    <d v="2018-04-26T23:00:00"/>
    <s v="Pessoa Jurídica"/>
    <s v="Manuel"/>
    <n v="5"/>
    <n v="9"/>
    <n v="31"/>
    <n v="279"/>
  </r>
  <r>
    <n v="5246"/>
    <x v="1"/>
    <x v="15"/>
    <x v="633"/>
    <d v="2018-04-26T23:00:00"/>
    <s v="Pessoa Física"/>
    <s v="Sandra"/>
    <n v="3"/>
    <n v="10"/>
    <n v="61"/>
    <n v="610"/>
  </r>
  <r>
    <n v="5247"/>
    <x v="2"/>
    <x v="24"/>
    <x v="633"/>
    <d v="2018-04-26T23:00:00"/>
    <s v="Pessoa Física"/>
    <s v="Rosana"/>
    <n v="5"/>
    <n v="8"/>
    <n v="41"/>
    <n v="328"/>
  </r>
  <r>
    <n v="5248"/>
    <x v="7"/>
    <x v="24"/>
    <x v="634"/>
    <d v="2018-04-30T18:00:00"/>
    <s v="Pessoa Física"/>
    <s v="Roberto"/>
    <n v="4"/>
    <n v="11"/>
    <n v="41"/>
    <n v="451"/>
  </r>
  <r>
    <n v="5249"/>
    <x v="2"/>
    <x v="16"/>
    <x v="635"/>
    <d v="2018-04-24T18:00:00"/>
    <s v="Pessoa Jurídica"/>
    <s v="Jane"/>
    <n v="5"/>
    <n v="11"/>
    <n v="47"/>
    <n v="517"/>
  </r>
  <r>
    <n v="5250"/>
    <x v="5"/>
    <x v="25"/>
    <x v="636"/>
    <d v="2018-04-25T18:00:00"/>
    <s v="Pessoa Jurídica"/>
    <s v="Sérgio"/>
    <n v="3"/>
    <n v="10"/>
    <n v="61"/>
    <n v="610"/>
  </r>
  <r>
    <n v="5251"/>
    <x v="6"/>
    <x v="20"/>
    <x v="636"/>
    <d v="2018-04-25T18:00:00"/>
    <s v="Pessoa Física"/>
    <s v="Humberto"/>
    <n v="2"/>
    <n v="8"/>
    <n v="62"/>
    <n v="496"/>
  </r>
  <r>
    <n v="5252"/>
    <x v="4"/>
    <x v="23"/>
    <x v="637"/>
    <d v="2018-05-03T23:00:00"/>
    <s v="Pessoa Física"/>
    <s v="Jane"/>
    <n v="5"/>
    <n v="10"/>
    <n v="47"/>
    <n v="470"/>
  </r>
  <r>
    <n v="5253"/>
    <x v="6"/>
    <x v="21"/>
    <x v="637"/>
    <d v="2018-05-03T23:00:00"/>
    <s v="Pessoa Jurídica"/>
    <s v="Rosana"/>
    <n v="4"/>
    <n v="11"/>
    <n v="51"/>
    <n v="561"/>
  </r>
  <r>
    <n v="5254"/>
    <x v="3"/>
    <x v="20"/>
    <x v="638"/>
    <d v="2018-05-06T23:00:00"/>
    <s v="Pessoa Física"/>
    <s v="Sandra"/>
    <n v="2"/>
    <n v="8"/>
    <n v="62"/>
    <n v="496"/>
  </r>
  <r>
    <n v="5255"/>
    <x v="5"/>
    <x v="21"/>
    <x v="638"/>
    <d v="2018-05-06T23:00:00"/>
    <s v="Pessoa Jurídica"/>
    <s v="Douglas"/>
    <n v="2"/>
    <n v="8"/>
    <n v="51"/>
    <n v="408"/>
  </r>
  <r>
    <n v="5256"/>
    <x v="1"/>
    <x v="17"/>
    <x v="638"/>
    <d v="2018-05-06T23:00:00"/>
    <s v="Pessoa Física"/>
    <s v="Caio"/>
    <n v="4"/>
    <n v="9"/>
    <n v="31"/>
    <n v="279"/>
  </r>
  <r>
    <n v="5257"/>
    <x v="2"/>
    <x v="15"/>
    <x v="639"/>
    <d v="2018-05-07T18:00:00"/>
    <s v="Pessoa Física"/>
    <s v="Caio"/>
    <n v="2"/>
    <n v="8"/>
    <n v="61"/>
    <n v="488"/>
  </r>
  <r>
    <n v="5258"/>
    <x v="0"/>
    <x v="21"/>
    <x v="640"/>
    <d v="2018-05-01T18:00:00"/>
    <s v="Pessoa Jurídica"/>
    <s v="Leandro"/>
    <n v="3"/>
    <n v="11"/>
    <n v="51"/>
    <n v="561"/>
  </r>
  <r>
    <n v="5259"/>
    <x v="5"/>
    <x v="14"/>
    <x v="641"/>
    <d v="2018-05-09T12:00:00"/>
    <s v="Pessoa Física"/>
    <s v="Douglas"/>
    <n v="4"/>
    <n v="11"/>
    <n v="33"/>
    <n v="363"/>
  </r>
  <r>
    <n v="5260"/>
    <x v="7"/>
    <x v="21"/>
    <x v="642"/>
    <d v="2018-05-02T18:00:00"/>
    <s v="Pessoa Jurídica"/>
    <s v="Paulo"/>
    <n v="3"/>
    <n v="8"/>
    <n v="51"/>
    <n v="408"/>
  </r>
  <r>
    <n v="5261"/>
    <x v="1"/>
    <x v="15"/>
    <x v="642"/>
    <d v="2018-05-02T18:00:00"/>
    <s v="Pessoa Física"/>
    <s v="Roberto"/>
    <n v="2"/>
    <n v="12"/>
    <n v="61"/>
    <n v="732"/>
  </r>
  <r>
    <n v="5262"/>
    <x v="1"/>
    <x v="18"/>
    <x v="642"/>
    <d v="2018-05-02T18:00:00"/>
    <s v="Pessoa Física"/>
    <s v="José"/>
    <n v="3"/>
    <n v="12"/>
    <n v="42"/>
    <n v="504"/>
  </r>
  <r>
    <n v="5263"/>
    <x v="6"/>
    <x v="13"/>
    <x v="643"/>
    <d v="2018-05-10T23:00:00"/>
    <s v="Pessoa Física"/>
    <s v="Roberto"/>
    <n v="2"/>
    <n v="10"/>
    <n v="52"/>
    <n v="520"/>
  </r>
  <r>
    <n v="5264"/>
    <x v="7"/>
    <x v="24"/>
    <x v="644"/>
    <d v="2018-05-13T23:00:00"/>
    <s v="Pessoa Física"/>
    <s v="Fernando"/>
    <n v="3"/>
    <n v="11"/>
    <n v="41"/>
    <n v="451"/>
  </r>
  <r>
    <n v="5265"/>
    <x v="8"/>
    <x v="20"/>
    <x v="644"/>
    <d v="2018-05-13T23:00:00"/>
    <s v="Pessoa Física"/>
    <s v="Jane"/>
    <n v="2"/>
    <n v="12"/>
    <n v="62"/>
    <n v="744"/>
  </r>
  <r>
    <n v="5266"/>
    <x v="0"/>
    <x v="16"/>
    <x v="644"/>
    <d v="2018-05-13T23:00:00"/>
    <s v="Pessoa Jurídica"/>
    <s v="Henrique"/>
    <n v="3"/>
    <n v="12"/>
    <n v="47"/>
    <n v="564"/>
  </r>
  <r>
    <n v="5267"/>
    <x v="6"/>
    <x v="13"/>
    <x v="645"/>
    <d v="2018-05-14T18:00:00"/>
    <s v="Pessoa Física"/>
    <s v="Caio"/>
    <n v="5"/>
    <n v="11"/>
    <n v="53"/>
    <n v="583"/>
  </r>
  <r>
    <n v="5268"/>
    <x v="2"/>
    <x v="13"/>
    <x v="646"/>
    <d v="2018-05-08T18:00:00"/>
    <s v="Pessoa Física"/>
    <s v="Sérgio"/>
    <n v="2"/>
    <n v="11"/>
    <n v="53"/>
    <n v="583"/>
  </r>
  <r>
    <n v="5269"/>
    <x v="0"/>
    <x v="14"/>
    <x v="647"/>
    <d v="2018-05-16T12:00:00"/>
    <s v="Pessoa Física"/>
    <s v="Sandra"/>
    <n v="5"/>
    <n v="10"/>
    <n v="35"/>
    <n v="350"/>
  </r>
  <r>
    <n v="5270"/>
    <x v="7"/>
    <x v="13"/>
    <x v="648"/>
    <d v="2018-05-09T18:00:00"/>
    <s v="Pessoa Física"/>
    <s v="Paulo"/>
    <n v="5"/>
    <n v="9"/>
    <n v="53"/>
    <n v="477"/>
  </r>
  <r>
    <n v="5271"/>
    <x v="4"/>
    <x v="15"/>
    <x v="649"/>
    <d v="2018-05-17T23:00:00"/>
    <s v="Pessoa Física"/>
    <s v="Joaquim"/>
    <n v="3"/>
    <n v="8"/>
    <n v="62"/>
    <n v="496"/>
  </r>
  <r>
    <n v="5272"/>
    <x v="3"/>
    <x v="13"/>
    <x v="649"/>
    <d v="2018-05-17T23:00:00"/>
    <s v="Pessoa Jurídica"/>
    <s v="Rosana"/>
    <n v="3"/>
    <n v="8"/>
    <n v="53"/>
    <n v="424"/>
  </r>
  <r>
    <n v="5273"/>
    <x v="6"/>
    <x v="16"/>
    <x v="650"/>
    <d v="2018-05-20T23:00:00"/>
    <s v="Pessoa Física"/>
    <s v="Henrique"/>
    <n v="2"/>
    <n v="11"/>
    <n v="48"/>
    <n v="528"/>
  </r>
  <r>
    <n v="5274"/>
    <x v="7"/>
    <x v="17"/>
    <x v="651"/>
    <d v="2018-05-21T18:00:00"/>
    <s v="Pessoa Jurídica"/>
    <s v="Humberto"/>
    <n v="5"/>
    <n v="10"/>
    <n v="32"/>
    <n v="320"/>
  </r>
  <r>
    <n v="5275"/>
    <x v="5"/>
    <x v="15"/>
    <x v="652"/>
    <d v="2018-05-15T18:00:00"/>
    <s v="Pessoa Física"/>
    <s v="Joaquim"/>
    <n v="3"/>
    <n v="11"/>
    <n v="62"/>
    <n v="682"/>
  </r>
  <r>
    <n v="5276"/>
    <x v="6"/>
    <x v="18"/>
    <x v="653"/>
    <d v="2018-05-23T12:00:00"/>
    <s v="Pessoa Física"/>
    <s v="José"/>
    <n v="3"/>
    <n v="10"/>
    <n v="43"/>
    <n v="430"/>
  </r>
  <r>
    <n v="5277"/>
    <x v="2"/>
    <x v="19"/>
    <x v="654"/>
    <d v="2018-05-16T18:00:00"/>
    <s v="Pessoa Jurídica"/>
    <s v="Roberto"/>
    <n v="2"/>
    <n v="10"/>
    <n v="75"/>
    <n v="750"/>
  </r>
  <r>
    <n v="5278"/>
    <x v="6"/>
    <x v="13"/>
    <x v="655"/>
    <d v="2018-05-24T23:00:00"/>
    <s v="Pessoa Física"/>
    <s v="Jane"/>
    <n v="3"/>
    <n v="9"/>
    <n v="53"/>
    <n v="477"/>
  </r>
  <r>
    <n v="5279"/>
    <x v="3"/>
    <x v="20"/>
    <x v="655"/>
    <d v="2018-05-24T23:00:00"/>
    <s v="Pessoa Jurídica"/>
    <s v="Leandro"/>
    <n v="3"/>
    <n v="8"/>
    <n v="63"/>
    <n v="504"/>
  </r>
  <r>
    <n v="5280"/>
    <x v="0"/>
    <x v="16"/>
    <x v="656"/>
    <d v="2018-05-27T23:00:00"/>
    <s v="Pessoa Jurídica"/>
    <s v="Humberto"/>
    <n v="2"/>
    <n v="11"/>
    <n v="48"/>
    <n v="528"/>
  </r>
  <r>
    <n v="5281"/>
    <x v="0"/>
    <x v="17"/>
    <x v="657"/>
    <d v="2018-05-28T18:00:00"/>
    <s v="Pessoa Jurídica"/>
    <s v="Caio"/>
    <n v="3"/>
    <n v="10"/>
    <n v="32"/>
    <n v="320"/>
  </r>
  <r>
    <n v="5282"/>
    <x v="3"/>
    <x v="21"/>
    <x v="658"/>
    <d v="2018-05-22T18:00:00"/>
    <s v="Pessoa Jurídica"/>
    <s v="Leandro"/>
    <n v="3"/>
    <n v="9"/>
    <n v="52"/>
    <n v="468"/>
  </r>
  <r>
    <n v="5283"/>
    <x v="5"/>
    <x v="16"/>
    <x v="659"/>
    <d v="2018-05-30T12:00:00"/>
    <s v="Pessoa Física"/>
    <s v="Ana"/>
    <n v="4"/>
    <n v="10"/>
    <n v="48"/>
    <n v="480"/>
  </r>
  <r>
    <n v="5284"/>
    <x v="5"/>
    <x v="19"/>
    <x v="660"/>
    <d v="2018-05-23T18:00:00"/>
    <s v="Pessoa Jurídica"/>
    <s v="Caio"/>
    <n v="2"/>
    <n v="11"/>
    <n v="75"/>
    <n v="825"/>
  </r>
  <r>
    <n v="5285"/>
    <x v="4"/>
    <x v="19"/>
    <x v="661"/>
    <d v="2018-05-31T23:00:00"/>
    <s v="Pessoa Jurídica"/>
    <s v="Fernando"/>
    <n v="4"/>
    <n v="11"/>
    <n v="75"/>
    <n v="825"/>
  </r>
  <r>
    <n v="5286"/>
    <x v="8"/>
    <x v="22"/>
    <x v="661"/>
    <d v="2018-05-31T23:00:00"/>
    <s v="Pessoa Física"/>
    <s v="Manuel"/>
    <n v="4"/>
    <n v="12"/>
    <n v="48"/>
    <n v="576"/>
  </r>
  <r>
    <n v="5287"/>
    <x v="2"/>
    <x v="15"/>
    <x v="662"/>
    <d v="2018-06-03T23:00:00"/>
    <s v="Pessoa Física"/>
    <s v="Sandra"/>
    <n v="5"/>
    <n v="8"/>
    <n v="62"/>
    <n v="496"/>
  </r>
  <r>
    <n v="5288"/>
    <x v="7"/>
    <x v="23"/>
    <x v="663"/>
    <d v="2018-06-04T18:00:00"/>
    <s v="Pessoa Jurídica"/>
    <s v="Joaquim"/>
    <n v="3"/>
    <n v="10"/>
    <n v="48"/>
    <n v="480"/>
  </r>
  <r>
    <n v="5289"/>
    <x v="8"/>
    <x v="19"/>
    <x v="664"/>
    <d v="2018-05-29T18:00:00"/>
    <s v="Pessoa Jurídica"/>
    <s v="José"/>
    <n v="3"/>
    <n v="11"/>
    <n v="75"/>
    <n v="825"/>
  </r>
  <r>
    <n v="5290"/>
    <x v="6"/>
    <x v="17"/>
    <x v="665"/>
    <d v="2018-06-06T12:00:00"/>
    <s v="Pessoa Jurídica"/>
    <s v="Caio"/>
    <n v="4"/>
    <n v="8"/>
    <n v="32"/>
    <n v="256"/>
  </r>
  <r>
    <n v="5291"/>
    <x v="0"/>
    <x v="17"/>
    <x v="666"/>
    <d v="2018-05-30T18:00:00"/>
    <s v="Pessoa Jurídica"/>
    <s v="José"/>
    <n v="2"/>
    <n v="11"/>
    <n v="32"/>
    <n v="352"/>
  </r>
  <r>
    <n v="5292"/>
    <x v="6"/>
    <x v="19"/>
    <x v="667"/>
    <d v="2018-06-07T23:00:00"/>
    <s v="Pessoa Jurídica"/>
    <s v="Douglas"/>
    <n v="2"/>
    <n v="11"/>
    <n v="75"/>
    <n v="825"/>
  </r>
  <r>
    <n v="5293"/>
    <x v="2"/>
    <x v="21"/>
    <x v="667"/>
    <d v="2018-06-07T23:00:00"/>
    <s v="Pessoa Jurídica"/>
    <s v="Douglas"/>
    <n v="3"/>
    <n v="12"/>
    <n v="52"/>
    <n v="624"/>
  </r>
  <r>
    <n v="5294"/>
    <x v="6"/>
    <x v="23"/>
    <x v="668"/>
    <d v="2018-06-10T23:00:00"/>
    <s v="Pessoa Física"/>
    <s v="Caio"/>
    <n v="3"/>
    <n v="10"/>
    <n v="48"/>
    <n v="480"/>
  </r>
  <r>
    <n v="5295"/>
    <x v="3"/>
    <x v="17"/>
    <x v="669"/>
    <d v="2018-06-11T18:00:00"/>
    <s v="Pessoa Jurídica"/>
    <s v="Douglas"/>
    <n v="3"/>
    <n v="12"/>
    <n v="32"/>
    <n v="384"/>
  </r>
  <r>
    <n v="5296"/>
    <x v="6"/>
    <x v="19"/>
    <x v="670"/>
    <d v="2018-06-05T18:00:00"/>
    <s v="Pessoa Jurídica"/>
    <s v="Jane"/>
    <n v="3"/>
    <n v="10"/>
    <n v="75"/>
    <n v="750"/>
  </r>
  <r>
    <n v="5297"/>
    <x v="7"/>
    <x v="23"/>
    <x v="671"/>
    <d v="2018-06-13T12:00:00"/>
    <s v="Pessoa Jurídica"/>
    <s v="Ana"/>
    <n v="5"/>
    <n v="11"/>
    <n v="48"/>
    <n v="528"/>
  </r>
  <r>
    <n v="5298"/>
    <x v="4"/>
    <x v="17"/>
    <x v="672"/>
    <d v="2018-06-06T18:00:00"/>
    <s v="Pessoa Física"/>
    <s v="Joaquim"/>
    <n v="4"/>
    <n v="8"/>
    <n v="32"/>
    <n v="256"/>
  </r>
  <r>
    <n v="5299"/>
    <x v="1"/>
    <x v="13"/>
    <x v="673"/>
    <d v="2018-06-14T23:00:00"/>
    <s v="Pessoa Jurídica"/>
    <s v="Ana"/>
    <n v="3"/>
    <n v="9"/>
    <n v="53"/>
    <n v="477"/>
  </r>
  <r>
    <n v="5300"/>
    <x v="5"/>
    <x v="19"/>
    <x v="673"/>
    <d v="2018-06-14T23:00:00"/>
    <s v="Pessoa Jurídica"/>
    <s v="Ana"/>
    <n v="5"/>
    <n v="8"/>
    <n v="75"/>
    <n v="600"/>
  </r>
  <r>
    <n v="5301"/>
    <x v="5"/>
    <x v="15"/>
    <x v="674"/>
    <d v="2018-06-17T23:00:00"/>
    <s v="Pessoa Física"/>
    <s v="Humberto"/>
    <n v="5"/>
    <n v="10"/>
    <n v="62"/>
    <n v="620"/>
  </r>
  <r>
    <n v="5302"/>
    <x v="6"/>
    <x v="20"/>
    <x v="675"/>
    <d v="2018-06-18T18:00:00"/>
    <s v="Pessoa Física"/>
    <s v="Sandra"/>
    <n v="3"/>
    <n v="11"/>
    <n v="63"/>
    <n v="693"/>
  </r>
  <r>
    <n v="5303"/>
    <x v="1"/>
    <x v="18"/>
    <x v="676"/>
    <d v="2018-06-12T18:00:00"/>
    <s v="Pessoa Jurídica"/>
    <s v="Manuel"/>
    <n v="5"/>
    <n v="8"/>
    <n v="42"/>
    <n v="336"/>
  </r>
  <r>
    <n v="5304"/>
    <x v="6"/>
    <x v="15"/>
    <x v="677"/>
    <d v="2018-06-20T12:00:00"/>
    <s v="Pessoa Jurídica"/>
    <s v="Sandra"/>
    <n v="4"/>
    <n v="8"/>
    <n v="62"/>
    <n v="496"/>
  </r>
  <r>
    <n v="5305"/>
    <x v="2"/>
    <x v="18"/>
    <x v="678"/>
    <d v="2018-06-13T18:00:00"/>
    <s v="Pessoa Física"/>
    <s v="Sandra"/>
    <n v="2"/>
    <n v="9"/>
    <n v="43"/>
    <n v="387"/>
  </r>
  <r>
    <n v="5306"/>
    <x v="3"/>
    <x v="17"/>
    <x v="679"/>
    <d v="2018-06-21T23:00:00"/>
    <s v="Pessoa Jurídica"/>
    <s v="Caio"/>
    <n v="4"/>
    <n v="11"/>
    <n v="32"/>
    <n v="352"/>
  </r>
  <r>
    <n v="5307"/>
    <x v="5"/>
    <x v="14"/>
    <x v="679"/>
    <d v="2018-06-21T23:00:00"/>
    <s v="Pessoa Jurídica"/>
    <s v="José"/>
    <n v="5"/>
    <n v="11"/>
    <n v="35"/>
    <n v="385"/>
  </r>
  <r>
    <n v="5308"/>
    <x v="3"/>
    <x v="13"/>
    <x v="680"/>
    <d v="2018-06-24T23:00:00"/>
    <s v="Pessoa Física"/>
    <s v="Joaquim"/>
    <n v="3"/>
    <n v="12"/>
    <n v="53"/>
    <n v="636"/>
  </r>
  <r>
    <n v="5309"/>
    <x v="4"/>
    <x v="18"/>
    <x v="681"/>
    <d v="2018-06-25T18:00:00"/>
    <s v="Pessoa Física"/>
    <s v="Fernando"/>
    <n v="5"/>
    <n v="11"/>
    <n v="43"/>
    <n v="473"/>
  </r>
  <r>
    <n v="5310"/>
    <x v="3"/>
    <x v="24"/>
    <x v="682"/>
    <d v="2018-06-19T18:00:00"/>
    <s v="Pessoa Jurídica"/>
    <s v="Paulo"/>
    <n v="4"/>
    <n v="12"/>
    <n v="42"/>
    <n v="504"/>
  </r>
  <r>
    <n v="5311"/>
    <x v="7"/>
    <x v="24"/>
    <x v="683"/>
    <d v="2018-06-27T12:00:00"/>
    <s v="Pessoa Física"/>
    <s v="Fernando"/>
    <n v="5"/>
    <n v="12"/>
    <n v="42"/>
    <n v="504"/>
  </r>
  <r>
    <n v="5312"/>
    <x v="6"/>
    <x v="23"/>
    <x v="684"/>
    <d v="2018-06-20T18:00:00"/>
    <s v="Pessoa Física"/>
    <s v="Fernando"/>
    <n v="5"/>
    <n v="8"/>
    <n v="48"/>
    <n v="384"/>
  </r>
  <r>
    <n v="5313"/>
    <x v="7"/>
    <x v="16"/>
    <x v="685"/>
    <d v="2018-06-28T23:00:00"/>
    <s v="Pessoa Jurídica"/>
    <s v="Humberto"/>
    <n v="5"/>
    <n v="8"/>
    <n v="48"/>
    <n v="384"/>
  </r>
  <r>
    <n v="5314"/>
    <x v="5"/>
    <x v="13"/>
    <x v="685"/>
    <d v="2018-06-28T23:00:00"/>
    <s v="Pessoa Física"/>
    <s v="Paulo"/>
    <n v="4"/>
    <n v="9"/>
    <n v="53"/>
    <n v="477"/>
  </r>
  <r>
    <n v="5315"/>
    <x v="1"/>
    <x v="17"/>
    <x v="686"/>
    <d v="2018-07-01T23:00:00"/>
    <s v="Pessoa Jurídica"/>
    <s v="Sérgio"/>
    <n v="2"/>
    <n v="8"/>
    <n v="32"/>
    <n v="256"/>
  </r>
  <r>
    <n v="5316"/>
    <x v="1"/>
    <x v="17"/>
    <x v="687"/>
    <d v="2018-07-02T18:00:00"/>
    <s v="Pessoa Jurídica"/>
    <s v="Sandra"/>
    <n v="4"/>
    <n v="11"/>
    <n v="32"/>
    <n v="352"/>
  </r>
  <r>
    <n v="5317"/>
    <x v="6"/>
    <x v="14"/>
    <x v="688"/>
    <d v="2018-06-26T18:00:00"/>
    <s v="Pessoa Física"/>
    <s v="Paulo"/>
    <n v="2"/>
    <n v="12"/>
    <n v="35"/>
    <n v="420"/>
  </r>
  <r>
    <n v="5318"/>
    <x v="6"/>
    <x v="20"/>
    <x v="689"/>
    <d v="2018-07-04T12:00:00"/>
    <s v="Pessoa Física"/>
    <s v="Manuel"/>
    <n v="3"/>
    <n v="9"/>
    <n v="63"/>
    <n v="567"/>
  </r>
  <r>
    <n v="5319"/>
    <x v="3"/>
    <x v="20"/>
    <x v="690"/>
    <d v="2018-06-27T18:00:00"/>
    <s v="Pessoa Física"/>
    <s v="Caio"/>
    <n v="5"/>
    <n v="8"/>
    <n v="63"/>
    <n v="504"/>
  </r>
  <r>
    <n v="5320"/>
    <x v="1"/>
    <x v="14"/>
    <x v="691"/>
    <d v="2018-07-05T23:00:00"/>
    <s v="Pessoa Jurídica"/>
    <s v="Paulo"/>
    <n v="2"/>
    <n v="9"/>
    <n v="35"/>
    <n v="315"/>
  </r>
  <r>
    <n v="5321"/>
    <x v="8"/>
    <x v="24"/>
    <x v="691"/>
    <d v="2018-07-05T23:00:00"/>
    <s v="Pessoa Física"/>
    <s v="Fernando"/>
    <n v="3"/>
    <n v="12"/>
    <n v="42"/>
    <n v="504"/>
  </r>
  <r>
    <n v="5322"/>
    <x v="8"/>
    <x v="17"/>
    <x v="692"/>
    <d v="2018-07-08T23:00:00"/>
    <s v="Pessoa Jurídica"/>
    <s v="Joaquim"/>
    <n v="4"/>
    <n v="11"/>
    <n v="32"/>
    <n v="352"/>
  </r>
  <r>
    <n v="5323"/>
    <x v="8"/>
    <x v="13"/>
    <x v="693"/>
    <d v="2018-07-09T18:00:00"/>
    <s v="Pessoa Física"/>
    <s v="Humberto"/>
    <n v="3"/>
    <n v="12"/>
    <n v="53"/>
    <n v="636"/>
  </r>
  <r>
    <n v="5324"/>
    <x v="4"/>
    <x v="18"/>
    <x v="694"/>
    <d v="2018-07-03T18:00:00"/>
    <s v="Pessoa Jurídica"/>
    <s v="Caio"/>
    <n v="4"/>
    <n v="9"/>
    <n v="43"/>
    <n v="387"/>
  </r>
  <r>
    <n v="5325"/>
    <x v="0"/>
    <x v="22"/>
    <x v="695"/>
    <d v="2018-07-11T12:00:00"/>
    <s v="Pessoa Física"/>
    <s v="Fernando"/>
    <n v="2"/>
    <n v="12"/>
    <n v="48"/>
    <n v="576"/>
  </r>
  <r>
    <n v="5326"/>
    <x v="6"/>
    <x v="17"/>
    <x v="696"/>
    <d v="2018-07-04T18:00:00"/>
    <s v="Pessoa Física"/>
    <s v="Caio"/>
    <n v="5"/>
    <n v="12"/>
    <n v="32"/>
    <n v="384"/>
  </r>
  <r>
    <n v="5327"/>
    <x v="0"/>
    <x v="16"/>
    <x v="697"/>
    <d v="2018-07-12T23:00:00"/>
    <s v="Pessoa Jurídica"/>
    <s v="Sandra"/>
    <n v="5"/>
    <n v="8"/>
    <n v="48"/>
    <n v="384"/>
  </r>
  <r>
    <n v="5329"/>
    <x v="2"/>
    <x v="20"/>
    <x v="698"/>
    <d v="2018-07-15T23:00:00"/>
    <s v="Pessoa Física"/>
    <s v="Ana"/>
    <n v="3"/>
    <n v="8"/>
    <n v="63"/>
    <n v="504"/>
  </r>
  <r>
    <n v="5330"/>
    <x v="2"/>
    <x v="17"/>
    <x v="699"/>
    <d v="2018-07-16T18:00:00"/>
    <s v="Pessoa Jurídica"/>
    <s v="Roberto"/>
    <n v="3"/>
    <n v="10"/>
    <n v="32"/>
    <n v="320"/>
  </r>
  <r>
    <n v="5331"/>
    <x v="1"/>
    <x v="18"/>
    <x v="700"/>
    <d v="2018-07-10T18:00:00"/>
    <s v="Pessoa Física"/>
    <s v="Sandra"/>
    <n v="3"/>
    <n v="10"/>
    <n v="43"/>
    <n v="430"/>
  </r>
  <r>
    <n v="5332"/>
    <x v="6"/>
    <x v="17"/>
    <x v="701"/>
    <d v="2018-07-18T12:00:00"/>
    <s v="Pessoa Jurídica"/>
    <s v="Sandra"/>
    <n v="5"/>
    <n v="11"/>
    <n v="32"/>
    <n v="352"/>
  </r>
  <r>
    <n v="5333"/>
    <x v="2"/>
    <x v="17"/>
    <x v="702"/>
    <d v="2018-07-11T18:00:00"/>
    <s v="Pessoa Física"/>
    <s v="Roberto"/>
    <n v="3"/>
    <n v="8"/>
    <n v="32"/>
    <n v="256"/>
  </r>
  <r>
    <n v="5334"/>
    <x v="4"/>
    <x v="17"/>
    <x v="703"/>
    <d v="2018-07-19T23:00:00"/>
    <s v="Pessoa Jurídica"/>
    <s v="Douglas"/>
    <n v="5"/>
    <n v="9"/>
    <n v="32"/>
    <n v="288"/>
  </r>
  <r>
    <n v="5335"/>
    <x v="4"/>
    <x v="17"/>
    <x v="703"/>
    <d v="2018-07-19T23:00:00"/>
    <s v="Pessoa Jurídica"/>
    <s v="Paulo"/>
    <n v="5"/>
    <n v="10"/>
    <n v="32"/>
    <n v="320"/>
  </r>
  <r>
    <n v="5336"/>
    <x v="2"/>
    <x v="22"/>
    <x v="704"/>
    <d v="2018-07-22T23:00:00"/>
    <s v="Pessoa Jurídica"/>
    <s v="Jane"/>
    <n v="2"/>
    <n v="9"/>
    <n v="48"/>
    <n v="432"/>
  </r>
  <r>
    <n v="5337"/>
    <x v="0"/>
    <x v="22"/>
    <x v="705"/>
    <d v="2018-07-23T18:00:00"/>
    <s v="Pessoa Jurídica"/>
    <s v="Sandra"/>
    <n v="5"/>
    <n v="12"/>
    <n v="48"/>
    <n v="576"/>
  </r>
  <r>
    <n v="5338"/>
    <x v="0"/>
    <x v="22"/>
    <x v="706"/>
    <d v="2018-07-17T18:00:00"/>
    <s v="Pessoa Jurídica"/>
    <s v="Manuel"/>
    <n v="5"/>
    <n v="10"/>
    <n v="48"/>
    <n v="480"/>
  </r>
  <r>
    <n v="5339"/>
    <x v="8"/>
    <x v="14"/>
    <x v="707"/>
    <d v="2018-07-25T12:00:00"/>
    <s v="Pessoa Jurídica"/>
    <s v="Manuel"/>
    <n v="5"/>
    <n v="12"/>
    <n v="35"/>
    <n v="420"/>
  </r>
  <r>
    <n v="5340"/>
    <x v="0"/>
    <x v="19"/>
    <x v="708"/>
    <d v="2018-07-18T18:00:00"/>
    <s v="Pessoa Jurídica"/>
    <s v="Jane"/>
    <n v="2"/>
    <n v="11"/>
    <n v="75"/>
    <n v="825"/>
  </r>
  <r>
    <n v="5341"/>
    <x v="0"/>
    <x v="24"/>
    <x v="709"/>
    <d v="2018-07-26T23:00:00"/>
    <s v="Pessoa Física"/>
    <s v="Paulo"/>
    <n v="3"/>
    <n v="10"/>
    <n v="42"/>
    <n v="420"/>
  </r>
  <r>
    <n v="5342"/>
    <x v="5"/>
    <x v="17"/>
    <x v="709"/>
    <d v="2018-07-26T23:00:00"/>
    <s v="Pessoa Jurídica"/>
    <s v="Sandra"/>
    <n v="3"/>
    <n v="11"/>
    <n v="32"/>
    <n v="352"/>
  </r>
  <r>
    <n v="5343"/>
    <x v="6"/>
    <x v="16"/>
    <x v="710"/>
    <d v="2018-07-29T23:00:00"/>
    <s v="Pessoa Jurídica"/>
    <s v="Joaquim"/>
    <n v="4"/>
    <n v="8"/>
    <n v="48"/>
    <n v="384"/>
  </r>
  <r>
    <n v="5344"/>
    <x v="1"/>
    <x v="19"/>
    <x v="711"/>
    <d v="2018-07-30T18:00:00"/>
    <s v="Pessoa Jurídica"/>
    <s v="Sérgio"/>
    <n v="5"/>
    <n v="10"/>
    <n v="75"/>
    <n v="750"/>
  </r>
  <r>
    <n v="5345"/>
    <x v="8"/>
    <x v="25"/>
    <x v="712"/>
    <d v="2018-07-24T18:00:00"/>
    <s v="Pessoa Jurídica"/>
    <s v="Sandra"/>
    <n v="5"/>
    <n v="11"/>
    <n v="62"/>
    <n v="682"/>
  </r>
  <r>
    <n v="5346"/>
    <x v="7"/>
    <x v="14"/>
    <x v="713"/>
    <d v="2018-08-01T12:00:00"/>
    <s v="Pessoa Física"/>
    <s v="Fernando"/>
    <n v="4"/>
    <n v="9"/>
    <n v="35"/>
    <n v="315"/>
  </r>
  <r>
    <n v="5347"/>
    <x v="6"/>
    <x v="21"/>
    <x v="714"/>
    <d v="2018-07-25T18:00:00"/>
    <s v="Pessoa Jurídica"/>
    <s v="Jane"/>
    <n v="5"/>
    <n v="12"/>
    <n v="52"/>
    <n v="624"/>
  </r>
  <r>
    <n v="5348"/>
    <x v="1"/>
    <x v="22"/>
    <x v="715"/>
    <d v="2018-08-02T23:00:00"/>
    <s v="Pessoa Física"/>
    <s v="Fernando"/>
    <n v="3"/>
    <n v="8"/>
    <n v="48"/>
    <n v="384"/>
  </r>
  <r>
    <n v="5349"/>
    <x v="5"/>
    <x v="21"/>
    <x v="715"/>
    <d v="2018-08-02T23:00:00"/>
    <s v="Pessoa Jurídica"/>
    <s v="Sandra"/>
    <n v="5"/>
    <n v="12"/>
    <n v="52"/>
    <n v="624"/>
  </r>
  <r>
    <n v="5350"/>
    <x v="1"/>
    <x v="14"/>
    <x v="716"/>
    <d v="2018-08-05T23:00:00"/>
    <s v="Pessoa Física"/>
    <s v="José"/>
    <n v="5"/>
    <n v="8"/>
    <n v="35"/>
    <n v="280"/>
  </r>
  <r>
    <n v="5351"/>
    <x v="5"/>
    <x v="17"/>
    <x v="717"/>
    <d v="2018-08-06T18:00:00"/>
    <s v="Pessoa Jurídica"/>
    <s v="Fernando"/>
    <n v="4"/>
    <n v="10"/>
    <n v="32"/>
    <n v="320"/>
  </r>
  <r>
    <n v="5352"/>
    <x v="6"/>
    <x v="23"/>
    <x v="718"/>
    <d v="2018-07-31T18:00:00"/>
    <s v="Pessoa Física"/>
    <s v="Caio"/>
    <n v="3"/>
    <n v="12"/>
    <n v="48"/>
    <n v="576"/>
  </r>
  <r>
    <n v="5353"/>
    <x v="7"/>
    <x v="22"/>
    <x v="719"/>
    <d v="2018-08-08T12:00:00"/>
    <s v="Pessoa Física"/>
    <s v="Douglas"/>
    <n v="3"/>
    <n v="9"/>
    <n v="48"/>
    <n v="432"/>
  </r>
  <r>
    <n v="5354"/>
    <x v="5"/>
    <x v="23"/>
    <x v="720"/>
    <d v="2018-08-01T18:00:00"/>
    <s v="Pessoa Física"/>
    <s v="Caio"/>
    <n v="2"/>
    <n v="12"/>
    <n v="48"/>
    <n v="576"/>
  </r>
  <r>
    <n v="5355"/>
    <x v="2"/>
    <x v="24"/>
    <x v="721"/>
    <d v="2018-08-09T23:00:00"/>
    <s v="Pessoa Jurídica"/>
    <s v="Humberto"/>
    <n v="5"/>
    <n v="9"/>
    <n v="42"/>
    <n v="378"/>
  </r>
  <r>
    <n v="5356"/>
    <x v="0"/>
    <x v="24"/>
    <x v="721"/>
    <d v="2018-08-09T23:00:00"/>
    <s v="Pessoa Física"/>
    <s v="Jane"/>
    <n v="2"/>
    <n v="12"/>
    <n v="42"/>
    <n v="504"/>
  </r>
  <r>
    <n v="5357"/>
    <x v="6"/>
    <x v="20"/>
    <x v="722"/>
    <d v="2018-08-12T23:00:00"/>
    <s v="Pessoa Física"/>
    <s v="José"/>
    <n v="4"/>
    <n v="9"/>
    <n v="63"/>
    <n v="567"/>
  </r>
  <r>
    <n v="5358"/>
    <x v="8"/>
    <x v="16"/>
    <x v="723"/>
    <d v="2018-08-13T18:00:00"/>
    <s v="Pessoa Jurídica"/>
    <s v="Caio"/>
    <n v="2"/>
    <n v="9"/>
    <n v="48"/>
    <n v="432"/>
  </r>
  <r>
    <n v="5359"/>
    <x v="3"/>
    <x v="18"/>
    <x v="724"/>
    <d v="2018-08-07T18:00:00"/>
    <s v="Pessoa Jurídica"/>
    <s v="Ana"/>
    <m/>
    <n v="9"/>
    <n v="43"/>
    <n v="387"/>
  </r>
  <r>
    <n v="5360"/>
    <x v="5"/>
    <x v="17"/>
    <x v="725"/>
    <d v="2018-08-15T12:00:00"/>
    <s v="Pessoa Jurídica"/>
    <s v="Roberto"/>
    <n v="2"/>
    <n v="8"/>
    <n v="32"/>
    <n v="256"/>
  </r>
  <r>
    <n v="5361"/>
    <x v="6"/>
    <x v="21"/>
    <x v="726"/>
    <d v="2018-08-08T18:00:00"/>
    <s v="Pessoa Jurídica"/>
    <s v="Manuel"/>
    <n v="2"/>
    <n v="11"/>
    <n v="52"/>
    <n v="572"/>
  </r>
  <r>
    <n v="5362"/>
    <x v="4"/>
    <x v="17"/>
    <x v="727"/>
    <d v="2018-08-16T23:00:00"/>
    <s v="Pessoa Física"/>
    <s v="Henrique"/>
    <n v="3"/>
    <n v="12"/>
    <n v="32"/>
    <n v="384"/>
  </r>
  <r>
    <n v="5363"/>
    <x v="1"/>
    <x v="14"/>
    <x v="727"/>
    <d v="2018-08-16T23:00:00"/>
    <s v="Pessoa Física"/>
    <s v="Sandra"/>
    <n v="5"/>
    <n v="12"/>
    <n v="35"/>
    <n v="420"/>
  </r>
  <r>
    <n v="5364"/>
    <x v="4"/>
    <x v="17"/>
    <x v="728"/>
    <d v="2018-08-19T23:00:00"/>
    <s v="Pessoa Jurídica"/>
    <s v="Henrique"/>
    <n v="5"/>
    <n v="12"/>
    <n v="32"/>
    <n v="384"/>
  </r>
  <r>
    <n v="5365"/>
    <x v="6"/>
    <x v="25"/>
    <x v="729"/>
    <d v="2018-08-20T18:00:00"/>
    <s v="Pessoa Jurídica"/>
    <s v="Sandra"/>
    <n v="4"/>
    <n v="8"/>
    <n v="62"/>
    <n v="496"/>
  </r>
  <r>
    <n v="5366"/>
    <x v="7"/>
    <x v="18"/>
    <x v="730"/>
    <d v="2018-08-14T18:00:00"/>
    <s v="Pessoa Jurídica"/>
    <s v="Jane"/>
    <n v="2"/>
    <n v="9"/>
    <n v="43"/>
    <n v="387"/>
  </r>
  <r>
    <n v="5367"/>
    <x v="3"/>
    <x v="24"/>
    <x v="731"/>
    <d v="2018-08-22T12:00:00"/>
    <s v="Pessoa Física"/>
    <s v="Caio"/>
    <n v="5"/>
    <n v="8"/>
    <n v="42"/>
    <n v="336"/>
  </r>
  <r>
    <n v="5368"/>
    <x v="5"/>
    <x v="22"/>
    <x v="732"/>
    <d v="2018-08-15T18:00:00"/>
    <s v="Pessoa Física"/>
    <s v="Jane"/>
    <n v="3"/>
    <n v="9"/>
    <n v="48"/>
    <n v="432"/>
  </r>
  <r>
    <n v="5369"/>
    <x v="2"/>
    <x v="24"/>
    <x v="733"/>
    <d v="2018-08-23T23:00:00"/>
    <s v="Pessoa Física"/>
    <s v="Sandra"/>
    <n v="2"/>
    <n v="11"/>
    <n v="42"/>
    <n v="462"/>
  </r>
  <r>
    <n v="5370"/>
    <x v="5"/>
    <x v="14"/>
    <x v="733"/>
    <d v="2018-08-23T23:00:00"/>
    <s v="Pessoa Física"/>
    <s v="Humberto"/>
    <n v="2"/>
    <n v="11"/>
    <n v="35"/>
    <n v="385"/>
  </r>
  <r>
    <n v="5371"/>
    <x v="8"/>
    <x v="13"/>
    <x v="734"/>
    <d v="2018-08-26T23:00:00"/>
    <s v="Pessoa Física"/>
    <s v="José"/>
    <n v="3"/>
    <n v="8"/>
    <n v="53"/>
    <n v="424"/>
  </r>
  <r>
    <n v="5372"/>
    <x v="7"/>
    <x v="16"/>
    <x v="735"/>
    <d v="2018-08-27T18:00:00"/>
    <s v="Pessoa Jurídica"/>
    <s v="Joaquim"/>
    <n v="3"/>
    <n v="9"/>
    <n v="48"/>
    <n v="432"/>
  </r>
  <r>
    <n v="5373"/>
    <x v="7"/>
    <x v="15"/>
    <x v="736"/>
    <d v="2018-08-21T18:00:00"/>
    <s v="Pessoa Física"/>
    <s v="Leandro"/>
    <n v="2"/>
    <n v="10"/>
    <n v="62"/>
    <n v="620"/>
  </r>
  <r>
    <n v="5374"/>
    <x v="0"/>
    <x v="17"/>
    <x v="737"/>
    <d v="2018-08-29T12:00:00"/>
    <s v="Pessoa Jurídica"/>
    <s v="Leandro"/>
    <n v="5"/>
    <n v="10"/>
    <n v="32"/>
    <n v="320"/>
  </r>
  <r>
    <n v="5375"/>
    <x v="4"/>
    <x v="20"/>
    <x v="738"/>
    <d v="2018-08-22T18:00:00"/>
    <s v="Pessoa Física"/>
    <s v="Fernando"/>
    <n v="3"/>
    <n v="8"/>
    <n v="63"/>
    <n v="504"/>
  </r>
  <r>
    <n v="5376"/>
    <x v="0"/>
    <x v="18"/>
    <x v="739"/>
    <d v="2018-08-30T23:00:00"/>
    <s v="Pessoa Jurídica"/>
    <s v="Caio"/>
    <n v="2"/>
    <n v="8"/>
    <n v="43"/>
    <n v="344"/>
  </r>
  <r>
    <n v="5377"/>
    <x v="4"/>
    <x v="16"/>
    <x v="739"/>
    <d v="2018-08-30T23:00:00"/>
    <s v="Pessoa Jurídica"/>
    <s v="Roberto"/>
    <n v="3"/>
    <n v="10"/>
    <n v="48"/>
    <n v="480"/>
  </r>
  <r>
    <n v="5378"/>
    <x v="5"/>
    <x v="25"/>
    <x v="740"/>
    <d v="2018-09-02T23:00:00"/>
    <s v="Pessoa Jurídica"/>
    <s v="Paulo"/>
    <n v="4"/>
    <n v="9"/>
    <n v="62"/>
    <n v="558"/>
  </r>
  <r>
    <n v="5379"/>
    <x v="3"/>
    <x v="21"/>
    <x v="741"/>
    <d v="2018-09-03T18:00:00"/>
    <s v="Pessoa Jurídica"/>
    <s v="Sérgio"/>
    <n v="5"/>
    <n v="11"/>
    <n v="52"/>
    <n v="572"/>
  </r>
  <r>
    <n v="5380"/>
    <x v="0"/>
    <x v="16"/>
    <x v="742"/>
    <d v="2018-08-28T18:00:00"/>
    <s v="Pessoa Jurídica"/>
    <s v="Ana"/>
    <n v="2"/>
    <n v="8"/>
    <n v="48"/>
    <n v="384"/>
  </r>
  <r>
    <n v="5381"/>
    <x v="0"/>
    <x v="17"/>
    <x v="743"/>
    <d v="2018-09-05T12:00:00"/>
    <s v="Pessoa Física"/>
    <s v="Paulo"/>
    <n v="5"/>
    <n v="9"/>
    <n v="32"/>
    <n v="288"/>
  </r>
  <r>
    <n v="5382"/>
    <x v="0"/>
    <x v="22"/>
    <x v="744"/>
    <d v="2018-08-29T18:00:00"/>
    <s v="Pessoa Jurídica"/>
    <s v="Fernando"/>
    <n v="5"/>
    <n v="9"/>
    <n v="48"/>
    <n v="432"/>
  </r>
  <r>
    <n v="5383"/>
    <x v="7"/>
    <x v="21"/>
    <x v="745"/>
    <d v="2018-09-06T23:00:00"/>
    <s v="Pessoa Jurídica"/>
    <s v="Paulo"/>
    <n v="5"/>
    <n v="11"/>
    <n v="52"/>
    <n v="572"/>
  </r>
  <r>
    <n v="5384"/>
    <x v="7"/>
    <x v="24"/>
    <x v="745"/>
    <d v="2018-09-06T23:00:00"/>
    <s v="Pessoa Jurídica"/>
    <s v="Caio"/>
    <n v="4"/>
    <n v="12"/>
    <n v="42"/>
    <n v="504"/>
  </r>
  <r>
    <n v="5385"/>
    <x v="0"/>
    <x v="15"/>
    <x v="746"/>
    <d v="2018-09-09T23:00:00"/>
    <s v="Pessoa Física"/>
    <s v="Sandra"/>
    <n v="4"/>
    <n v="10"/>
    <n v="62"/>
    <n v="620"/>
  </r>
  <r>
    <n v="5386"/>
    <x v="3"/>
    <x v="18"/>
    <x v="747"/>
    <d v="2018-09-10T18:00:00"/>
    <s v="Pessoa Física"/>
    <s v="Sandra"/>
    <n v="5"/>
    <n v="10"/>
    <n v="43"/>
    <n v="430"/>
  </r>
  <r>
    <n v="5387"/>
    <x v="4"/>
    <x v="16"/>
    <x v="748"/>
    <d v="2018-09-04T18:00:00"/>
    <s v="Pessoa Física"/>
    <s v="Fernando"/>
    <n v="4"/>
    <n v="12"/>
    <n v="48"/>
    <n v="576"/>
  </r>
  <r>
    <n v="5388"/>
    <x v="3"/>
    <x v="17"/>
    <x v="749"/>
    <d v="2018-09-12T12:00:00"/>
    <s v="Pessoa Jurídica"/>
    <s v="José"/>
    <n v="4"/>
    <n v="10"/>
    <n v="32"/>
    <n v="320"/>
  </r>
  <r>
    <n v="5389"/>
    <x v="8"/>
    <x v="14"/>
    <x v="750"/>
    <d v="2018-09-05T18:00:00"/>
    <s v="Pessoa Física"/>
    <s v="Fernando"/>
    <n v="2"/>
    <n v="11"/>
    <n v="35"/>
    <n v="385"/>
  </r>
  <r>
    <n v="5390"/>
    <x v="6"/>
    <x v="15"/>
    <x v="751"/>
    <d v="2018-09-13T23:00:00"/>
    <s v="Pessoa Física"/>
    <s v="Sandra"/>
    <n v="5"/>
    <n v="9"/>
    <n v="62"/>
    <n v="558"/>
  </r>
  <r>
    <n v="5391"/>
    <x v="1"/>
    <x v="13"/>
    <x v="751"/>
    <d v="2018-09-13T23:00:00"/>
    <s v="Pessoa Jurídica"/>
    <s v="Caio"/>
    <n v="4"/>
    <n v="10"/>
    <n v="53"/>
    <n v="530"/>
  </r>
  <r>
    <n v="5392"/>
    <x v="2"/>
    <x v="16"/>
    <x v="752"/>
    <d v="2018-09-16T23:00:00"/>
    <s v="Pessoa Jurídica"/>
    <s v="Caio"/>
    <n v="5"/>
    <n v="10"/>
    <n v="48"/>
    <n v="480"/>
  </r>
  <r>
    <n v="5393"/>
    <x v="1"/>
    <x v="22"/>
    <x v="753"/>
    <d v="2018-09-17T18:00:00"/>
    <s v="Pessoa Física"/>
    <s v="Rosana"/>
    <n v="2"/>
    <n v="9"/>
    <n v="48"/>
    <n v="432"/>
  </r>
  <r>
    <n v="5394"/>
    <x v="3"/>
    <x v="22"/>
    <x v="754"/>
    <d v="2018-09-11T18:00:00"/>
    <s v="Pessoa Física"/>
    <s v="Paulo"/>
    <n v="2"/>
    <n v="11"/>
    <n v="48"/>
    <n v="528"/>
  </r>
  <r>
    <n v="5395"/>
    <x v="1"/>
    <x v="17"/>
    <x v="755"/>
    <d v="2018-09-19T12:00:00"/>
    <s v="Pessoa Jurídica"/>
    <s v="Paulo"/>
    <n v="2"/>
    <n v="8"/>
    <n v="32"/>
    <n v="256"/>
  </r>
  <r>
    <n v="5396"/>
    <x v="2"/>
    <x v="23"/>
    <x v="756"/>
    <d v="2018-09-12T18:00:00"/>
    <s v="Pessoa Jurídica"/>
    <s v="Joaquim"/>
    <n v="4"/>
    <n v="9"/>
    <n v="48"/>
    <n v="432"/>
  </r>
  <r>
    <n v="5397"/>
    <x v="7"/>
    <x v="18"/>
    <x v="757"/>
    <d v="2018-09-20T23:00:00"/>
    <s v="Pessoa Física"/>
    <s v="Roberto"/>
    <n v="4"/>
    <n v="11"/>
    <n v="43"/>
    <n v="473"/>
  </r>
  <r>
    <n v="5398"/>
    <x v="7"/>
    <x v="19"/>
    <x v="757"/>
    <d v="2018-09-20T23:00:00"/>
    <s v="Pessoa Jurídica"/>
    <s v="Roberto"/>
    <n v="2"/>
    <n v="9"/>
    <n v="75"/>
    <n v="675"/>
  </r>
  <r>
    <n v="5399"/>
    <x v="4"/>
    <x v="22"/>
    <x v="758"/>
    <d v="2018-09-23T23:00:00"/>
    <s v="Pessoa Jurídica"/>
    <s v="Sandra"/>
    <n v="5"/>
    <n v="10"/>
    <n v="48"/>
    <n v="480"/>
  </r>
  <r>
    <n v="5400"/>
    <x v="0"/>
    <x v="15"/>
    <x v="759"/>
    <d v="2018-09-24T18:00:00"/>
    <s v="Pessoa Física"/>
    <s v="Sandra"/>
    <n v="2"/>
    <n v="9"/>
    <n v="62"/>
    <n v="558"/>
  </r>
  <r>
    <n v="5401"/>
    <x v="1"/>
    <x v="22"/>
    <x v="760"/>
    <d v="2018-09-18T18:00:00"/>
    <s v="Pessoa Jurídica"/>
    <s v="Paulo"/>
    <n v="2"/>
    <n v="10"/>
    <n v="48"/>
    <n v="480"/>
  </r>
  <r>
    <n v="5402"/>
    <x v="2"/>
    <x v="14"/>
    <x v="761"/>
    <d v="2018-09-26T12:00:00"/>
    <s v="Pessoa Física"/>
    <s v="Fernando"/>
    <n v="4"/>
    <n v="12"/>
    <n v="35"/>
    <n v="420"/>
  </r>
  <r>
    <n v="5403"/>
    <x v="1"/>
    <x v="23"/>
    <x v="762"/>
    <d v="2018-09-19T18:00:00"/>
    <s v="Pessoa Jurídica"/>
    <s v="Sandra"/>
    <n v="5"/>
    <n v="11"/>
    <n v="48"/>
    <n v="528"/>
  </r>
  <r>
    <n v="5404"/>
    <x v="1"/>
    <x v="14"/>
    <x v="763"/>
    <d v="2018-09-27T23:00:00"/>
    <s v="Pessoa Física"/>
    <s v="Paulo"/>
    <n v="5"/>
    <n v="9"/>
    <n v="35"/>
    <n v="315"/>
  </r>
  <r>
    <n v="5405"/>
    <x v="7"/>
    <x v="16"/>
    <x v="763"/>
    <d v="2018-09-27T23:00:00"/>
    <s v="Pessoa Jurídica"/>
    <s v="Sandra"/>
    <n v="4"/>
    <n v="9"/>
    <n v="48"/>
    <n v="432"/>
  </r>
  <r>
    <n v="5406"/>
    <x v="8"/>
    <x v="19"/>
    <x v="764"/>
    <d v="2018-09-30T23:00:00"/>
    <s v="Pessoa Física"/>
    <s v="Caio"/>
    <n v="3"/>
    <n v="8"/>
    <n v="75"/>
    <n v="600"/>
  </r>
  <r>
    <n v="5407"/>
    <x v="3"/>
    <x v="19"/>
    <x v="765"/>
    <d v="2018-10-01T18:00:00"/>
    <s v="Pessoa Jurídica"/>
    <s v="Sandra"/>
    <n v="2"/>
    <n v="8"/>
    <n v="75"/>
    <n v="600"/>
  </r>
  <r>
    <n v="5408"/>
    <x v="1"/>
    <x v="17"/>
    <x v="766"/>
    <d v="2018-09-25T18:00:00"/>
    <s v="Pessoa Física"/>
    <s v="Sandra"/>
    <n v="2"/>
    <n v="8"/>
    <n v="32"/>
    <n v="256"/>
  </r>
  <r>
    <n v="5409"/>
    <x v="2"/>
    <x v="22"/>
    <x v="767"/>
    <d v="2018-10-03T12:00:00"/>
    <s v="Pessoa Jurídica"/>
    <s v="Sérgio"/>
    <n v="4"/>
    <n v="12"/>
    <n v="48"/>
    <n v="576"/>
  </r>
  <r>
    <n v="5410"/>
    <x v="5"/>
    <x v="15"/>
    <x v="768"/>
    <d v="2018-09-26T18:00:00"/>
    <s v="Pessoa Física"/>
    <s v="Douglas"/>
    <n v="5"/>
    <n v="11"/>
    <n v="62"/>
    <n v="682"/>
  </r>
  <r>
    <n v="5411"/>
    <x v="3"/>
    <x v="25"/>
    <x v="769"/>
    <d v="2018-10-04T23:00:00"/>
    <s v="Pessoa Jurídica"/>
    <s v="Caio"/>
    <n v="2"/>
    <n v="10"/>
    <n v="62"/>
    <n v="620"/>
  </r>
  <r>
    <n v="5412"/>
    <x v="2"/>
    <x v="16"/>
    <x v="769"/>
    <d v="2018-10-04T23:00:00"/>
    <s v="Pessoa Jurídica"/>
    <s v="Humberto"/>
    <n v="5"/>
    <n v="8"/>
    <n v="48"/>
    <n v="384"/>
  </r>
  <r>
    <n v="5413"/>
    <x v="8"/>
    <x v="25"/>
    <x v="770"/>
    <d v="2018-10-07T23:00:00"/>
    <s v="Pessoa Jurídica"/>
    <s v="Paulo"/>
    <n v="5"/>
    <n v="10"/>
    <n v="62"/>
    <n v="620"/>
  </r>
  <r>
    <n v="5414"/>
    <x v="8"/>
    <x v="20"/>
    <x v="771"/>
    <d v="2018-10-08T18:00:00"/>
    <s v="Pessoa Física"/>
    <s v="Caio"/>
    <n v="5"/>
    <n v="8"/>
    <n v="63"/>
    <n v="504"/>
  </r>
  <r>
    <n v="5415"/>
    <x v="4"/>
    <x v="15"/>
    <x v="772"/>
    <d v="2018-10-02T18:00:00"/>
    <s v="Pessoa Física"/>
    <s v="Manuel"/>
    <n v="3"/>
    <n v="12"/>
    <n v="62"/>
    <n v="744"/>
  </r>
  <r>
    <n v="5416"/>
    <x v="2"/>
    <x v="16"/>
    <x v="773"/>
    <d v="2018-10-10T12:00:00"/>
    <s v="Pessoa Física"/>
    <s v="Henrique"/>
    <n v="5"/>
    <n v="10"/>
    <n v="48"/>
    <n v="480"/>
  </r>
  <r>
    <n v="5417"/>
    <x v="4"/>
    <x v="13"/>
    <x v="774"/>
    <d v="2018-10-03T18:00:00"/>
    <s v="Pessoa Física"/>
    <s v="Jane"/>
    <n v="4"/>
    <n v="11"/>
    <n v="53"/>
    <n v="583"/>
  </r>
  <r>
    <n v="5418"/>
    <x v="2"/>
    <x v="13"/>
    <x v="775"/>
    <d v="2018-10-11T23:00:00"/>
    <s v="Pessoa Física"/>
    <s v="Jane"/>
    <n v="5"/>
    <n v="8"/>
    <n v="53"/>
    <n v="424"/>
  </r>
  <r>
    <n v="5419"/>
    <x v="8"/>
    <x v="16"/>
    <x v="775"/>
    <d v="2018-10-11T23:00:00"/>
    <s v="Pessoa Física"/>
    <s v="Joaquim"/>
    <n v="3"/>
    <n v="8"/>
    <n v="48"/>
    <n v="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ela dinâmica11" cacheId="0" applyNumberFormats="0" applyBorderFormats="0" applyFontFormats="0" applyPatternFormats="0" applyAlignmentFormats="0" applyWidthHeightFormats="1" dataCaption="Valores" showError="1" updatedVersion="6" minRefreshableVersion="3" fieldPrintTitles="1" itemPrintTitles="1" createdVersion="6" indent="0" outline="1" outlineData="1" multipleFieldFilters="0" rowHeaderCaption="Gerentes" fieldListSortAscending="1">
  <location ref="G13:H17" firstHeaderRow="1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showAll="0">
      <items count="15">
        <item h="1" x="0"/>
        <item h="1" sd="0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axis="axisRow" showAll="0">
      <items count="4">
        <item n="Silvane" x="1"/>
        <item n="Wellington" x="2"/>
        <item n="Barbara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" fld="10" showDataAs="percentOfTotal" baseField="0" baseItem="0" numFmtId="10"/>
  </dataFields>
  <formats count="4"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Tabela dinâmica17" cacheId="0" applyNumberFormats="0" applyBorderFormats="0" applyFontFormats="0" applyPatternFormats="0" applyAlignmentFormats="0" applyWidthHeightFormats="1" dataCaption="Valores" showError="1" updatedVersion="7" minRefreshableVersion="3" rowGrandTotals="0" colGrandTotals="0" fieldPrintTitles="1" itemPrintTitles="1" createdVersion="6" indent="0" outline="1" outlineData="1" multipleFieldFilters="0" chartFormat="3" rowHeaderCaption="Meses" colHeaderCaption="Anos" fieldListSortAscending="1">
  <location ref="F37:H73" firstHeaderRow="0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axis="axisRow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showAll="0">
      <items count="4">
        <item n="Silvane" x="1"/>
        <item n="Wellington" h="1" x="2"/>
        <item n="Barbara" h="1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3"/>
    <field x="11"/>
  </rowFields>
  <rowItems count="3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</rowItems>
  <colFields count="1">
    <field x="-2"/>
  </colFields>
  <colItems count="2">
    <i>
      <x/>
    </i>
    <i i="1">
      <x v="1"/>
    </i>
  </colItems>
  <dataFields count="2">
    <dataField name="Vendas R$" fld="10" baseField="0" baseItem="0"/>
    <dataField name="YoY %" fld="10" showDataAs="percentDiff" baseField="13" baseItem="1048828" numFmtId="10"/>
  </dataFields>
  <formats count="4">
    <format dxfId="51">
      <pivotArea outline="0" collapsedLevelsAreSubtotals="1" fieldPosition="0"/>
    </format>
    <format dxfId="50">
      <pivotArea outline="0" collapsedLevelsAreSubtotals="1" fieldPosition="0"/>
    </format>
    <format dxfId="49">
      <pivotArea outline="0" collapsedLevelsAreSubtotals="1" fieldPosition="0"/>
    </format>
    <format dxfId="48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ela dinâmica15" cacheId="0" applyNumberFormats="0" applyBorderFormats="0" applyFontFormats="0" applyPatternFormats="0" applyAlignmentFormats="0" applyWidthHeightFormats="1" dataCaption="Valores" showError="1" updatedVersion="7" minRefreshableVersion="3" fieldPrintTitles="1" itemPrintTitles="1" createdVersion="6" indent="0" outline="1" outlineData="1" multipleFieldFilters="0" rowHeaderCaption="Gerentes" fieldListSortAscending="1">
  <location ref="J21:K34" firstHeaderRow="1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axis="axisRow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showAll="0">
      <items count="4">
        <item n="Silvane" x="1"/>
        <item n="Wellington" h="1" x="2"/>
        <item n="Barbara" h="1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Total" fld="10" subtotal="count" showDataAs="percentOfTotal" baseField="0" baseItem="0" numFmtId="10"/>
  </dataFields>
  <formats count="5"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  <format dxfId="5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A000000}" name="Tabela dinâmica4" cacheId="0" applyNumberFormats="0" applyBorderFormats="0" applyFontFormats="0" applyPatternFormats="0" applyAlignmentFormats="0" applyWidthHeightFormats="1" dataCaption="Valores" showError="1" updatedVersion="7" minRefreshableVersion="3" fieldPrintTitles="1" itemPrintTitles="1" createdVersion="6" indent="0" outline="1" outlineData="1" multipleFieldFilters="0" rowHeaderCaption="Gerentes" fieldListSortAscending="1">
  <location ref="D6:E8" firstHeaderRow="1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showAll="0">
      <items count="15">
        <item h="1" x="0"/>
        <item h="1" sd="0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axis="axisRow" showAll="0">
      <items count="4">
        <item n="Silvane" x="1"/>
        <item n="Wellington" h="1" x="2"/>
        <item n="Barbara" h="1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2">
    <i>
      <x/>
    </i>
    <i t="grand">
      <x/>
    </i>
  </rowItems>
  <colItems count="1">
    <i/>
  </colItems>
  <dataFields count="1">
    <dataField name="Contagem de Total" fld="10" subtotal="count" baseField="0" baseItem="0"/>
  </dataFields>
  <formats count="4">
    <format dxfId="60">
      <pivotArea outline="0" collapsedLevelsAreSubtotals="1" fieldPosition="0"/>
    </format>
    <format dxfId="59">
      <pivotArea outline="0" collapsedLevelsAreSubtotals="1" fieldPosition="0"/>
    </format>
    <format dxfId="58">
      <pivotArea outline="0" collapsedLevelsAreSubtotals="1" fieldPosition="0"/>
    </format>
    <format dxfId="57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Tabela dinâmica3" cacheId="0" applyNumberFormats="0" applyBorderFormats="0" applyFontFormats="0" applyPatternFormats="0" applyAlignmentFormats="0" applyWidthHeightFormats="1" dataCaption="Valores" showError="1" updatedVersion="7" minRefreshableVersion="3" fieldPrintTitles="1" itemPrintTitles="1" createdVersion="6" indent="0" outline="1" outlineData="1" multipleFieldFilters="0" rowHeaderCaption="Gerentes" fieldListSortAscending="1">
  <location ref="A6:B8" firstHeaderRow="1" firstDataRow="1" firstDataCol="1" rowPageCount="2" colPageCount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axis="axisPage" multipleItemSelectionAllowed="1" showAll="0">
      <items count="15">
        <item h="1" x="0"/>
        <item h="1" sd="0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axis="axisRow" multipleItemSelectionAllowed="1" showAll="0">
      <items count="4">
        <item n="Silvane" x="1"/>
        <item n="Wellington" h="1" x="2"/>
        <item n="Barbara" h="1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2">
    <i>
      <x/>
    </i>
    <i t="grand">
      <x/>
    </i>
  </rowItems>
  <colItems count="1">
    <i/>
  </colItems>
  <pageFields count="2">
    <pageField fld="13" hier="-1"/>
    <pageField fld="11" hier="-1"/>
  </pageFields>
  <dataFields count="1">
    <dataField name="Soma de Total" fld="10" baseField="0" baseItem="0" numFmtId="6"/>
  </dataFields>
  <formats count="3"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showError="1" updatedVersion="6" minRefreshableVersion="3" fieldPrintTitles="1" itemPrintTitles="1" createdVersion="6" indent="0" outline="1" outlineData="1" multipleFieldFilters="0" chartFormat="5" rowHeaderCaption="Gerentes" fieldListSortAscending="1">
  <location ref="A13:B17" firstHeaderRow="1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showAll="0">
      <items count="15">
        <item h="1" x="0"/>
        <item h="1" sd="0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axis="axisRow" showAll="0" sortType="descending">
      <items count="4">
        <item n="Silvane" x="1"/>
        <item n="Wellington" x="2"/>
        <item n="Barbara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Vendas R$" fld="10" baseField="0" baseItem="0" numFmtId="6"/>
  </dataFields>
  <formats count="3">
    <format dxfId="66">
      <pivotArea outline="0" collapsedLevelsAreSubtotals="1" fieldPosition="0"/>
    </format>
    <format dxfId="65">
      <pivotArea outline="0" collapsedLevelsAreSubtotals="1" fieldPosition="0"/>
    </format>
    <format dxfId="64">
      <pivotArea outline="0" collapsedLevelsAreSubtotals="1" fieldPosition="0"/>
    </format>
  </format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Tabela dinâmica18" cacheId="0" applyNumberFormats="0" applyBorderFormats="0" applyFontFormats="0" applyPatternFormats="0" applyAlignmentFormats="0" applyWidthHeightFormats="1" dataCaption="Valores" showError="1" updatedVersion="7" minRefreshableVersion="3" rowGrandTotals="0" fieldPrintTitles="1" itemPrintTitles="1" createdVersion="6" indent="0" outline="1" outlineData="1" multipleFieldFilters="0" chartFormat="6" rowHeaderCaption="Meses" fieldListSortAscending="1">
  <location ref="A55:C67" firstHeaderRow="0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axis="axisRow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multipleItemSelectionAllowed="1" showAll="0">
      <items count="4">
        <item n="Silvane" x="1"/>
        <item n="Wellington" h="1" x="2"/>
        <item n="Barbara" h="1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Vendas R$" fld="10" baseField="0" baseItem="0" numFmtId="6"/>
    <dataField name="MoM %" fld="10" showDataAs="percentDiff" baseField="11" baseItem="1048828" numFmtId="10"/>
  </dataFields>
  <formats count="4"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Tabela dinâmica16" cacheId="0" applyNumberFormats="0" applyBorderFormats="0" applyFontFormats="0" applyPatternFormats="0" applyAlignmentFormats="0" applyWidthHeightFormats="1" dataCaption="Valores" showError="1" updatedVersion="7" minRefreshableVersion="3" rowGrandTotals="0" colGrandTotals="0" fieldPrintTitles="1" itemPrintTitles="1" createdVersion="6" indent="0" outline="1" outlineData="1" multipleFieldFilters="0" rowHeaderCaption="Meses" colHeaderCaption="Anos" fieldListSortAscending="1">
  <location ref="A37:D50" firstHeaderRow="1" firstDataRow="2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axis="axisRow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showAll="0">
      <items count="4">
        <item n="Silvane" x="1"/>
        <item n="Wellington" h="1" x="2"/>
        <item n="Barbara" h="1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3"/>
  </colFields>
  <colItems count="3">
    <i>
      <x v="1"/>
    </i>
    <i>
      <x v="2"/>
    </i>
    <i>
      <x v="3"/>
    </i>
  </colItems>
  <dataFields count="1">
    <dataField name="MoM %" fld="10" showDataAs="percentDiff" baseField="11" baseItem="1048828" numFmtId="10"/>
  </dataFields>
  <formats count="4">
    <format dxfId="74">
      <pivotArea outline="0" collapsedLevelsAreSubtotals="1" fieldPosition="0"/>
    </format>
    <format dxfId="73">
      <pivotArea outline="0" collapsedLevelsAreSubtotals="1" fieldPosition="0"/>
    </format>
    <format dxfId="72">
      <pivotArea outline="0" collapsedLevelsAreSubtotals="1" fieldPosition="0"/>
    </format>
    <format dxfId="7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B000000}" name="Tabela dinâmica5" cacheId="0" applyNumberFormats="0" applyBorderFormats="0" applyFontFormats="0" applyPatternFormats="0" applyAlignmentFormats="0" applyWidthHeightFormats="1" dataCaption="Valores" showError="1" updatedVersion="6" minRefreshableVersion="3" fieldPrintTitles="1" itemPrintTitles="1" createdVersion="6" indent="0" outline="1" outlineData="1" multipleFieldFilters="0" chartFormat="5" rowHeaderCaption="Gerentes" fieldListSortAscending="1">
  <location ref="D13:E17" firstHeaderRow="1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showAll="0">
      <items count="15">
        <item h="1" x="0"/>
        <item h="1" sd="0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axis="axisRow" showAll="0" sortType="descending">
      <items count="4">
        <item n="Silvane" x="1"/>
        <item n="Wellington" x="2"/>
        <item n="Barbara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ntagem de Total" fld="10" subtotal="count" baseField="0" baseItem="0"/>
  </dataFields>
  <formats count="4">
    <format dxfId="78">
      <pivotArea outline="0" collapsedLevelsAreSubtotals="1" fieldPosition="0"/>
    </format>
    <format dxfId="77">
      <pivotArea outline="0" collapsedLevelsAreSubtotals="1" fieldPosition="0"/>
    </format>
    <format dxfId="76">
      <pivotArea outline="0" collapsedLevelsAreSubtotals="1" fieldPosition="0"/>
    </format>
    <format dxfId="75">
      <pivotArea outline="0" collapsedLevelsAreSubtotals="1" fieldPosition="0"/>
    </format>
  </format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ela dinâmica12" cacheId="0" applyNumberFormats="0" applyBorderFormats="0" applyFontFormats="0" applyPatternFormats="0" applyAlignmentFormats="0" applyWidthHeightFormats="1" dataCaption="Valores" showError="1" updatedVersion="7" minRefreshableVersion="3" fieldPrintTitles="1" itemPrintTitles="1" createdVersion="6" indent="0" outline="1" outlineData="1" multipleFieldFilters="0" rowHeaderCaption="Gerentes" fieldListSortAscending="1">
  <location ref="G21:H34" firstHeaderRow="1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axis="axisRow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showAll="0">
      <items count="4">
        <item n="Silvane" x="1"/>
        <item n="Wellington" h="1" x="2"/>
        <item n="Barbara" h="1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" fld="10" showDataAs="percentOfTotal" baseField="0" baseItem="0" numFmtId="10"/>
  </dataFields>
  <formats count="4">
    <format dxfId="82">
      <pivotArea outline="0" collapsedLevelsAreSubtotals="1" fieldPosition="0"/>
    </format>
    <format dxfId="81">
      <pivotArea outline="0" collapsedLevelsAreSubtotals="1" fieldPosition="0"/>
    </format>
    <format dxfId="80">
      <pivotArea outline="0" collapsedLevelsAreSubtotals="1" fieldPosition="0"/>
    </format>
    <format dxfId="7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10" cacheId="0" applyNumberFormats="0" applyBorderFormats="0" applyFontFormats="0" applyPatternFormats="0" applyAlignmentFormats="0" applyWidthHeightFormats="1" dataCaption="Valores" showError="1" updatedVersion="7" minRefreshableVersion="3" fieldPrintTitles="1" itemPrintTitles="1" createdVersion="6" indent="0" outline="1" outlineData="1" multipleFieldFilters="0" rowHeaderCaption="Gerentes" fieldListSortAscending="1">
  <location ref="D21:E34" firstHeaderRow="1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axis="axisRow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showAll="0">
      <items count="4">
        <item n="Silvane" x="1"/>
        <item n="Wellington" h="1" x="2"/>
        <item n="Barbara" h="1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Total" fld="10" subtotal="count" baseField="0" baseItem="0"/>
  </dataFields>
  <formats count="4">
    <format dxfId="86">
      <pivotArea outline="0" collapsedLevelsAreSubtotals="1" fieldPosition="0"/>
    </format>
    <format dxfId="85">
      <pivotArea outline="0" collapsedLevelsAreSubtotals="1" fieldPosition="0"/>
    </format>
    <format dxfId="84">
      <pivotArea outline="0" collapsedLevelsAreSubtotals="1" fieldPosition="0"/>
    </format>
    <format dxfId="83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C000000}" name="Tabela dinâmica9" cacheId="0" applyNumberFormats="0" applyBorderFormats="0" applyFontFormats="0" applyPatternFormats="0" applyAlignmentFormats="0" applyWidthHeightFormats="1" dataCaption="Valores" showError="1" updatedVersion="7" minRefreshableVersion="3" rowGrandTotals="0" fieldPrintTitles="1" itemPrintTitles="1" createdVersion="6" indent="0" outline="1" outlineData="1" multipleFieldFilters="0" chartFormat="3" rowHeaderCaption="Meses" fieldListSortAscending="1">
  <location ref="A21:C33" firstHeaderRow="0" firstDataRow="1" firstDataCol="1" rowPageCount="1" colPageCount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axis="axisRow"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axis="axisPage" multipleItemSelectionAllowed="1" showAll="0">
      <items count="4">
        <item n="Silvane" x="1"/>
        <item n="Wellington" h="1" x="2"/>
        <item n="Barbara" h="1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Vendas R$" fld="10" baseField="0" baseItem="0" numFmtId="6"/>
    <dataField name="Contagem" fld="10" subtotal="count" baseField="0" baseItem="0"/>
  </dataFields>
  <formats count="4">
    <format dxfId="90">
      <pivotArea outline="0" collapsedLevelsAreSubtotals="1" fieldPosition="0"/>
    </format>
    <format dxfId="89">
      <pivotArea outline="0" collapsedLevelsAreSubtotals="1" fieldPosition="0"/>
    </format>
    <format dxfId="88">
      <pivotArea outline="0" collapsedLevelsAreSubtotals="1" fieldPosition="0"/>
    </format>
    <format dxfId="8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ela dinâmica13" cacheId="0" applyNumberFormats="0" applyBorderFormats="0" applyFontFormats="0" applyPatternFormats="0" applyAlignmentFormats="0" applyWidthHeightFormats="1" dataCaption="Valores" showError="1" updatedVersion="6" minRefreshableVersion="3" fieldPrintTitles="1" itemPrintTitles="1" createdVersion="6" indent="0" outline="1" outlineData="1" multipleFieldFilters="0" rowHeaderCaption="Gerentes" fieldListSortAscending="1">
  <location ref="J13:K17" firstHeaderRow="1" firstDataRow="1" firstDataCol="1"/>
  <pivotFields count="18">
    <pivotField subtotalTop="0" showAll="0"/>
    <pivotField subtotalTop="0" showAll="0">
      <items count="10">
        <item x="4"/>
        <item x="5"/>
        <item x="7"/>
        <item x="8"/>
        <item x="6"/>
        <item x="0"/>
        <item x="3"/>
        <item x="2"/>
        <item x="1"/>
        <item t="default"/>
      </items>
    </pivotField>
    <pivotField subtotalTop="0" showAll="0">
      <items count="27">
        <item x="12"/>
        <item x="13"/>
        <item x="1"/>
        <item x="20"/>
        <item x="11"/>
        <item x="17"/>
        <item x="6"/>
        <item x="18"/>
        <item x="2"/>
        <item x="14"/>
        <item x="10"/>
        <item x="21"/>
        <item x="5"/>
        <item x="19"/>
        <item x="7"/>
        <item x="15"/>
        <item x="0"/>
        <item x="24"/>
        <item x="4"/>
        <item x="22"/>
        <item x="8"/>
        <item x="23"/>
        <item x="9"/>
        <item x="25"/>
        <item x="3"/>
        <item x="16"/>
        <item t="default"/>
      </items>
    </pivotField>
    <pivotField numFmtId="22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2" subtotalTop="0" showAll="0"/>
    <pivotField subtotalTop="0" showAll="0"/>
    <pivotField subtotalTop="0" showAll="0"/>
    <pivotField subtotalTop="0" showAll="0"/>
    <pivotField subtotalTop="0" showAll="0"/>
    <pivotField numFmtId="44" subtotalTop="0" showAll="0"/>
    <pivotField dataField="1" numFmtId="44" subtotalTop="0" showAll="0"/>
    <pivotField showAll="0">
      <items count="15">
        <item h="1" x="0"/>
        <item h="1" sd="0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6">
        <item h="1" x="0"/>
        <item x="1"/>
        <item h="1" x="2"/>
        <item h="1" x="3"/>
        <item h="1" x="4"/>
        <item t="default"/>
      </items>
    </pivotField>
    <pivotField name="Módulos" showAll="0">
      <items count="8">
        <item n="Access" x="0"/>
        <item n="Dashboard" x="1"/>
        <item n="Excel" x="2"/>
        <item n="VBA" x="3"/>
        <item n="Outolook" x="4"/>
        <item n="Power Point" x="5"/>
        <item n="Word" x="6"/>
        <item t="default"/>
      </items>
    </pivotField>
    <pivotField name="Gerentes" axis="axisRow" showAll="0">
      <items count="4">
        <item n="Silvane" x="1"/>
        <item n="Wellington" x="2"/>
        <item n="Barbara"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otal" fld="10" subtotal="count" showDataAs="percentOfTotal" baseField="0" baseItem="0" numFmtId="10"/>
  </dataFields>
  <formats count="5">
    <format dxfId="95">
      <pivotArea outline="0" collapsedLevelsAreSubtotals="1" fieldPosition="0"/>
    </format>
    <format dxfId="94">
      <pivotArea outline="0" collapsedLevelsAreSubtotals="1" fieldPosition="0"/>
    </format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00000000-0016-0000-0100-000000000000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Turma" tableColumnId="11"/>
      <queryTableField id="2" name="Vendedor" tableColumnId="2"/>
      <queryTableField id="3" name="Treinamento" tableColumnId="3"/>
      <queryTableField id="4" name="Data Início" tableColumnId="4"/>
      <queryTableField id="5" name="Data Término" tableColumnId="5"/>
      <queryTableField id="6" name="Cliente" tableColumnId="6"/>
      <queryTableField id="7" name="Instrutor" tableColumnId="7"/>
      <queryTableField id="8" name="Feedback" tableColumnId="8"/>
      <queryTableField id="9" name="Alunos" tableColumnId="9"/>
      <queryTableField id="10" name="Valor" tableColumnId="10"/>
      <queryTableField id="11" dataBound="0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" xr10:uid="{00000000-0013-0000-FFFF-FFFF01000000}" sourceName="Anos">
  <pivotTables>
    <pivotTable tabId="3" name="Tabela dinâmica3"/>
    <pivotTable tabId="3" name="Tabela dinâmica1"/>
    <pivotTable tabId="3" name="Tabela dinâmica4"/>
    <pivotTable tabId="3" name="Tabela dinâmica5"/>
    <pivotTable tabId="3" name="Tabela dinâmica9"/>
    <pivotTable tabId="3" name="Tabela dinâmica10"/>
    <pivotTable tabId="3" name="Tabela dinâmica11"/>
    <pivotTable tabId="3" name="Tabela dinâmica12"/>
    <pivotTable tabId="3" name="Tabela dinâmica13"/>
    <pivotTable tabId="3" name="Tabela dinâmica15"/>
    <pivotTable tabId="3" name="Tabela dinâmica18"/>
  </pivotTables>
  <data>
    <tabular pivotCacheId="1">
      <items count="5">
        <i x="1" s="1"/>
        <i x="2"/>
        <i x="3"/>
        <i x="0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" xr10:uid="{00000000-0013-0000-FFFF-FFFF02000000}" sourceName="Meses">
  <pivotTables>
    <pivotTable tabId="3" name="Tabela dinâmica3"/>
    <pivotTable tabId="3" name="Tabela dinâmica1"/>
    <pivotTable tabId="3" name="Tabela dinâmica4"/>
    <pivotTable tabId="3" name="Tabela dinâmica5"/>
    <pivotTable tabId="3" name="Tabela dinâmica11"/>
    <pivotTable tabId="3" name="Tabela dinâmica13"/>
  </pivotTables>
  <data>
    <tabular pivotCacheId="1">
      <items count="14">
        <i x="1"/>
        <i x="2"/>
        <i x="3"/>
        <i x="4"/>
        <i x="5"/>
        <i x="6"/>
        <i x="7"/>
        <i x="8"/>
        <i x="9" s="1"/>
        <i x="10"/>
        <i x="11"/>
        <i x="12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2" xr10:uid="{00000000-0013-0000-FFFF-FFFF03000000}" sourceName="Vendedor2">
  <pivotTables>
    <pivotTable tabId="3" name="Tabela dinâmica3"/>
    <pivotTable tabId="3" name="Tabela dinâmica4"/>
    <pivotTable tabId="3" name="Tabela dinâmica9"/>
    <pivotTable tabId="3" name="Tabela dinâmica10"/>
    <pivotTable tabId="3" name="Tabela dinâmica12"/>
    <pivotTable tabId="3" name="Tabela dinâmica15"/>
    <pivotTable tabId="3" name="Tabela dinâmica16"/>
    <pivotTable tabId="3" name="Tabela dinâmica17"/>
    <pivotTable tabId="3" name="Tabela dinâmica18"/>
  </pivotTables>
  <data>
    <tabular pivotCacheId="1">
      <items count="3">
        <i x="0"/>
        <i x="1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" xr10:uid="{00000000-0014-0000-FFFF-FFFF01000000}" cache="SegmentaçãodeDados_Anos" caption="Anos" style="SlicerStyleDark6" rowHeight="241300"/>
  <slicer name="Meses" xr10:uid="{00000000-0014-0000-FFFF-FFFF02000000}" cache="SegmentaçãodeDados_Meses" caption="Meses" columnCount="12" style="SlicerStyleDark6" rowHeight="241300"/>
  <slicer name="Gerentes" xr10:uid="{00000000-0014-0000-FFFF-FFFF03000000}" cache="SegmentaçãodeDados_Vendedor2" caption="Gerentes" columnCount="3" style="SlicerStyleOther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1" xr10:uid="{00000000-0014-0000-FFFF-FFFF04000000}" cache="SegmentaçãodeDados_Anos" caption="Anos" columnCount="2" style="Painel" rowHeight="241300"/>
  <slicer name="Meses 1" xr10:uid="{00000000-0014-0000-FFFF-FFFF05000000}" cache="SegmentaçãodeDados_Meses" caption="Meses" columnCount="2" style="Painel" rowHeight="241300"/>
  <slicer name="Gerentes 1" xr10:uid="{00000000-0014-0000-FFFF-FFFF06000000}" cache="SegmentaçãodeDados_Vendedor2" caption="Gerentes" style="Painel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einamentos" displayName="Treinamentos" ref="A1:K1065" tableType="queryTable" totalsRowShown="0">
  <autoFilter ref="A1:K1065" xr:uid="{00000000-0009-0000-0100-000001000000}"/>
  <tableColumns count="11">
    <tableColumn id="11" xr3:uid="{00000000-0010-0000-0000-00000B000000}" uniqueName="11" name="Turma" queryTableFieldId="1"/>
    <tableColumn id="2" xr3:uid="{00000000-0010-0000-0000-000002000000}" uniqueName="2" name="Vendedor" queryTableFieldId="2" dataDxfId="43"/>
    <tableColumn id="3" xr3:uid="{00000000-0010-0000-0000-000003000000}" uniqueName="3" name="Treinamento" queryTableFieldId="3" dataDxfId="42"/>
    <tableColumn id="4" xr3:uid="{00000000-0010-0000-0000-000004000000}" uniqueName="4" name="Data Início" queryTableFieldId="4" dataDxfId="41"/>
    <tableColumn id="5" xr3:uid="{00000000-0010-0000-0000-000005000000}" uniqueName="5" name="Data Término" queryTableFieldId="5" dataDxfId="40"/>
    <tableColumn id="6" xr3:uid="{00000000-0010-0000-0000-000006000000}" uniqueName="6" name="Cliente" queryTableFieldId="6" dataDxfId="39"/>
    <tableColumn id="7" xr3:uid="{00000000-0010-0000-0000-000007000000}" uniqueName="7" name="Instrutor" queryTableFieldId="7" dataDxfId="38"/>
    <tableColumn id="8" xr3:uid="{00000000-0010-0000-0000-000008000000}" uniqueName="8" name="Feedback" queryTableFieldId="8"/>
    <tableColumn id="9" xr3:uid="{00000000-0010-0000-0000-000009000000}" uniqueName="9" name="Alunos" queryTableFieldId="9"/>
    <tableColumn id="10" xr3:uid="{00000000-0010-0000-0000-00000A000000}" uniqueName="10" name="Valor" queryTableFieldId="10" dataDxfId="37" dataCellStyle="Moeda"/>
    <tableColumn id="12" xr3:uid="{00000000-0010-0000-0000-00000C000000}" uniqueName="12" name="Total" queryTableFieldId="11" dataDxfId="36" dataCellStyle="Moeda">
      <calculatedColumnFormula>+Treinamentos[[#This Row],[Alunos]]*Treinamentos[[#This Row],[Valor]]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Amarelo Verde">
    <a:dk1>
      <a:sysClr val="windowText" lastClr="000000"/>
    </a:dk1>
    <a:lt1>
      <a:sysClr val="window" lastClr="FFFFFF"/>
    </a:lt1>
    <a:dk2>
      <a:srgbClr val="455F51"/>
    </a:dk2>
    <a:lt2>
      <a:srgbClr val="E2DFCC"/>
    </a:lt2>
    <a:accent1>
      <a:srgbClr val="99CB38"/>
    </a:accent1>
    <a:accent2>
      <a:srgbClr val="63A537"/>
    </a:accent2>
    <a:accent3>
      <a:srgbClr val="37A76F"/>
    </a:accent3>
    <a:accent4>
      <a:srgbClr val="44C1A3"/>
    </a:accent4>
    <a:accent5>
      <a:srgbClr val="4EB3CF"/>
    </a:accent5>
    <a:accent6>
      <a:srgbClr val="51C3F9"/>
    </a:accent6>
    <a:hlink>
      <a:srgbClr val="EE7B08"/>
    </a:hlink>
    <a:folHlink>
      <a:srgbClr val="977B2D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Amarelo Verde">
    <a:dk1>
      <a:sysClr val="windowText" lastClr="000000"/>
    </a:dk1>
    <a:lt1>
      <a:sysClr val="window" lastClr="FFFFFF"/>
    </a:lt1>
    <a:dk2>
      <a:srgbClr val="455F51"/>
    </a:dk2>
    <a:lt2>
      <a:srgbClr val="E2DFCC"/>
    </a:lt2>
    <a:accent1>
      <a:srgbClr val="99CB38"/>
    </a:accent1>
    <a:accent2>
      <a:srgbClr val="63A537"/>
    </a:accent2>
    <a:accent3>
      <a:srgbClr val="37A76F"/>
    </a:accent3>
    <a:accent4>
      <a:srgbClr val="44C1A3"/>
    </a:accent4>
    <a:accent5>
      <a:srgbClr val="4EB3CF"/>
    </a:accent5>
    <a:accent6>
      <a:srgbClr val="51C3F9"/>
    </a:accent6>
    <a:hlink>
      <a:srgbClr val="EE7B08"/>
    </a:hlink>
    <a:folHlink>
      <a:srgbClr val="977B2D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Amarelo Verde">
    <a:dk1>
      <a:sysClr val="windowText" lastClr="000000"/>
    </a:dk1>
    <a:lt1>
      <a:sysClr val="window" lastClr="FFFFFF"/>
    </a:lt1>
    <a:dk2>
      <a:srgbClr val="455F51"/>
    </a:dk2>
    <a:lt2>
      <a:srgbClr val="E2DFCC"/>
    </a:lt2>
    <a:accent1>
      <a:srgbClr val="99CB38"/>
    </a:accent1>
    <a:accent2>
      <a:srgbClr val="63A537"/>
    </a:accent2>
    <a:accent3>
      <a:srgbClr val="37A76F"/>
    </a:accent3>
    <a:accent4>
      <a:srgbClr val="44C1A3"/>
    </a:accent4>
    <a:accent5>
      <a:srgbClr val="4EB3CF"/>
    </a:accent5>
    <a:accent6>
      <a:srgbClr val="51C3F9"/>
    </a:accent6>
    <a:hlink>
      <a:srgbClr val="EE7B08"/>
    </a:hlink>
    <a:folHlink>
      <a:srgbClr val="977B2D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microsoft.com/office/2007/relationships/slicer" Target="../slicers/slicer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73"/>
  <sheetViews>
    <sheetView zoomScaleNormal="100" workbookViewId="0">
      <selection activeCell="C7" sqref="C7"/>
    </sheetView>
  </sheetViews>
  <sheetFormatPr defaultRowHeight="15" x14ac:dyDescent="0.25"/>
  <cols>
    <col min="1" max="1" width="17.85546875" bestFit="1" customWidth="1"/>
    <col min="2" max="2" width="13.5703125" bestFit="1" customWidth="1"/>
    <col min="3" max="3" width="10" bestFit="1" customWidth="1"/>
    <col min="4" max="4" width="15.7109375" bestFit="1" customWidth="1"/>
    <col min="5" max="5" width="17.85546875" bestFit="1" customWidth="1"/>
    <col min="7" max="7" width="11.28515625" bestFit="1" customWidth="1"/>
    <col min="8" max="8" width="14.28515625" bestFit="1" customWidth="1"/>
    <col min="10" max="10" width="12.140625" bestFit="1" customWidth="1"/>
    <col min="11" max="11" width="17.85546875" bestFit="1" customWidth="1"/>
    <col min="13" max="13" width="12" bestFit="1" customWidth="1"/>
    <col min="15" max="15" width="11.85546875" customWidth="1"/>
  </cols>
  <sheetData>
    <row r="3" spans="1:15" x14ac:dyDescent="0.25">
      <c r="A3" s="4" t="s">
        <v>78</v>
      </c>
      <c r="B3" t="s">
        <v>64</v>
      </c>
    </row>
    <row r="4" spans="1:15" x14ac:dyDescent="0.25">
      <c r="A4" s="4" t="s">
        <v>87</v>
      </c>
      <c r="B4" t="s">
        <v>73</v>
      </c>
    </row>
    <row r="6" spans="1:15" x14ac:dyDescent="0.25">
      <c r="A6" s="4" t="s">
        <v>83</v>
      </c>
      <c r="B6" t="s">
        <v>79</v>
      </c>
      <c r="C6" t="str">
        <f>LEFT(B19,1)</f>
        <v>S</v>
      </c>
      <c r="D6" s="4" t="s">
        <v>83</v>
      </c>
      <c r="E6" t="s">
        <v>84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107</v>
      </c>
      <c r="O6" t="s">
        <v>108</v>
      </c>
    </row>
    <row r="7" spans="1:15" x14ac:dyDescent="0.25">
      <c r="A7" s="5" t="s">
        <v>81</v>
      </c>
      <c r="B7" s="7">
        <v>3853</v>
      </c>
      <c r="C7" t="str">
        <f>_xlfn.RANK.EQ(GETPIVOTDATA("Total",$A$6),B14:B16)&amp;"º"</f>
        <v>3º</v>
      </c>
      <c r="D7" s="5" t="s">
        <v>81</v>
      </c>
      <c r="E7" s="1">
        <v>9</v>
      </c>
      <c r="G7" t="str">
        <f>B19</f>
        <v>Silvane</v>
      </c>
      <c r="H7" s="9">
        <f>GETPIVOTDATA("Total",$A$6)/GETPIVOTDATA("Total",$A$13)</f>
        <v>0.27287535410764874</v>
      </c>
      <c r="I7" s="9">
        <f>GETPIVOTDATA("Total",$D$6)/GETPIVOTDATA("Total",$D$13)</f>
        <v>0.3</v>
      </c>
      <c r="J7" s="7">
        <f>MAX(B14:B16)</f>
        <v>5549</v>
      </c>
      <c r="K7">
        <f>MAX(E14:E16)</f>
        <v>11</v>
      </c>
      <c r="L7" s="7">
        <f>AVERAGE(B22:B33)</f>
        <v>5542.083333333333</v>
      </c>
      <c r="M7">
        <f>AVERAGE(E22:E33)</f>
        <v>11.75</v>
      </c>
      <c r="N7" s="8">
        <f>INDEX(Mês_Anterior,
MATCH(B4,Meses,0),
MATCH(VALUE(B3),Anos,0))</f>
        <v>-0.35643895106063139</v>
      </c>
      <c r="O7" s="8">
        <f>INDEX(Ano_Anterior,
MATCH(B4,Meses,0),
MATCH(VALUE(B3),Anos,0))</f>
        <v>3853</v>
      </c>
    </row>
    <row r="8" spans="1:15" x14ac:dyDescent="0.25">
      <c r="A8" s="5" t="s">
        <v>63</v>
      </c>
      <c r="B8" s="7">
        <v>3853</v>
      </c>
      <c r="C8" s="5">
        <f>INDEX(Fotos,MATCH('Tab Dinamicas'!$B$19,Gerentes,0))</f>
        <v>0</v>
      </c>
      <c r="D8" s="5" t="s">
        <v>63</v>
      </c>
      <c r="E8" s="1">
        <v>9</v>
      </c>
      <c r="H8" s="8">
        <f>1-H7</f>
        <v>0.72712464589235126</v>
      </c>
      <c r="I8" s="8">
        <f>1-I7</f>
        <v>0.7</v>
      </c>
      <c r="J8" s="7">
        <f>J7</f>
        <v>5549</v>
      </c>
      <c r="K8">
        <f>+K7</f>
        <v>11</v>
      </c>
      <c r="L8" s="7">
        <f>J7</f>
        <v>5549</v>
      </c>
      <c r="M8">
        <f>+K7</f>
        <v>11</v>
      </c>
    </row>
    <row r="9" spans="1:15" x14ac:dyDescent="0.25">
      <c r="J9" s="24">
        <f>GETPIVOTDATA("Total",$A$6)</f>
        <v>3853</v>
      </c>
      <c r="K9">
        <f>GETPIVOTDATA("Total",$D$6)</f>
        <v>9</v>
      </c>
      <c r="L9" s="7">
        <f>MIN(L7,L8)</f>
        <v>5542.083333333333</v>
      </c>
      <c r="M9">
        <f>MIN(M7,M8)</f>
        <v>11</v>
      </c>
    </row>
    <row r="10" spans="1:15" x14ac:dyDescent="0.25">
      <c r="J10" s="7">
        <f>J7-J9</f>
        <v>1696</v>
      </c>
      <c r="K10">
        <f>+K8-K9</f>
        <v>2</v>
      </c>
      <c r="L10">
        <f>+L9*0.8%</f>
        <v>44.336666666666666</v>
      </c>
      <c r="M10">
        <f>+M9*0.8%</f>
        <v>8.7999999999999995E-2</v>
      </c>
    </row>
    <row r="11" spans="1:15" x14ac:dyDescent="0.25">
      <c r="L11" s="7">
        <f>+L8-L9-L10</f>
        <v>-37.419999999999696</v>
      </c>
      <c r="M11">
        <f>+M8-M9-M10</f>
        <v>-8.7999999999999995E-2</v>
      </c>
    </row>
    <row r="13" spans="1:15" x14ac:dyDescent="0.25">
      <c r="A13" s="4" t="s">
        <v>83</v>
      </c>
      <c r="B13" t="s">
        <v>111</v>
      </c>
      <c r="D13" s="4" t="s">
        <v>83</v>
      </c>
      <c r="E13" t="s">
        <v>84</v>
      </c>
      <c r="G13" s="4" t="s">
        <v>83</v>
      </c>
      <c r="H13" t="s">
        <v>79</v>
      </c>
      <c r="J13" s="4" t="s">
        <v>83</v>
      </c>
      <c r="K13" t="s">
        <v>84</v>
      </c>
    </row>
    <row r="14" spans="1:15" x14ac:dyDescent="0.25">
      <c r="A14" s="5" t="s">
        <v>82</v>
      </c>
      <c r="B14" s="7">
        <v>5549</v>
      </c>
      <c r="D14" s="5" t="s">
        <v>82</v>
      </c>
      <c r="E14" s="1">
        <v>11</v>
      </c>
      <c r="G14" s="5" t="s">
        <v>81</v>
      </c>
      <c r="H14" s="8">
        <v>0.27287535410764874</v>
      </c>
      <c r="J14" s="5" t="s">
        <v>81</v>
      </c>
      <c r="K14" s="8">
        <v>0.3</v>
      </c>
    </row>
    <row r="15" spans="1:15" x14ac:dyDescent="0.25">
      <c r="A15" s="5" t="s">
        <v>80</v>
      </c>
      <c r="B15" s="7">
        <v>4718</v>
      </c>
      <c r="D15" s="5" t="s">
        <v>80</v>
      </c>
      <c r="E15" s="1">
        <v>10</v>
      </c>
      <c r="G15" s="5" t="s">
        <v>82</v>
      </c>
      <c r="H15" s="8">
        <v>0.39298866855524078</v>
      </c>
      <c r="J15" s="5" t="s">
        <v>82</v>
      </c>
      <c r="K15" s="8">
        <v>0.36666666666666664</v>
      </c>
    </row>
    <row r="16" spans="1:15" x14ac:dyDescent="0.25">
      <c r="A16" s="5" t="s">
        <v>81</v>
      </c>
      <c r="B16" s="7">
        <v>3853</v>
      </c>
      <c r="D16" s="5" t="s">
        <v>81</v>
      </c>
      <c r="E16" s="1">
        <v>9</v>
      </c>
      <c r="G16" s="5" t="s">
        <v>80</v>
      </c>
      <c r="H16" s="8">
        <v>0.33413597733711048</v>
      </c>
      <c r="J16" s="5" t="s">
        <v>80</v>
      </c>
      <c r="K16" s="8">
        <v>0.33333333333333331</v>
      </c>
    </row>
    <row r="17" spans="1:11" x14ac:dyDescent="0.25">
      <c r="A17" s="5" t="s">
        <v>63</v>
      </c>
      <c r="B17" s="7">
        <v>14120</v>
      </c>
      <c r="D17" s="5" t="s">
        <v>63</v>
      </c>
      <c r="E17" s="1">
        <v>30</v>
      </c>
      <c r="G17" s="5" t="s">
        <v>63</v>
      </c>
      <c r="H17" s="8">
        <v>1</v>
      </c>
      <c r="J17" s="5" t="s">
        <v>63</v>
      </c>
      <c r="K17" s="8">
        <v>1</v>
      </c>
    </row>
    <row r="18" spans="1:11" x14ac:dyDescent="0.25">
      <c r="A18" s="5"/>
      <c r="B18" s="7"/>
      <c r="D18" s="5"/>
      <c r="E18" s="1"/>
      <c r="G18" s="5"/>
      <c r="H18" s="8"/>
      <c r="J18" s="5"/>
      <c r="K18" s="8"/>
    </row>
    <row r="19" spans="1:11" x14ac:dyDescent="0.25">
      <c r="A19" s="4" t="s">
        <v>83</v>
      </c>
      <c r="B19" t="s">
        <v>81</v>
      </c>
    </row>
    <row r="21" spans="1:11" x14ac:dyDescent="0.25">
      <c r="A21" s="4" t="s">
        <v>87</v>
      </c>
      <c r="B21" t="s">
        <v>111</v>
      </c>
      <c r="C21" t="s">
        <v>110</v>
      </c>
      <c r="D21" s="4" t="s">
        <v>83</v>
      </c>
      <c r="E21" t="s">
        <v>84</v>
      </c>
      <c r="G21" s="4" t="s">
        <v>83</v>
      </c>
      <c r="H21" t="s">
        <v>79</v>
      </c>
      <c r="J21" s="4" t="s">
        <v>83</v>
      </c>
      <c r="K21" t="s">
        <v>84</v>
      </c>
    </row>
    <row r="22" spans="1:11" x14ac:dyDescent="0.25">
      <c r="A22" s="5" t="s">
        <v>65</v>
      </c>
      <c r="B22" s="7">
        <v>5675</v>
      </c>
      <c r="C22" s="1">
        <v>11</v>
      </c>
      <c r="D22" s="5" t="s">
        <v>65</v>
      </c>
      <c r="E22" s="1">
        <v>11</v>
      </c>
      <c r="G22" s="5" t="s">
        <v>65</v>
      </c>
      <c r="H22" s="8">
        <v>8.5331929930080444E-2</v>
      </c>
      <c r="J22" s="5" t="s">
        <v>65</v>
      </c>
      <c r="K22" s="8">
        <v>7.8014184397163122E-2</v>
      </c>
    </row>
    <row r="23" spans="1:11" x14ac:dyDescent="0.25">
      <c r="A23" s="5" t="s">
        <v>66</v>
      </c>
      <c r="B23" s="7">
        <v>6209</v>
      </c>
      <c r="C23" s="1">
        <v>13</v>
      </c>
      <c r="D23" s="5" t="s">
        <v>66</v>
      </c>
      <c r="E23" s="1">
        <v>13</v>
      </c>
      <c r="G23" s="5" t="s">
        <v>66</v>
      </c>
      <c r="H23" s="8">
        <v>9.3361401398391095E-2</v>
      </c>
      <c r="J23" s="5" t="s">
        <v>66</v>
      </c>
      <c r="K23" s="8">
        <v>9.2198581560283682E-2</v>
      </c>
    </row>
    <row r="24" spans="1:11" x14ac:dyDescent="0.25">
      <c r="A24" s="5" t="s">
        <v>67</v>
      </c>
      <c r="B24" s="7">
        <v>6386</v>
      </c>
      <c r="C24" s="1">
        <v>14</v>
      </c>
      <c r="D24" s="5" t="s">
        <v>67</v>
      </c>
      <c r="E24" s="1">
        <v>14</v>
      </c>
      <c r="G24" s="5" t="s">
        <v>67</v>
      </c>
      <c r="H24" s="8">
        <v>9.6022855424404183E-2</v>
      </c>
      <c r="J24" s="5" t="s">
        <v>67</v>
      </c>
      <c r="K24" s="8">
        <v>9.9290780141843976E-2</v>
      </c>
    </row>
    <row r="25" spans="1:11" x14ac:dyDescent="0.25">
      <c r="A25" s="5" t="s">
        <v>68</v>
      </c>
      <c r="B25" s="7">
        <v>7987</v>
      </c>
      <c r="C25" s="1">
        <v>18</v>
      </c>
      <c r="D25" s="5" t="s">
        <v>68</v>
      </c>
      <c r="E25" s="1">
        <v>18</v>
      </c>
      <c r="G25" s="5" t="s">
        <v>68</v>
      </c>
      <c r="H25" s="8">
        <v>0.12009623336591234</v>
      </c>
      <c r="J25" s="5" t="s">
        <v>68</v>
      </c>
      <c r="K25" s="8">
        <v>0.1276595744680851</v>
      </c>
    </row>
    <row r="26" spans="1:11" x14ac:dyDescent="0.25">
      <c r="A26" s="5" t="s">
        <v>69</v>
      </c>
      <c r="B26" s="7">
        <v>6064</v>
      </c>
      <c r="C26" s="1">
        <v>11</v>
      </c>
      <c r="D26" s="5" t="s">
        <v>69</v>
      </c>
      <c r="E26" s="1">
        <v>11</v>
      </c>
      <c r="G26" s="5" t="s">
        <v>69</v>
      </c>
      <c r="H26" s="8">
        <v>9.1181114201939709E-2</v>
      </c>
      <c r="J26" s="5" t="s">
        <v>69</v>
      </c>
      <c r="K26" s="8">
        <v>7.8014184397163122E-2</v>
      </c>
    </row>
    <row r="27" spans="1:11" x14ac:dyDescent="0.25">
      <c r="A27" s="5" t="s">
        <v>70</v>
      </c>
      <c r="B27" s="7">
        <v>4232</v>
      </c>
      <c r="C27" s="1">
        <v>10</v>
      </c>
      <c r="D27" s="5" t="s">
        <v>70</v>
      </c>
      <c r="E27" s="1">
        <v>10</v>
      </c>
      <c r="G27" s="5" t="s">
        <v>70</v>
      </c>
      <c r="H27" s="8">
        <v>6.3634313209533111E-2</v>
      </c>
      <c r="J27" s="5" t="s">
        <v>70</v>
      </c>
      <c r="K27" s="8">
        <v>7.0921985815602842E-2</v>
      </c>
    </row>
    <row r="28" spans="1:11" x14ac:dyDescent="0.25">
      <c r="A28" s="5" t="s">
        <v>71</v>
      </c>
      <c r="B28" s="7">
        <v>2842</v>
      </c>
      <c r="C28" s="1">
        <v>7</v>
      </c>
      <c r="D28" s="5" t="s">
        <v>71</v>
      </c>
      <c r="E28" s="1">
        <v>7</v>
      </c>
      <c r="G28" s="5" t="s">
        <v>71</v>
      </c>
      <c r="H28" s="8">
        <v>4.2733629050447336E-2</v>
      </c>
      <c r="J28" s="5" t="s">
        <v>71</v>
      </c>
      <c r="K28" s="8">
        <v>4.9645390070921988E-2</v>
      </c>
    </row>
    <row r="29" spans="1:11" x14ac:dyDescent="0.25">
      <c r="A29" s="5" t="s">
        <v>72</v>
      </c>
      <c r="B29" s="7">
        <v>5987</v>
      </c>
      <c r="C29" s="1">
        <v>14</v>
      </c>
      <c r="D29" s="5" t="s">
        <v>72</v>
      </c>
      <c r="E29" s="1">
        <v>14</v>
      </c>
      <c r="G29" s="5" t="s">
        <v>72</v>
      </c>
      <c r="H29" s="8">
        <v>9.0023306518306895E-2</v>
      </c>
      <c r="J29" s="5" t="s">
        <v>72</v>
      </c>
      <c r="K29" s="8">
        <v>9.9290780141843976E-2</v>
      </c>
    </row>
    <row r="30" spans="1:11" x14ac:dyDescent="0.25">
      <c r="A30" s="5" t="s">
        <v>73</v>
      </c>
      <c r="B30" s="7">
        <v>3853</v>
      </c>
      <c r="C30" s="1">
        <v>9</v>
      </c>
      <c r="D30" s="5" t="s">
        <v>73</v>
      </c>
      <c r="E30" s="1">
        <v>9</v>
      </c>
      <c r="G30" s="5" t="s">
        <v>73</v>
      </c>
      <c r="H30" s="8">
        <v>5.7935493571911884E-2</v>
      </c>
      <c r="J30" s="5" t="s">
        <v>73</v>
      </c>
      <c r="K30" s="8">
        <v>6.3829787234042548E-2</v>
      </c>
    </row>
    <row r="31" spans="1:11" x14ac:dyDescent="0.25">
      <c r="A31" s="5" t="s">
        <v>74</v>
      </c>
      <c r="B31" s="7">
        <v>5308</v>
      </c>
      <c r="C31" s="1">
        <v>10</v>
      </c>
      <c r="D31" s="5" t="s">
        <v>74</v>
      </c>
      <c r="E31" s="1">
        <v>10</v>
      </c>
      <c r="G31" s="5" t="s">
        <v>74</v>
      </c>
      <c r="H31" s="8">
        <v>7.9813547853544844E-2</v>
      </c>
      <c r="J31" s="5" t="s">
        <v>74</v>
      </c>
      <c r="K31" s="8">
        <v>7.0921985815602842E-2</v>
      </c>
    </row>
    <row r="32" spans="1:11" x14ac:dyDescent="0.25">
      <c r="A32" s="5" t="s">
        <v>75</v>
      </c>
      <c r="B32" s="7">
        <v>4416</v>
      </c>
      <c r="C32" s="1">
        <v>9</v>
      </c>
      <c r="D32" s="5" t="s">
        <v>75</v>
      </c>
      <c r="E32" s="1">
        <v>9</v>
      </c>
      <c r="G32" s="5" t="s">
        <v>75</v>
      </c>
      <c r="H32" s="8">
        <v>6.6401022479512822E-2</v>
      </c>
      <c r="J32" s="5" t="s">
        <v>75</v>
      </c>
      <c r="K32" s="8">
        <v>6.3829787234042548E-2</v>
      </c>
    </row>
    <row r="33" spans="1:11" x14ac:dyDescent="0.25">
      <c r="A33" s="5" t="s">
        <v>76</v>
      </c>
      <c r="B33" s="7">
        <v>7546</v>
      </c>
      <c r="C33" s="1">
        <v>15</v>
      </c>
      <c r="D33" s="5" t="s">
        <v>76</v>
      </c>
      <c r="E33" s="1">
        <v>15</v>
      </c>
      <c r="G33" s="5" t="s">
        <v>76</v>
      </c>
      <c r="H33" s="8">
        <v>0.11346515299601534</v>
      </c>
      <c r="J33" s="5" t="s">
        <v>76</v>
      </c>
      <c r="K33" s="8">
        <v>0.10638297872340426</v>
      </c>
    </row>
    <row r="34" spans="1:11" x14ac:dyDescent="0.25">
      <c r="D34" s="5" t="s">
        <v>63</v>
      </c>
      <c r="E34" s="1">
        <v>141</v>
      </c>
      <c r="G34" s="5" t="s">
        <v>63</v>
      </c>
      <c r="H34" s="8">
        <v>1</v>
      </c>
      <c r="J34" s="5" t="s">
        <v>63</v>
      </c>
      <c r="K34" s="8">
        <v>1</v>
      </c>
    </row>
    <row r="37" spans="1:11" x14ac:dyDescent="0.25">
      <c r="A37" s="4" t="s">
        <v>86</v>
      </c>
      <c r="B37" s="4" t="s">
        <v>78</v>
      </c>
      <c r="F37" s="4" t="s">
        <v>87</v>
      </c>
      <c r="G37" t="s">
        <v>111</v>
      </c>
      <c r="H37" t="s">
        <v>112</v>
      </c>
    </row>
    <row r="38" spans="1:11" x14ac:dyDescent="0.25">
      <c r="A38" s="4" t="s">
        <v>87</v>
      </c>
      <c r="B38" t="s">
        <v>64</v>
      </c>
      <c r="C38" t="s">
        <v>77</v>
      </c>
      <c r="D38" t="s">
        <v>85</v>
      </c>
      <c r="F38" s="5" t="s">
        <v>64</v>
      </c>
      <c r="G38" s="7">
        <v>66505</v>
      </c>
      <c r="H38" s="8"/>
    </row>
    <row r="39" spans="1:11" x14ac:dyDescent="0.25">
      <c r="A39" s="5" t="s">
        <v>65</v>
      </c>
      <c r="B39" s="8"/>
      <c r="C39" s="8"/>
      <c r="D39" s="8"/>
      <c r="F39" s="6" t="s">
        <v>65</v>
      </c>
      <c r="G39" s="7">
        <v>5675</v>
      </c>
      <c r="H39" s="8"/>
    </row>
    <row r="40" spans="1:11" x14ac:dyDescent="0.25">
      <c r="A40" s="5" t="s">
        <v>66</v>
      </c>
      <c r="B40" s="8">
        <v>9.4096916299559477E-2</v>
      </c>
      <c r="C40" s="8">
        <v>0.2360699865410498</v>
      </c>
      <c r="D40" s="8">
        <v>8.4389650981073108E-2</v>
      </c>
      <c r="F40" s="6" t="s">
        <v>66</v>
      </c>
      <c r="G40" s="7">
        <v>6209</v>
      </c>
      <c r="H40" s="8"/>
    </row>
    <row r="41" spans="1:11" x14ac:dyDescent="0.25">
      <c r="A41" s="5" t="s">
        <v>67</v>
      </c>
      <c r="B41" s="8">
        <v>2.8507005959091641E-2</v>
      </c>
      <c r="C41" s="8">
        <v>0.13850174216027875</v>
      </c>
      <c r="D41" s="8">
        <v>-0.1378702962369896</v>
      </c>
      <c r="F41" s="6" t="s">
        <v>67</v>
      </c>
      <c r="G41" s="7">
        <v>6386</v>
      </c>
      <c r="H41" s="8"/>
    </row>
    <row r="42" spans="1:11" x14ac:dyDescent="0.25">
      <c r="A42" s="5" t="s">
        <v>68</v>
      </c>
      <c r="B42" s="8">
        <v>0.25070466645787659</v>
      </c>
      <c r="C42" s="8">
        <v>-0.33856159143075748</v>
      </c>
      <c r="D42" s="8">
        <v>0.62202823179791977</v>
      </c>
      <c r="F42" s="6" t="s">
        <v>68</v>
      </c>
      <c r="G42" s="7">
        <v>7987</v>
      </c>
      <c r="H42" s="8"/>
    </row>
    <row r="43" spans="1:11" x14ac:dyDescent="0.25">
      <c r="A43" s="5" t="s">
        <v>69</v>
      </c>
      <c r="B43" s="8">
        <v>-0.24076624514836609</v>
      </c>
      <c r="C43" s="8">
        <v>0.68710237131289764</v>
      </c>
      <c r="D43" s="8">
        <v>-0.62120691629451508</v>
      </c>
      <c r="F43" s="6" t="s">
        <v>69</v>
      </c>
      <c r="G43" s="7">
        <v>6064</v>
      </c>
      <c r="H43" s="8"/>
    </row>
    <row r="44" spans="1:11" x14ac:dyDescent="0.25">
      <c r="A44" s="5" t="s">
        <v>70</v>
      </c>
      <c r="B44" s="8">
        <v>-0.30211081794195249</v>
      </c>
      <c r="C44" s="8">
        <v>6.9763455605073701E-2</v>
      </c>
      <c r="D44" s="8">
        <v>0.49153567110036278</v>
      </c>
      <c r="F44" s="6" t="s">
        <v>70</v>
      </c>
      <c r="G44" s="7">
        <v>4232</v>
      </c>
      <c r="H44" s="8"/>
    </row>
    <row r="45" spans="1:11" x14ac:dyDescent="0.25">
      <c r="A45" s="5" t="s">
        <v>71</v>
      </c>
      <c r="B45" s="8">
        <v>-0.32844990548204162</v>
      </c>
      <c r="C45" s="8">
        <v>-0.71062329754846976</v>
      </c>
      <c r="D45" s="8">
        <v>-0.12363194162950952</v>
      </c>
      <c r="F45" s="6" t="s">
        <v>71</v>
      </c>
      <c r="G45" s="7">
        <v>2842</v>
      </c>
      <c r="H45" s="8"/>
    </row>
    <row r="46" spans="1:11" x14ac:dyDescent="0.25">
      <c r="A46" s="5" t="s">
        <v>72</v>
      </c>
      <c r="B46" s="8">
        <v>1.1066150598170303</v>
      </c>
      <c r="C46" s="8">
        <v>1.4130675526024363</v>
      </c>
      <c r="D46" s="8">
        <v>1.2719703977798334E-2</v>
      </c>
      <c r="F46" s="6" t="s">
        <v>72</v>
      </c>
      <c r="G46" s="7">
        <v>5987</v>
      </c>
      <c r="H46" s="8"/>
    </row>
    <row r="47" spans="1:11" x14ac:dyDescent="0.25">
      <c r="A47" s="5" t="s">
        <v>73</v>
      </c>
      <c r="B47" s="8">
        <v>-0.35643895106063139</v>
      </c>
      <c r="C47" s="8">
        <v>0.27810922441486918</v>
      </c>
      <c r="D47" s="8">
        <v>0.20712491436401004</v>
      </c>
      <c r="F47" s="6" t="s">
        <v>73</v>
      </c>
      <c r="G47" s="7">
        <v>3853</v>
      </c>
      <c r="H47" s="8"/>
    </row>
    <row r="48" spans="1:11" x14ac:dyDescent="0.25">
      <c r="A48" s="5" t="s">
        <v>74</v>
      </c>
      <c r="B48" s="8">
        <v>0.37762782247599275</v>
      </c>
      <c r="C48" s="8">
        <v>-0.59820466786355475</v>
      </c>
      <c r="D48" s="8"/>
      <c r="F48" s="6" t="s">
        <v>74</v>
      </c>
      <c r="G48" s="7">
        <v>5308</v>
      </c>
      <c r="H48" s="8"/>
    </row>
    <row r="49" spans="1:8" x14ac:dyDescent="0.25">
      <c r="A49" s="5" t="s">
        <v>75</v>
      </c>
      <c r="B49" s="8">
        <v>-0.1680482290881688</v>
      </c>
      <c r="C49" s="8">
        <v>0.92582663092046469</v>
      </c>
      <c r="D49" s="8"/>
      <c r="F49" s="6" t="s">
        <v>75</v>
      </c>
      <c r="G49" s="7">
        <v>4416</v>
      </c>
      <c r="H49" s="8"/>
    </row>
    <row r="50" spans="1:8" x14ac:dyDescent="0.25">
      <c r="A50" s="5" t="s">
        <v>76</v>
      </c>
      <c r="B50" s="8">
        <v>0.70878623188405798</v>
      </c>
      <c r="C50" s="8">
        <v>0.20324825986078887</v>
      </c>
      <c r="D50" s="8"/>
      <c r="F50" s="6" t="s">
        <v>76</v>
      </c>
      <c r="G50" s="7">
        <v>7546</v>
      </c>
      <c r="H50" s="8"/>
    </row>
    <row r="51" spans="1:8" x14ac:dyDescent="0.25">
      <c r="F51" s="5" t="s">
        <v>77</v>
      </c>
      <c r="G51" s="7">
        <v>52536</v>
      </c>
      <c r="H51" s="8">
        <v>-0.21004435756710021</v>
      </c>
    </row>
    <row r="52" spans="1:8" x14ac:dyDescent="0.25">
      <c r="F52" s="6" t="s">
        <v>65</v>
      </c>
      <c r="G52" s="7">
        <v>3715</v>
      </c>
      <c r="H52" s="8">
        <v>-0.34537444933920702</v>
      </c>
    </row>
    <row r="53" spans="1:8" x14ac:dyDescent="0.25">
      <c r="F53" s="6" t="s">
        <v>66</v>
      </c>
      <c r="G53" s="7">
        <v>4592</v>
      </c>
      <c r="H53" s="8">
        <v>-0.26042841037204056</v>
      </c>
    </row>
    <row r="54" spans="1:8" x14ac:dyDescent="0.25">
      <c r="F54" s="6" t="s">
        <v>67</v>
      </c>
      <c r="G54" s="7">
        <v>5228</v>
      </c>
      <c r="H54" s="8">
        <v>-0.18133416849357969</v>
      </c>
    </row>
    <row r="55" spans="1:8" x14ac:dyDescent="0.25">
      <c r="A55" s="4" t="s">
        <v>87</v>
      </c>
      <c r="B55" t="s">
        <v>111</v>
      </c>
      <c r="C55" t="s">
        <v>86</v>
      </c>
      <c r="F55" s="6" t="s">
        <v>68</v>
      </c>
      <c r="G55" s="7">
        <v>3458</v>
      </c>
      <c r="H55" s="8">
        <v>-0.56704645048203328</v>
      </c>
    </row>
    <row r="56" spans="1:8" x14ac:dyDescent="0.25">
      <c r="A56" s="5" t="s">
        <v>65</v>
      </c>
      <c r="B56" s="7">
        <v>5675</v>
      </c>
      <c r="C56" s="8"/>
      <c r="F56" s="6" t="s">
        <v>69</v>
      </c>
      <c r="G56" s="7">
        <v>5834</v>
      </c>
      <c r="H56" s="8">
        <v>-3.7928759894459103E-2</v>
      </c>
    </row>
    <row r="57" spans="1:8" x14ac:dyDescent="0.25">
      <c r="A57" s="5" t="s">
        <v>66</v>
      </c>
      <c r="B57" s="7">
        <v>6209</v>
      </c>
      <c r="C57" s="8">
        <v>9.4096916299559477E-2</v>
      </c>
      <c r="F57" s="6" t="s">
        <v>70</v>
      </c>
      <c r="G57" s="7">
        <v>6241</v>
      </c>
      <c r="H57" s="8">
        <v>0.47471644612476371</v>
      </c>
    </row>
    <row r="58" spans="1:8" x14ac:dyDescent="0.25">
      <c r="A58" s="5" t="s">
        <v>67</v>
      </c>
      <c r="B58" s="7">
        <v>6386</v>
      </c>
      <c r="C58" s="8">
        <v>2.8507005959091641E-2</v>
      </c>
      <c r="F58" s="6" t="s">
        <v>71</v>
      </c>
      <c r="G58" s="7">
        <v>1806</v>
      </c>
      <c r="H58" s="8">
        <v>-0.3645320197044335</v>
      </c>
    </row>
    <row r="59" spans="1:8" x14ac:dyDescent="0.25">
      <c r="A59" s="5" t="s">
        <v>68</v>
      </c>
      <c r="B59" s="7">
        <v>7987</v>
      </c>
      <c r="C59" s="8">
        <v>0.25070466645787659</v>
      </c>
      <c r="F59" s="6" t="s">
        <v>72</v>
      </c>
      <c r="G59" s="7">
        <v>4358</v>
      </c>
      <c r="H59" s="8">
        <v>-0.27208952730916985</v>
      </c>
    </row>
    <row r="60" spans="1:8" x14ac:dyDescent="0.25">
      <c r="A60" s="5" t="s">
        <v>69</v>
      </c>
      <c r="B60" s="7">
        <v>6064</v>
      </c>
      <c r="C60" s="8">
        <v>-0.24076624514836609</v>
      </c>
      <c r="F60" s="6" t="s">
        <v>73</v>
      </c>
      <c r="G60" s="7">
        <v>5570</v>
      </c>
      <c r="H60" s="8">
        <v>0.44562678432390346</v>
      </c>
    </row>
    <row r="61" spans="1:8" x14ac:dyDescent="0.25">
      <c r="A61" s="5" t="s">
        <v>70</v>
      </c>
      <c r="B61" s="7">
        <v>4232</v>
      </c>
      <c r="C61" s="8">
        <v>-0.30211081794195249</v>
      </c>
      <c r="F61" s="6" t="s">
        <v>74</v>
      </c>
      <c r="G61" s="7">
        <v>2238</v>
      </c>
      <c r="H61" s="8">
        <v>-0.57837226827430299</v>
      </c>
    </row>
    <row r="62" spans="1:8" x14ac:dyDescent="0.25">
      <c r="A62" s="5" t="s">
        <v>71</v>
      </c>
      <c r="B62" s="7">
        <v>2842</v>
      </c>
      <c r="C62" s="8">
        <v>-0.32844990548204162</v>
      </c>
      <c r="F62" s="6" t="s">
        <v>75</v>
      </c>
      <c r="G62" s="7">
        <v>4310</v>
      </c>
      <c r="H62" s="8">
        <v>-2.4003623188405796E-2</v>
      </c>
    </row>
    <row r="63" spans="1:8" x14ac:dyDescent="0.25">
      <c r="A63" s="5" t="s">
        <v>72</v>
      </c>
      <c r="B63" s="7">
        <v>5987</v>
      </c>
      <c r="C63" s="8">
        <v>1.1066150598170303</v>
      </c>
      <c r="F63" s="6" t="s">
        <v>76</v>
      </c>
      <c r="G63" s="7">
        <v>5186</v>
      </c>
      <c r="H63" s="8">
        <v>-0.31274847601378214</v>
      </c>
    </row>
    <row r="64" spans="1:8" x14ac:dyDescent="0.25">
      <c r="A64" s="5" t="s">
        <v>73</v>
      </c>
      <c r="B64" s="7">
        <v>3853</v>
      </c>
      <c r="C64" s="8">
        <v>-0.35643895106063139</v>
      </c>
      <c r="F64" s="5" t="s">
        <v>85</v>
      </c>
      <c r="G64" s="7">
        <v>48352</v>
      </c>
      <c r="H64" s="8">
        <v>-7.9640627379320844E-2</v>
      </c>
    </row>
    <row r="65" spans="1:8" x14ac:dyDescent="0.25">
      <c r="A65" s="5" t="s">
        <v>74</v>
      </c>
      <c r="B65" s="7">
        <v>5308</v>
      </c>
      <c r="C65" s="8">
        <v>0.37762782247599275</v>
      </c>
      <c r="F65" s="6" t="s">
        <v>65</v>
      </c>
      <c r="G65" s="7">
        <v>5759</v>
      </c>
      <c r="H65" s="8">
        <v>0.55020188425302829</v>
      </c>
    </row>
    <row r="66" spans="1:8" x14ac:dyDescent="0.25">
      <c r="A66" s="5" t="s">
        <v>75</v>
      </c>
      <c r="B66" s="7">
        <v>4416</v>
      </c>
      <c r="C66" s="8">
        <v>-0.1680482290881688</v>
      </c>
      <c r="F66" s="6" t="s">
        <v>66</v>
      </c>
      <c r="G66" s="7">
        <v>6245</v>
      </c>
      <c r="H66" s="8">
        <v>0.35997386759581884</v>
      </c>
    </row>
    <row r="67" spans="1:8" x14ac:dyDescent="0.25">
      <c r="A67" s="5" t="s">
        <v>76</v>
      </c>
      <c r="B67" s="7">
        <v>7546</v>
      </c>
      <c r="C67" s="8">
        <v>0.70878623188405798</v>
      </c>
      <c r="F67" s="6" t="s">
        <v>67</v>
      </c>
      <c r="G67" s="7">
        <v>5384</v>
      </c>
      <c r="H67" s="8">
        <v>2.9839326702371844E-2</v>
      </c>
    </row>
    <row r="68" spans="1:8" x14ac:dyDescent="0.25">
      <c r="F68" s="6" t="s">
        <v>68</v>
      </c>
      <c r="G68" s="7">
        <v>8733</v>
      </c>
      <c r="H68" s="8">
        <v>1.5254482359745518</v>
      </c>
    </row>
    <row r="69" spans="1:8" x14ac:dyDescent="0.25">
      <c r="F69" s="6" t="s">
        <v>69</v>
      </c>
      <c r="G69" s="7">
        <v>3308</v>
      </c>
      <c r="H69" s="8">
        <v>-0.43297908810421665</v>
      </c>
    </row>
    <row r="70" spans="1:8" x14ac:dyDescent="0.25">
      <c r="F70" s="6" t="s">
        <v>70</v>
      </c>
      <c r="G70" s="7">
        <v>4934</v>
      </c>
      <c r="H70" s="8">
        <v>-0.20942156705656145</v>
      </c>
    </row>
    <row r="71" spans="1:8" x14ac:dyDescent="0.25">
      <c r="F71" s="6" t="s">
        <v>71</v>
      </c>
      <c r="G71" s="7">
        <v>4324</v>
      </c>
      <c r="H71" s="8">
        <v>1.3942414174972315</v>
      </c>
    </row>
    <row r="72" spans="1:8" x14ac:dyDescent="0.25">
      <c r="F72" s="6" t="s">
        <v>72</v>
      </c>
      <c r="G72" s="7">
        <v>4379</v>
      </c>
      <c r="H72" s="8">
        <v>4.8187241854061496E-3</v>
      </c>
    </row>
    <row r="73" spans="1:8" x14ac:dyDescent="0.25">
      <c r="F73" s="6" t="s">
        <v>73</v>
      </c>
      <c r="G73" s="7">
        <v>5286</v>
      </c>
      <c r="H73" s="8">
        <v>-5.098743267504488E-2</v>
      </c>
    </row>
  </sheetData>
  <pageMargins left="0.511811024" right="0.511811024" top="0.78740157499999996" bottom="0.78740157499999996" header="0.31496062000000002" footer="0.31496062000000002"/>
  <pageSetup paperSize="9" orientation="portrait" r:id="rId14"/>
  <drawing r:id="rId15"/>
  <extLst>
    <ext xmlns:x14="http://schemas.microsoft.com/office/spreadsheetml/2009/9/main" uri="{A8765BA9-456A-4dab-B4F3-ACF838C121DE}">
      <x14:slicerList>
        <x14:slicer r:id="rId1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65"/>
  <sheetViews>
    <sheetView topLeftCell="A1048" workbookViewId="0">
      <selection activeCell="D1077" sqref="D1077"/>
    </sheetView>
  </sheetViews>
  <sheetFormatPr defaultRowHeight="15" x14ac:dyDescent="0.25"/>
  <cols>
    <col min="1" max="1" width="8.7109375" bestFit="1" customWidth="1"/>
    <col min="2" max="2" width="12" bestFit="1" customWidth="1"/>
    <col min="3" max="3" width="23.28515625" bestFit="1" customWidth="1"/>
    <col min="4" max="5" width="15.85546875" bestFit="1" customWidth="1"/>
    <col min="6" max="6" width="14.28515625" bestFit="1" customWidth="1"/>
    <col min="7" max="7" width="10.85546875" bestFit="1" customWidth="1"/>
    <col min="8" max="8" width="11.5703125" bestFit="1" customWidth="1"/>
    <col min="9" max="9" width="9.28515625" bestFit="1" customWidth="1"/>
    <col min="10" max="10" width="9.5703125" style="3" bestFit="1" customWidth="1"/>
    <col min="11" max="11" width="10.5703125" style="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62</v>
      </c>
    </row>
    <row r="2" spans="1:11" x14ac:dyDescent="0.25">
      <c r="A2" s="1">
        <v>4355</v>
      </c>
      <c r="B2" s="1" t="s">
        <v>10</v>
      </c>
      <c r="C2" s="1" t="s">
        <v>11</v>
      </c>
      <c r="D2" s="2">
        <v>42370.333333333336</v>
      </c>
      <c r="E2" s="2">
        <v>42383.5</v>
      </c>
      <c r="F2" s="1" t="s">
        <v>12</v>
      </c>
      <c r="G2" s="1" t="s">
        <v>13</v>
      </c>
      <c r="H2" s="1">
        <v>4</v>
      </c>
      <c r="I2" s="1">
        <v>9</v>
      </c>
      <c r="J2" s="3">
        <v>41</v>
      </c>
      <c r="K2" s="3">
        <f>+Treinamentos[[#This Row],[Alunos]]*Treinamentos[[#This Row],[Valor]]</f>
        <v>369</v>
      </c>
    </row>
    <row r="3" spans="1:11" x14ac:dyDescent="0.25">
      <c r="A3" s="1">
        <v>4356</v>
      </c>
      <c r="B3" s="1" t="s">
        <v>14</v>
      </c>
      <c r="C3" s="1" t="s">
        <v>15</v>
      </c>
      <c r="D3" s="2">
        <v>42370.333333333336</v>
      </c>
      <c r="E3" s="2">
        <v>42383.5</v>
      </c>
      <c r="F3" s="1" t="s">
        <v>12</v>
      </c>
      <c r="G3" s="1" t="s">
        <v>16</v>
      </c>
      <c r="H3" s="1">
        <v>2</v>
      </c>
      <c r="I3" s="1">
        <v>11</v>
      </c>
      <c r="J3" s="3">
        <v>62</v>
      </c>
      <c r="K3" s="3">
        <f>+Treinamentos[[#This Row],[Alunos]]*Treinamentos[[#This Row],[Valor]]</f>
        <v>682</v>
      </c>
    </row>
    <row r="4" spans="1:11" x14ac:dyDescent="0.25">
      <c r="A4" s="1">
        <v>4357</v>
      </c>
      <c r="B4" s="1" t="s">
        <v>17</v>
      </c>
      <c r="C4" s="1" t="s">
        <v>18</v>
      </c>
      <c r="D4" s="2">
        <v>42371.375</v>
      </c>
      <c r="E4" s="2">
        <v>42376.75</v>
      </c>
      <c r="F4" s="1" t="s">
        <v>12</v>
      </c>
      <c r="G4" s="1" t="s">
        <v>19</v>
      </c>
      <c r="H4" s="1">
        <v>2</v>
      </c>
      <c r="I4" s="1">
        <v>11</v>
      </c>
      <c r="J4" s="3">
        <v>33</v>
      </c>
      <c r="K4" s="3">
        <f>+Treinamentos[[#This Row],[Alunos]]*Treinamentos[[#This Row],[Valor]]</f>
        <v>363</v>
      </c>
    </row>
    <row r="5" spans="1:11" x14ac:dyDescent="0.25">
      <c r="A5" s="1">
        <v>4358</v>
      </c>
      <c r="B5" s="1" t="s">
        <v>16</v>
      </c>
      <c r="C5" s="1" t="s">
        <v>20</v>
      </c>
      <c r="D5" s="2">
        <v>42373.791666666664</v>
      </c>
      <c r="E5" s="2">
        <v>42384.958333333336</v>
      </c>
      <c r="F5" s="1" t="s">
        <v>21</v>
      </c>
      <c r="G5" s="1" t="s">
        <v>22</v>
      </c>
      <c r="H5" s="1">
        <v>3</v>
      </c>
      <c r="I5" s="1">
        <v>12</v>
      </c>
      <c r="J5" s="3">
        <v>47</v>
      </c>
      <c r="K5" s="3">
        <f>+Treinamentos[[#This Row],[Alunos]]*Treinamentos[[#This Row],[Valor]]</f>
        <v>564</v>
      </c>
    </row>
    <row r="6" spans="1:11" x14ac:dyDescent="0.25">
      <c r="A6" s="1">
        <v>4359</v>
      </c>
      <c r="B6" s="1" t="s">
        <v>17</v>
      </c>
      <c r="C6" s="1" t="s">
        <v>23</v>
      </c>
      <c r="D6" s="2">
        <v>42373.791666666664</v>
      </c>
      <c r="E6" s="2">
        <v>42384.958333333336</v>
      </c>
      <c r="F6" s="1" t="s">
        <v>12</v>
      </c>
      <c r="G6" s="1" t="s">
        <v>24</v>
      </c>
      <c r="H6" s="1">
        <v>2</v>
      </c>
      <c r="I6" s="1">
        <v>11</v>
      </c>
      <c r="J6" s="3">
        <v>47</v>
      </c>
      <c r="K6" s="3">
        <f>+Treinamentos[[#This Row],[Alunos]]*Treinamentos[[#This Row],[Valor]]</f>
        <v>517</v>
      </c>
    </row>
    <row r="7" spans="1:11" x14ac:dyDescent="0.25">
      <c r="A7" s="1">
        <v>4360</v>
      </c>
      <c r="B7" s="1" t="s">
        <v>25</v>
      </c>
      <c r="C7" s="1" t="s">
        <v>26</v>
      </c>
      <c r="D7" s="2">
        <v>42374.791666666664</v>
      </c>
      <c r="E7" s="2">
        <v>42387.958333333336</v>
      </c>
      <c r="F7" s="1" t="s">
        <v>12</v>
      </c>
      <c r="G7" s="1" t="s">
        <v>27</v>
      </c>
      <c r="H7" s="1">
        <v>5</v>
      </c>
      <c r="I7" s="1">
        <v>11</v>
      </c>
      <c r="J7" s="3">
        <v>73</v>
      </c>
      <c r="K7" s="3">
        <f>+Treinamentos[[#This Row],[Alunos]]*Treinamentos[[#This Row],[Valor]]</f>
        <v>803</v>
      </c>
    </row>
    <row r="8" spans="1:11" x14ac:dyDescent="0.25">
      <c r="A8" s="1">
        <v>4361</v>
      </c>
      <c r="B8" s="1" t="s">
        <v>28</v>
      </c>
      <c r="C8" s="1" t="s">
        <v>29</v>
      </c>
      <c r="D8" s="2">
        <v>42375.583333333336</v>
      </c>
      <c r="E8" s="2">
        <v>42388.75</v>
      </c>
      <c r="F8" s="1" t="s">
        <v>12</v>
      </c>
      <c r="G8" s="1" t="s">
        <v>19</v>
      </c>
      <c r="H8" s="1">
        <v>5</v>
      </c>
      <c r="I8" s="1">
        <v>10</v>
      </c>
      <c r="J8" s="3">
        <v>42</v>
      </c>
      <c r="K8" s="3">
        <f>+Treinamentos[[#This Row],[Alunos]]*Treinamentos[[#This Row],[Valor]]</f>
        <v>420</v>
      </c>
    </row>
    <row r="9" spans="1:11" x14ac:dyDescent="0.25">
      <c r="A9" s="1">
        <v>4362</v>
      </c>
      <c r="B9" s="1" t="s">
        <v>30</v>
      </c>
      <c r="C9" s="1" t="s">
        <v>31</v>
      </c>
      <c r="D9" s="2">
        <v>42375.583333333336</v>
      </c>
      <c r="E9" s="2">
        <v>42388.75</v>
      </c>
      <c r="F9" s="1" t="s">
        <v>12</v>
      </c>
      <c r="G9" s="1" t="s">
        <v>32</v>
      </c>
      <c r="H9" s="1">
        <v>4</v>
      </c>
      <c r="I9" s="1">
        <v>10</v>
      </c>
      <c r="J9" s="3">
        <v>61</v>
      </c>
      <c r="K9" s="3">
        <f>+Treinamentos[[#This Row],[Alunos]]*Treinamentos[[#This Row],[Valor]]</f>
        <v>610</v>
      </c>
    </row>
    <row r="10" spans="1:11" x14ac:dyDescent="0.25">
      <c r="A10" s="1">
        <v>4363</v>
      </c>
      <c r="B10" s="1" t="s">
        <v>10</v>
      </c>
      <c r="C10" s="1" t="s">
        <v>23</v>
      </c>
      <c r="D10" s="2">
        <v>42375.583333333336</v>
      </c>
      <c r="E10" s="2">
        <v>42388.75</v>
      </c>
      <c r="F10" s="1" t="s">
        <v>12</v>
      </c>
      <c r="G10" s="1" t="s">
        <v>33</v>
      </c>
      <c r="H10" s="1">
        <v>4</v>
      </c>
      <c r="I10" s="1">
        <v>9</v>
      </c>
      <c r="J10" s="3">
        <v>47</v>
      </c>
      <c r="K10" s="3">
        <f>+Treinamentos[[#This Row],[Alunos]]*Treinamentos[[#This Row],[Valor]]</f>
        <v>423</v>
      </c>
    </row>
    <row r="11" spans="1:11" x14ac:dyDescent="0.25">
      <c r="A11" s="1">
        <v>4364</v>
      </c>
      <c r="B11" s="1" t="s">
        <v>14</v>
      </c>
      <c r="C11" s="1" t="s">
        <v>20</v>
      </c>
      <c r="D11" s="2">
        <v>42377.333333333336</v>
      </c>
      <c r="E11" s="2">
        <v>42390.5</v>
      </c>
      <c r="F11" s="1" t="s">
        <v>12</v>
      </c>
      <c r="G11" s="1" t="s">
        <v>22</v>
      </c>
      <c r="H11" s="1">
        <v>5</v>
      </c>
      <c r="I11" s="1">
        <v>9</v>
      </c>
      <c r="J11" s="3">
        <v>47</v>
      </c>
      <c r="K11" s="3">
        <f>+Treinamentos[[#This Row],[Alunos]]*Treinamentos[[#This Row],[Valor]]</f>
        <v>423</v>
      </c>
    </row>
    <row r="12" spans="1:11" x14ac:dyDescent="0.25">
      <c r="A12" s="1">
        <v>4365</v>
      </c>
      <c r="B12" s="1" t="s">
        <v>17</v>
      </c>
      <c r="C12" s="1" t="s">
        <v>29</v>
      </c>
      <c r="D12" s="2">
        <v>42378.375</v>
      </c>
      <c r="E12" s="2">
        <v>42383.75</v>
      </c>
      <c r="F12" s="1" t="s">
        <v>21</v>
      </c>
      <c r="G12" s="1" t="s">
        <v>34</v>
      </c>
      <c r="H12" s="1">
        <v>5</v>
      </c>
      <c r="I12" s="1">
        <v>10</v>
      </c>
      <c r="J12" s="3">
        <v>42</v>
      </c>
      <c r="K12" s="3">
        <f>+Treinamentos[[#This Row],[Alunos]]*Treinamentos[[#This Row],[Valor]]</f>
        <v>420</v>
      </c>
    </row>
    <row r="13" spans="1:11" x14ac:dyDescent="0.25">
      <c r="A13" s="1">
        <v>4366</v>
      </c>
      <c r="B13" s="1" t="s">
        <v>30</v>
      </c>
      <c r="C13" s="1" t="s">
        <v>35</v>
      </c>
      <c r="D13" s="2">
        <v>42378.375</v>
      </c>
      <c r="E13" s="2">
        <v>42383.75</v>
      </c>
      <c r="F13" s="1" t="s">
        <v>21</v>
      </c>
      <c r="G13" s="1" t="s">
        <v>16</v>
      </c>
      <c r="H13" s="1">
        <v>3</v>
      </c>
      <c r="I13" s="1">
        <v>10</v>
      </c>
      <c r="J13" s="3">
        <v>47</v>
      </c>
      <c r="K13" s="3">
        <f>+Treinamentos[[#This Row],[Alunos]]*Treinamentos[[#This Row],[Valor]]</f>
        <v>470</v>
      </c>
    </row>
    <row r="14" spans="1:11" x14ac:dyDescent="0.25">
      <c r="A14" s="1">
        <v>4367</v>
      </c>
      <c r="B14" s="1" t="s">
        <v>25</v>
      </c>
      <c r="C14" s="1" t="s">
        <v>23</v>
      </c>
      <c r="D14" s="2">
        <v>42378.375</v>
      </c>
      <c r="E14" s="2">
        <v>42383.75</v>
      </c>
      <c r="F14" s="1" t="s">
        <v>12</v>
      </c>
      <c r="G14" s="1" t="s">
        <v>36</v>
      </c>
      <c r="H14" s="1">
        <v>3</v>
      </c>
      <c r="I14" s="1">
        <v>12</v>
      </c>
      <c r="J14" s="3">
        <v>47</v>
      </c>
      <c r="K14" s="3">
        <f>+Treinamentos[[#This Row],[Alunos]]*Treinamentos[[#This Row],[Valor]]</f>
        <v>564</v>
      </c>
    </row>
    <row r="15" spans="1:11" x14ac:dyDescent="0.25">
      <c r="A15" s="1">
        <v>4368</v>
      </c>
      <c r="B15" s="1" t="s">
        <v>37</v>
      </c>
      <c r="C15" s="1" t="s">
        <v>23</v>
      </c>
      <c r="D15" s="2">
        <v>42380.791666666664</v>
      </c>
      <c r="E15" s="2">
        <v>42391.958333333336</v>
      </c>
      <c r="F15" s="1" t="s">
        <v>12</v>
      </c>
      <c r="G15" s="1" t="s">
        <v>36</v>
      </c>
      <c r="H15" s="1">
        <v>5</v>
      </c>
      <c r="I15" s="1">
        <v>9</v>
      </c>
      <c r="J15" s="3">
        <v>47</v>
      </c>
      <c r="K15" s="3">
        <f>+Treinamentos[[#This Row],[Alunos]]*Treinamentos[[#This Row],[Valor]]</f>
        <v>423</v>
      </c>
    </row>
    <row r="16" spans="1:11" x14ac:dyDescent="0.25">
      <c r="A16" s="1">
        <v>4369</v>
      </c>
      <c r="B16" s="1" t="s">
        <v>37</v>
      </c>
      <c r="C16" s="1" t="s">
        <v>29</v>
      </c>
      <c r="D16" s="2">
        <v>42382.583333333336</v>
      </c>
      <c r="E16" s="2">
        <v>42395.75</v>
      </c>
      <c r="F16" s="1" t="s">
        <v>12</v>
      </c>
      <c r="G16" s="1" t="s">
        <v>27</v>
      </c>
      <c r="H16" s="1">
        <v>5</v>
      </c>
      <c r="I16" s="1">
        <v>12</v>
      </c>
      <c r="J16" s="3">
        <v>42</v>
      </c>
      <c r="K16" s="3">
        <f>+Treinamentos[[#This Row],[Alunos]]*Treinamentos[[#This Row],[Valor]]</f>
        <v>504</v>
      </c>
    </row>
    <row r="17" spans="1:11" x14ac:dyDescent="0.25">
      <c r="A17" s="1">
        <v>4370</v>
      </c>
      <c r="B17" s="1" t="s">
        <v>37</v>
      </c>
      <c r="C17" s="1" t="s">
        <v>35</v>
      </c>
      <c r="D17" s="2">
        <v>42382.583333333336</v>
      </c>
      <c r="E17" s="2">
        <v>42395.75</v>
      </c>
      <c r="F17" s="1" t="s">
        <v>21</v>
      </c>
      <c r="G17" s="1" t="s">
        <v>32</v>
      </c>
      <c r="H17" s="1">
        <v>2</v>
      </c>
      <c r="I17" s="1">
        <v>8</v>
      </c>
      <c r="J17" s="3">
        <v>47</v>
      </c>
      <c r="K17" s="3">
        <f>+Treinamentos[[#This Row],[Alunos]]*Treinamentos[[#This Row],[Valor]]</f>
        <v>376</v>
      </c>
    </row>
    <row r="18" spans="1:11" x14ac:dyDescent="0.25">
      <c r="A18" s="1">
        <v>4371</v>
      </c>
      <c r="B18" s="1" t="s">
        <v>28</v>
      </c>
      <c r="C18" s="1" t="s">
        <v>20</v>
      </c>
      <c r="D18" s="2">
        <v>42383.375</v>
      </c>
      <c r="E18" s="2">
        <v>42389.75</v>
      </c>
      <c r="F18" s="1" t="s">
        <v>12</v>
      </c>
      <c r="G18" s="1" t="s">
        <v>19</v>
      </c>
      <c r="H18" s="1">
        <v>5</v>
      </c>
      <c r="I18" s="1">
        <v>8</v>
      </c>
      <c r="J18" s="3">
        <v>47</v>
      </c>
      <c r="K18" s="3">
        <f>+Treinamentos[[#This Row],[Alunos]]*Treinamentos[[#This Row],[Valor]]</f>
        <v>376</v>
      </c>
    </row>
    <row r="19" spans="1:11" x14ac:dyDescent="0.25">
      <c r="A19" s="1">
        <v>4372</v>
      </c>
      <c r="B19" s="1" t="s">
        <v>30</v>
      </c>
      <c r="C19" s="1" t="s">
        <v>20</v>
      </c>
      <c r="D19" s="2">
        <v>42387.791666666664</v>
      </c>
      <c r="E19" s="2">
        <v>42398.958333333336</v>
      </c>
      <c r="F19" s="1" t="s">
        <v>12</v>
      </c>
      <c r="G19" s="1" t="s">
        <v>38</v>
      </c>
      <c r="H19" s="1">
        <v>5</v>
      </c>
      <c r="I19" s="1">
        <v>12</v>
      </c>
      <c r="J19" s="3">
        <v>47</v>
      </c>
      <c r="K19" s="3">
        <f>+Treinamentos[[#This Row],[Alunos]]*Treinamentos[[#This Row],[Valor]]</f>
        <v>564</v>
      </c>
    </row>
    <row r="20" spans="1:11" x14ac:dyDescent="0.25">
      <c r="A20" s="1">
        <v>4373</v>
      </c>
      <c r="B20" s="1" t="s">
        <v>25</v>
      </c>
      <c r="C20" s="1" t="s">
        <v>15</v>
      </c>
      <c r="D20" s="2">
        <v>42387.791666666664</v>
      </c>
      <c r="E20" s="2">
        <v>42398.958333333336</v>
      </c>
      <c r="F20" s="1" t="s">
        <v>12</v>
      </c>
      <c r="G20" s="1" t="s">
        <v>13</v>
      </c>
      <c r="H20" s="1">
        <v>3</v>
      </c>
      <c r="I20" s="1">
        <v>12</v>
      </c>
      <c r="J20" s="3">
        <v>62</v>
      </c>
      <c r="K20" s="3">
        <f>+Treinamentos[[#This Row],[Alunos]]*Treinamentos[[#This Row],[Valor]]</f>
        <v>744</v>
      </c>
    </row>
    <row r="21" spans="1:11" x14ac:dyDescent="0.25">
      <c r="A21">
        <v>4374</v>
      </c>
      <c r="B21" s="1" t="s">
        <v>16</v>
      </c>
      <c r="C21" s="1" t="s">
        <v>26</v>
      </c>
      <c r="D21" s="2">
        <v>42387.791666666664</v>
      </c>
      <c r="E21" s="2">
        <v>42398.958333333336</v>
      </c>
      <c r="F21" s="1" t="s">
        <v>21</v>
      </c>
      <c r="G21" s="1" t="s">
        <v>33</v>
      </c>
      <c r="H21">
        <v>3</v>
      </c>
      <c r="I21">
        <v>8</v>
      </c>
      <c r="J21" s="3">
        <v>73</v>
      </c>
      <c r="K21" s="3">
        <f>+Treinamentos[[#This Row],[Alunos]]*Treinamentos[[#This Row],[Valor]]</f>
        <v>584</v>
      </c>
    </row>
    <row r="22" spans="1:11" x14ac:dyDescent="0.25">
      <c r="A22">
        <v>4375</v>
      </c>
      <c r="B22" s="1" t="s">
        <v>17</v>
      </c>
      <c r="C22" s="1" t="s">
        <v>39</v>
      </c>
      <c r="D22" s="2">
        <v>42387.791666666664</v>
      </c>
      <c r="E22" s="2">
        <v>42398.958333333336</v>
      </c>
      <c r="F22" s="1" t="s">
        <v>12</v>
      </c>
      <c r="G22" s="1" t="s">
        <v>16</v>
      </c>
      <c r="H22">
        <v>2</v>
      </c>
      <c r="I22">
        <v>12</v>
      </c>
      <c r="J22" s="3">
        <v>61</v>
      </c>
      <c r="K22" s="3">
        <f>+Treinamentos[[#This Row],[Alunos]]*Treinamentos[[#This Row],[Valor]]</f>
        <v>732</v>
      </c>
    </row>
    <row r="23" spans="1:11" x14ac:dyDescent="0.25">
      <c r="A23">
        <v>4376</v>
      </c>
      <c r="B23" s="1" t="s">
        <v>30</v>
      </c>
      <c r="C23" s="1" t="s">
        <v>40</v>
      </c>
      <c r="D23" s="2">
        <v>42390.375</v>
      </c>
      <c r="E23" s="2">
        <v>42396.75</v>
      </c>
      <c r="F23" s="1" t="s">
        <v>21</v>
      </c>
      <c r="G23" s="1" t="s">
        <v>19</v>
      </c>
      <c r="H23">
        <v>5</v>
      </c>
      <c r="I23">
        <v>10</v>
      </c>
      <c r="J23" s="3">
        <v>51</v>
      </c>
      <c r="K23" s="3">
        <f>+Treinamentos[[#This Row],[Alunos]]*Treinamentos[[#This Row],[Valor]]</f>
        <v>510</v>
      </c>
    </row>
    <row r="24" spans="1:11" x14ac:dyDescent="0.25">
      <c r="A24">
        <v>4377</v>
      </c>
      <c r="B24" s="1" t="s">
        <v>41</v>
      </c>
      <c r="C24" s="1" t="s">
        <v>11</v>
      </c>
      <c r="D24" s="2">
        <v>42390.375</v>
      </c>
      <c r="E24" s="2">
        <v>42396.75</v>
      </c>
      <c r="F24" s="1" t="s">
        <v>21</v>
      </c>
      <c r="G24" s="1" t="s">
        <v>42</v>
      </c>
      <c r="H24">
        <v>3</v>
      </c>
      <c r="I24">
        <v>12</v>
      </c>
      <c r="J24" s="3">
        <v>41</v>
      </c>
      <c r="K24" s="3">
        <f>+Treinamentos[[#This Row],[Alunos]]*Treinamentos[[#This Row],[Valor]]</f>
        <v>492</v>
      </c>
    </row>
    <row r="25" spans="1:11" x14ac:dyDescent="0.25">
      <c r="A25">
        <v>4378</v>
      </c>
      <c r="B25" s="1" t="s">
        <v>25</v>
      </c>
      <c r="C25" s="1" t="s">
        <v>43</v>
      </c>
      <c r="D25" s="2">
        <v>42391.333333333336</v>
      </c>
      <c r="E25" s="2">
        <v>42404.5</v>
      </c>
      <c r="F25" s="1" t="s">
        <v>12</v>
      </c>
      <c r="G25" s="1" t="s">
        <v>13</v>
      </c>
      <c r="H25">
        <v>3</v>
      </c>
      <c r="I25">
        <v>8</v>
      </c>
      <c r="J25" s="3">
        <v>31</v>
      </c>
      <c r="K25" s="3">
        <f>+Treinamentos[[#This Row],[Alunos]]*Treinamentos[[#This Row],[Valor]]</f>
        <v>248</v>
      </c>
    </row>
    <row r="26" spans="1:11" x14ac:dyDescent="0.25">
      <c r="A26">
        <v>4379</v>
      </c>
      <c r="B26" s="1" t="s">
        <v>30</v>
      </c>
      <c r="C26" s="1" t="s">
        <v>43</v>
      </c>
      <c r="D26" s="2">
        <v>42391.333333333336</v>
      </c>
      <c r="E26" s="2">
        <v>42404.5</v>
      </c>
      <c r="F26" s="1" t="s">
        <v>12</v>
      </c>
      <c r="G26" s="1" t="s">
        <v>34</v>
      </c>
      <c r="H26">
        <v>2</v>
      </c>
      <c r="I26">
        <v>8</v>
      </c>
      <c r="J26" s="3">
        <v>31</v>
      </c>
      <c r="K26" s="3">
        <f>+Treinamentos[[#This Row],[Alunos]]*Treinamentos[[#This Row],[Valor]]</f>
        <v>248</v>
      </c>
    </row>
    <row r="27" spans="1:11" x14ac:dyDescent="0.25">
      <c r="A27">
        <v>4380</v>
      </c>
      <c r="B27" s="1" t="s">
        <v>41</v>
      </c>
      <c r="C27" s="1" t="s">
        <v>23</v>
      </c>
      <c r="D27" s="2">
        <v>42394.791666666664</v>
      </c>
      <c r="E27" s="2">
        <v>42405.958333333336</v>
      </c>
      <c r="F27" s="1" t="s">
        <v>12</v>
      </c>
      <c r="G27" s="1" t="s">
        <v>19</v>
      </c>
      <c r="H27">
        <v>3</v>
      </c>
      <c r="I27">
        <v>12</v>
      </c>
      <c r="J27" s="3">
        <v>47</v>
      </c>
      <c r="K27" s="3">
        <f>+Treinamentos[[#This Row],[Alunos]]*Treinamentos[[#This Row],[Valor]]</f>
        <v>564</v>
      </c>
    </row>
    <row r="28" spans="1:11" x14ac:dyDescent="0.25">
      <c r="A28">
        <v>4381</v>
      </c>
      <c r="B28" s="1" t="s">
        <v>41</v>
      </c>
      <c r="C28" s="1" t="s">
        <v>18</v>
      </c>
      <c r="D28" s="2">
        <v>42394.791666666664</v>
      </c>
      <c r="E28" s="2">
        <v>42405.958333333336</v>
      </c>
      <c r="F28" s="1" t="s">
        <v>21</v>
      </c>
      <c r="G28" s="1" t="s">
        <v>44</v>
      </c>
      <c r="H28">
        <v>3</v>
      </c>
      <c r="I28">
        <v>8</v>
      </c>
      <c r="J28" s="3">
        <v>33</v>
      </c>
      <c r="K28" s="3">
        <f>+Treinamentos[[#This Row],[Alunos]]*Treinamentos[[#This Row],[Valor]]</f>
        <v>264</v>
      </c>
    </row>
    <row r="29" spans="1:11" x14ac:dyDescent="0.25">
      <c r="A29">
        <v>4382</v>
      </c>
      <c r="B29" s="1" t="s">
        <v>30</v>
      </c>
      <c r="C29" s="1" t="s">
        <v>35</v>
      </c>
      <c r="D29" s="2">
        <v>42394.791666666664</v>
      </c>
      <c r="E29" s="2">
        <v>42405.958333333336</v>
      </c>
      <c r="F29" s="1" t="s">
        <v>21</v>
      </c>
      <c r="G29" s="1" t="s">
        <v>36</v>
      </c>
      <c r="H29">
        <v>2</v>
      </c>
      <c r="I29">
        <v>9</v>
      </c>
      <c r="J29" s="3">
        <v>47</v>
      </c>
      <c r="K29" s="3">
        <f>+Treinamentos[[#This Row],[Alunos]]*Treinamentos[[#This Row],[Valor]]</f>
        <v>423</v>
      </c>
    </row>
    <row r="30" spans="1:11" x14ac:dyDescent="0.25">
      <c r="A30">
        <v>4383</v>
      </c>
      <c r="B30" s="1" t="s">
        <v>16</v>
      </c>
      <c r="C30" s="1" t="s">
        <v>45</v>
      </c>
      <c r="D30" s="2">
        <v>42395.791666666664</v>
      </c>
      <c r="E30" s="2">
        <v>42408.958333333336</v>
      </c>
      <c r="F30" s="1" t="s">
        <v>21</v>
      </c>
      <c r="G30" s="1" t="s">
        <v>33</v>
      </c>
      <c r="H30">
        <v>3</v>
      </c>
      <c r="I30">
        <v>11</v>
      </c>
      <c r="J30" s="3">
        <v>52</v>
      </c>
      <c r="K30" s="3">
        <f>+Treinamentos[[#This Row],[Alunos]]*Treinamentos[[#This Row],[Valor]]</f>
        <v>572</v>
      </c>
    </row>
    <row r="31" spans="1:11" x14ac:dyDescent="0.25">
      <c r="A31">
        <v>4384</v>
      </c>
      <c r="B31" s="1" t="s">
        <v>17</v>
      </c>
      <c r="C31" s="1" t="s">
        <v>23</v>
      </c>
      <c r="D31" s="2">
        <v>42395.791666666664</v>
      </c>
      <c r="E31" s="2">
        <v>42408.958333333336</v>
      </c>
      <c r="F31" s="1" t="s">
        <v>21</v>
      </c>
      <c r="G31" s="1" t="s">
        <v>34</v>
      </c>
      <c r="H31">
        <v>3</v>
      </c>
      <c r="I31">
        <v>8</v>
      </c>
      <c r="J31" s="3">
        <v>47</v>
      </c>
      <c r="K31" s="3">
        <f>+Treinamentos[[#This Row],[Alunos]]*Treinamentos[[#This Row],[Valor]]</f>
        <v>376</v>
      </c>
    </row>
    <row r="32" spans="1:11" x14ac:dyDescent="0.25">
      <c r="A32">
        <v>4385</v>
      </c>
      <c r="B32" s="1" t="s">
        <v>16</v>
      </c>
      <c r="C32" s="1" t="s">
        <v>45</v>
      </c>
      <c r="D32" s="2">
        <v>42395.791666666664</v>
      </c>
      <c r="E32" s="2">
        <v>42408.958333333336</v>
      </c>
      <c r="F32" s="1" t="s">
        <v>21</v>
      </c>
      <c r="G32" s="1" t="s">
        <v>33</v>
      </c>
      <c r="H32">
        <v>4</v>
      </c>
      <c r="I32">
        <v>9</v>
      </c>
      <c r="J32" s="3">
        <v>52</v>
      </c>
      <c r="K32" s="3">
        <f>+Treinamentos[[#This Row],[Alunos]]*Treinamentos[[#This Row],[Valor]]</f>
        <v>468</v>
      </c>
    </row>
    <row r="33" spans="1:11" x14ac:dyDescent="0.25">
      <c r="A33">
        <v>4386</v>
      </c>
      <c r="B33" s="1" t="s">
        <v>16</v>
      </c>
      <c r="C33" s="1" t="s">
        <v>23</v>
      </c>
      <c r="D33" s="2">
        <v>42396.583333333336</v>
      </c>
      <c r="E33" s="2">
        <v>42409.75</v>
      </c>
      <c r="F33" s="1" t="s">
        <v>12</v>
      </c>
      <c r="G33" s="1" t="s">
        <v>42</v>
      </c>
      <c r="H33">
        <v>2</v>
      </c>
      <c r="I33">
        <v>11</v>
      </c>
      <c r="J33" s="3">
        <v>47</v>
      </c>
      <c r="K33" s="3">
        <f>+Treinamentos[[#This Row],[Alunos]]*Treinamentos[[#This Row],[Valor]]</f>
        <v>517</v>
      </c>
    </row>
    <row r="34" spans="1:11" x14ac:dyDescent="0.25">
      <c r="A34">
        <v>4387</v>
      </c>
      <c r="B34" s="1" t="s">
        <v>28</v>
      </c>
      <c r="C34" s="1" t="s">
        <v>15</v>
      </c>
      <c r="D34" s="2">
        <v>42397.375</v>
      </c>
      <c r="E34" s="2">
        <v>42403.75</v>
      </c>
      <c r="F34" s="1" t="s">
        <v>21</v>
      </c>
      <c r="G34" s="1" t="s">
        <v>44</v>
      </c>
      <c r="H34">
        <v>4</v>
      </c>
      <c r="I34">
        <v>11</v>
      </c>
      <c r="J34" s="3">
        <v>62</v>
      </c>
      <c r="K34" s="3">
        <f>+Treinamentos[[#This Row],[Alunos]]*Treinamentos[[#This Row],[Valor]]</f>
        <v>682</v>
      </c>
    </row>
    <row r="35" spans="1:11" x14ac:dyDescent="0.25">
      <c r="A35">
        <v>4388</v>
      </c>
      <c r="B35" s="1" t="s">
        <v>14</v>
      </c>
      <c r="C35" s="1" t="s">
        <v>43</v>
      </c>
      <c r="D35" s="2">
        <v>42399.375</v>
      </c>
      <c r="E35" s="2">
        <v>42404.75</v>
      </c>
      <c r="F35" s="1" t="s">
        <v>12</v>
      </c>
      <c r="G35" s="1" t="s">
        <v>46</v>
      </c>
      <c r="H35">
        <v>4</v>
      </c>
      <c r="I35">
        <v>10</v>
      </c>
      <c r="J35" s="3">
        <v>31</v>
      </c>
      <c r="K35" s="3">
        <f>+Treinamentos[[#This Row],[Alunos]]*Treinamentos[[#This Row],[Valor]]</f>
        <v>310</v>
      </c>
    </row>
    <row r="36" spans="1:11" x14ac:dyDescent="0.25">
      <c r="A36">
        <v>4389</v>
      </c>
      <c r="B36" s="1" t="s">
        <v>28</v>
      </c>
      <c r="C36" s="1" t="s">
        <v>23</v>
      </c>
      <c r="D36" s="2">
        <v>42399.375</v>
      </c>
      <c r="E36" s="2">
        <v>42404.75</v>
      </c>
      <c r="F36" s="1" t="s">
        <v>12</v>
      </c>
      <c r="G36" s="1" t="s">
        <v>19</v>
      </c>
      <c r="H36">
        <v>5</v>
      </c>
      <c r="I36">
        <v>9</v>
      </c>
      <c r="J36" s="3">
        <v>47</v>
      </c>
      <c r="K36" s="3">
        <f>+Treinamentos[[#This Row],[Alunos]]*Treinamentos[[#This Row],[Valor]]</f>
        <v>423</v>
      </c>
    </row>
    <row r="37" spans="1:11" x14ac:dyDescent="0.25">
      <c r="A37">
        <v>4390</v>
      </c>
      <c r="B37" s="1" t="s">
        <v>10</v>
      </c>
      <c r="C37" s="1" t="s">
        <v>26</v>
      </c>
      <c r="D37" s="2">
        <v>42401.791666666664</v>
      </c>
      <c r="E37" s="2">
        <v>42412.958333333336</v>
      </c>
      <c r="F37" s="1" t="s">
        <v>21</v>
      </c>
      <c r="G37" s="1" t="s">
        <v>47</v>
      </c>
      <c r="H37">
        <v>3</v>
      </c>
      <c r="I37">
        <v>11</v>
      </c>
      <c r="J37" s="3">
        <v>73</v>
      </c>
      <c r="K37" s="3">
        <f>+Treinamentos[[#This Row],[Alunos]]*Treinamentos[[#This Row],[Valor]]</f>
        <v>803</v>
      </c>
    </row>
    <row r="38" spans="1:11" x14ac:dyDescent="0.25">
      <c r="A38">
        <v>4391</v>
      </c>
      <c r="B38" s="1" t="s">
        <v>37</v>
      </c>
      <c r="C38" s="1" t="s">
        <v>35</v>
      </c>
      <c r="D38" s="2">
        <v>42401.791666666664</v>
      </c>
      <c r="E38" s="2">
        <v>42412.958333333336</v>
      </c>
      <c r="F38" s="1" t="s">
        <v>21</v>
      </c>
      <c r="G38" s="1" t="s">
        <v>44</v>
      </c>
      <c r="H38">
        <v>3</v>
      </c>
      <c r="I38">
        <v>11</v>
      </c>
      <c r="J38" s="3">
        <v>47</v>
      </c>
      <c r="K38" s="3">
        <f>+Treinamentos[[#This Row],[Alunos]]*Treinamentos[[#This Row],[Valor]]</f>
        <v>517</v>
      </c>
    </row>
    <row r="39" spans="1:11" x14ac:dyDescent="0.25">
      <c r="A39">
        <v>4392</v>
      </c>
      <c r="B39" s="1" t="s">
        <v>14</v>
      </c>
      <c r="C39" s="1" t="s">
        <v>15</v>
      </c>
      <c r="D39" s="2">
        <v>42401.791666666664</v>
      </c>
      <c r="E39" s="2">
        <v>42412.958333333336</v>
      </c>
      <c r="F39" s="1" t="s">
        <v>21</v>
      </c>
      <c r="G39" s="1" t="s">
        <v>22</v>
      </c>
      <c r="H39">
        <v>4</v>
      </c>
      <c r="I39">
        <v>8</v>
      </c>
      <c r="J39" s="3">
        <v>62</v>
      </c>
      <c r="K39" s="3">
        <f>+Treinamentos[[#This Row],[Alunos]]*Treinamentos[[#This Row],[Valor]]</f>
        <v>496</v>
      </c>
    </row>
    <row r="40" spans="1:11" x14ac:dyDescent="0.25">
      <c r="A40">
        <v>4393</v>
      </c>
      <c r="B40" s="1" t="s">
        <v>37</v>
      </c>
      <c r="C40" s="1" t="s">
        <v>43</v>
      </c>
      <c r="D40" s="2">
        <v>42401.791666666664</v>
      </c>
      <c r="E40" s="2">
        <v>42412.958333333336</v>
      </c>
      <c r="F40" s="1" t="s">
        <v>12</v>
      </c>
      <c r="G40" s="1" t="s">
        <v>34</v>
      </c>
      <c r="H40">
        <v>2</v>
      </c>
      <c r="I40">
        <v>8</v>
      </c>
      <c r="J40" s="3">
        <v>31</v>
      </c>
      <c r="K40" s="3">
        <f>+Treinamentos[[#This Row],[Alunos]]*Treinamentos[[#This Row],[Valor]]</f>
        <v>248</v>
      </c>
    </row>
    <row r="41" spans="1:11" x14ac:dyDescent="0.25">
      <c r="A41">
        <v>4394</v>
      </c>
      <c r="B41" s="1" t="s">
        <v>14</v>
      </c>
      <c r="C41" s="1" t="s">
        <v>15</v>
      </c>
      <c r="D41" s="2">
        <v>42401.791666666664</v>
      </c>
      <c r="E41" s="2">
        <v>42412.958333333336</v>
      </c>
      <c r="F41" s="1" t="s">
        <v>21</v>
      </c>
      <c r="G41" s="1" t="s">
        <v>34</v>
      </c>
      <c r="H41">
        <v>2</v>
      </c>
      <c r="I41">
        <v>8</v>
      </c>
      <c r="J41" s="3">
        <v>62</v>
      </c>
      <c r="K41" s="3">
        <f>+Treinamentos[[#This Row],[Alunos]]*Treinamentos[[#This Row],[Valor]]</f>
        <v>496</v>
      </c>
    </row>
    <row r="42" spans="1:11" x14ac:dyDescent="0.25">
      <c r="A42">
        <v>4395</v>
      </c>
      <c r="B42" s="1" t="s">
        <v>16</v>
      </c>
      <c r="C42" s="1" t="s">
        <v>31</v>
      </c>
      <c r="D42" s="2">
        <v>42401.791666666664</v>
      </c>
      <c r="E42" s="2">
        <v>42412.958333333336</v>
      </c>
      <c r="F42" s="1" t="s">
        <v>12</v>
      </c>
      <c r="G42" s="1" t="s">
        <v>34</v>
      </c>
      <c r="H42">
        <v>3</v>
      </c>
      <c r="I42">
        <v>8</v>
      </c>
      <c r="J42" s="3">
        <v>61</v>
      </c>
      <c r="K42" s="3">
        <f>+Treinamentos[[#This Row],[Alunos]]*Treinamentos[[#This Row],[Valor]]</f>
        <v>488</v>
      </c>
    </row>
    <row r="43" spans="1:11" x14ac:dyDescent="0.25">
      <c r="A43">
        <v>4396</v>
      </c>
      <c r="B43" s="1" t="s">
        <v>25</v>
      </c>
      <c r="C43" s="1" t="s">
        <v>29</v>
      </c>
      <c r="D43" s="2">
        <v>42401.791666666664</v>
      </c>
      <c r="E43" s="2">
        <v>42412.958333333336</v>
      </c>
      <c r="F43" s="1" t="s">
        <v>21</v>
      </c>
      <c r="G43" s="1" t="s">
        <v>33</v>
      </c>
      <c r="H43">
        <v>3</v>
      </c>
      <c r="I43">
        <v>10</v>
      </c>
      <c r="J43" s="3">
        <v>42</v>
      </c>
      <c r="K43" s="3">
        <f>+Treinamentos[[#This Row],[Alunos]]*Treinamentos[[#This Row],[Valor]]</f>
        <v>420</v>
      </c>
    </row>
    <row r="44" spans="1:11" x14ac:dyDescent="0.25">
      <c r="A44">
        <v>4397</v>
      </c>
      <c r="B44" s="1" t="s">
        <v>25</v>
      </c>
      <c r="C44" s="1" t="s">
        <v>11</v>
      </c>
      <c r="D44" s="2">
        <v>42401.791666666664</v>
      </c>
      <c r="E44" s="2">
        <v>42412.958333333336</v>
      </c>
      <c r="F44" s="1" t="s">
        <v>21</v>
      </c>
      <c r="G44" s="1" t="s">
        <v>24</v>
      </c>
      <c r="H44">
        <v>3</v>
      </c>
      <c r="I44">
        <v>11</v>
      </c>
      <c r="J44" s="3">
        <v>41</v>
      </c>
      <c r="K44" s="3">
        <f>+Treinamentos[[#This Row],[Alunos]]*Treinamentos[[#This Row],[Valor]]</f>
        <v>451</v>
      </c>
    </row>
    <row r="45" spans="1:11" x14ac:dyDescent="0.25">
      <c r="A45">
        <v>4398</v>
      </c>
      <c r="B45" s="1" t="s">
        <v>41</v>
      </c>
      <c r="C45" s="1" t="s">
        <v>43</v>
      </c>
      <c r="D45" s="2">
        <v>42404.375</v>
      </c>
      <c r="E45" s="2">
        <v>42410.75</v>
      </c>
      <c r="F45" s="1" t="s">
        <v>21</v>
      </c>
      <c r="G45" s="1" t="s">
        <v>27</v>
      </c>
      <c r="H45">
        <v>3</v>
      </c>
      <c r="I45">
        <v>9</v>
      </c>
      <c r="J45" s="3">
        <v>31</v>
      </c>
      <c r="K45" s="3">
        <f>+Treinamentos[[#This Row],[Alunos]]*Treinamentos[[#This Row],[Valor]]</f>
        <v>279</v>
      </c>
    </row>
    <row r="46" spans="1:11" x14ac:dyDescent="0.25">
      <c r="A46">
        <v>4399</v>
      </c>
      <c r="B46" s="1" t="s">
        <v>17</v>
      </c>
      <c r="C46" s="1" t="s">
        <v>43</v>
      </c>
      <c r="D46" s="2">
        <v>42404.375</v>
      </c>
      <c r="E46" s="2">
        <v>42410.75</v>
      </c>
      <c r="F46" s="1" t="s">
        <v>12</v>
      </c>
      <c r="G46" s="1" t="s">
        <v>46</v>
      </c>
      <c r="H46">
        <v>5</v>
      </c>
      <c r="I46">
        <v>11</v>
      </c>
      <c r="J46" s="3">
        <v>31</v>
      </c>
      <c r="K46" s="3">
        <f>+Treinamentos[[#This Row],[Alunos]]*Treinamentos[[#This Row],[Valor]]</f>
        <v>341</v>
      </c>
    </row>
    <row r="47" spans="1:11" x14ac:dyDescent="0.25">
      <c r="A47">
        <v>4400</v>
      </c>
      <c r="B47" s="1" t="s">
        <v>16</v>
      </c>
      <c r="C47" s="1" t="s">
        <v>20</v>
      </c>
      <c r="D47" s="2">
        <v>42405.333333333336</v>
      </c>
      <c r="E47" s="2">
        <v>42418.5</v>
      </c>
      <c r="F47" s="1" t="s">
        <v>12</v>
      </c>
      <c r="G47" s="1" t="s">
        <v>38</v>
      </c>
      <c r="H47">
        <v>4</v>
      </c>
      <c r="I47">
        <v>12</v>
      </c>
      <c r="J47" s="3">
        <v>47</v>
      </c>
      <c r="K47" s="3">
        <f>+Treinamentos[[#This Row],[Alunos]]*Treinamentos[[#This Row],[Valor]]</f>
        <v>564</v>
      </c>
    </row>
    <row r="48" spans="1:11" x14ac:dyDescent="0.25">
      <c r="A48">
        <v>4401</v>
      </c>
      <c r="B48" s="1" t="s">
        <v>37</v>
      </c>
      <c r="C48" s="1" t="s">
        <v>11</v>
      </c>
      <c r="D48" s="2">
        <v>42405.333333333336</v>
      </c>
      <c r="E48" s="2">
        <v>42418.5</v>
      </c>
      <c r="F48" s="1" t="s">
        <v>21</v>
      </c>
      <c r="G48" s="1" t="s">
        <v>24</v>
      </c>
      <c r="H48">
        <v>3</v>
      </c>
      <c r="I48">
        <v>12</v>
      </c>
      <c r="J48" s="3">
        <v>41</v>
      </c>
      <c r="K48" s="3">
        <f>+Treinamentos[[#This Row],[Alunos]]*Treinamentos[[#This Row],[Valor]]</f>
        <v>492</v>
      </c>
    </row>
    <row r="49" spans="1:11" x14ac:dyDescent="0.25">
      <c r="A49">
        <v>4402</v>
      </c>
      <c r="B49" s="1" t="s">
        <v>10</v>
      </c>
      <c r="C49" s="1" t="s">
        <v>31</v>
      </c>
      <c r="D49" s="2">
        <v>42406.375</v>
      </c>
      <c r="E49" s="2">
        <v>42411.75</v>
      </c>
      <c r="F49" s="1" t="s">
        <v>12</v>
      </c>
      <c r="G49" s="1" t="s">
        <v>27</v>
      </c>
      <c r="H49">
        <v>5</v>
      </c>
      <c r="I49">
        <v>8</v>
      </c>
      <c r="J49" s="3">
        <v>61</v>
      </c>
      <c r="K49" s="3">
        <f>+Treinamentos[[#This Row],[Alunos]]*Treinamentos[[#This Row],[Valor]]</f>
        <v>488</v>
      </c>
    </row>
    <row r="50" spans="1:11" x14ac:dyDescent="0.25">
      <c r="A50">
        <v>4403</v>
      </c>
      <c r="B50" s="1" t="s">
        <v>28</v>
      </c>
      <c r="C50" s="1" t="s">
        <v>20</v>
      </c>
      <c r="D50" s="2">
        <v>42408.791666666664</v>
      </c>
      <c r="E50" s="2">
        <v>42419.958333333336</v>
      </c>
      <c r="F50" s="1" t="s">
        <v>12</v>
      </c>
      <c r="G50" s="1" t="s">
        <v>36</v>
      </c>
      <c r="H50">
        <v>5</v>
      </c>
      <c r="I50">
        <v>12</v>
      </c>
      <c r="J50" s="3">
        <v>47</v>
      </c>
      <c r="K50" s="3">
        <f>+Treinamentos[[#This Row],[Alunos]]*Treinamentos[[#This Row],[Valor]]</f>
        <v>564</v>
      </c>
    </row>
    <row r="51" spans="1:11" x14ac:dyDescent="0.25">
      <c r="A51">
        <v>4404</v>
      </c>
      <c r="B51" s="1" t="s">
        <v>30</v>
      </c>
      <c r="C51" s="1" t="s">
        <v>43</v>
      </c>
      <c r="D51" s="2">
        <v>42409.791666666664</v>
      </c>
      <c r="E51" s="2">
        <v>42422.958333333336</v>
      </c>
      <c r="F51" s="1" t="s">
        <v>21</v>
      </c>
      <c r="G51" s="1" t="s">
        <v>19</v>
      </c>
      <c r="H51">
        <v>3</v>
      </c>
      <c r="I51">
        <v>9</v>
      </c>
      <c r="J51" s="3">
        <v>31</v>
      </c>
      <c r="K51" s="3">
        <f>+Treinamentos[[#This Row],[Alunos]]*Treinamentos[[#This Row],[Valor]]</f>
        <v>279</v>
      </c>
    </row>
    <row r="52" spans="1:11" x14ac:dyDescent="0.25">
      <c r="A52">
        <v>4405</v>
      </c>
      <c r="B52" s="1" t="s">
        <v>30</v>
      </c>
      <c r="C52" s="1" t="s">
        <v>11</v>
      </c>
      <c r="D52" s="2">
        <v>42409.791666666664</v>
      </c>
      <c r="E52" s="2">
        <v>42422.958333333336</v>
      </c>
      <c r="F52" s="1" t="s">
        <v>21</v>
      </c>
      <c r="G52" s="1" t="s">
        <v>47</v>
      </c>
      <c r="H52">
        <v>5</v>
      </c>
      <c r="I52">
        <v>10</v>
      </c>
      <c r="J52" s="3">
        <v>41</v>
      </c>
      <c r="K52" s="3">
        <f>+Treinamentos[[#This Row],[Alunos]]*Treinamentos[[#This Row],[Valor]]</f>
        <v>410</v>
      </c>
    </row>
    <row r="53" spans="1:11" x14ac:dyDescent="0.25">
      <c r="A53">
        <v>4406</v>
      </c>
      <c r="B53" s="1" t="s">
        <v>10</v>
      </c>
      <c r="C53" s="1" t="s">
        <v>23</v>
      </c>
      <c r="D53" s="2">
        <v>42409.791666666664</v>
      </c>
      <c r="E53" s="2">
        <v>42422.958333333336</v>
      </c>
      <c r="F53" s="1" t="s">
        <v>12</v>
      </c>
      <c r="G53" s="1" t="s">
        <v>13</v>
      </c>
      <c r="H53">
        <v>4</v>
      </c>
      <c r="I53">
        <v>10</v>
      </c>
      <c r="J53" s="3">
        <v>47</v>
      </c>
      <c r="K53" s="3">
        <f>+Treinamentos[[#This Row],[Alunos]]*Treinamentos[[#This Row],[Valor]]</f>
        <v>470</v>
      </c>
    </row>
    <row r="54" spans="1:11" x14ac:dyDescent="0.25">
      <c r="A54">
        <v>4407</v>
      </c>
      <c r="B54" s="1" t="s">
        <v>14</v>
      </c>
      <c r="C54" s="1" t="s">
        <v>39</v>
      </c>
      <c r="D54" s="2">
        <v>42409.791666666664</v>
      </c>
      <c r="E54" s="2">
        <v>42422.958333333336</v>
      </c>
      <c r="F54" s="1" t="s">
        <v>12</v>
      </c>
      <c r="G54" s="1" t="s">
        <v>32</v>
      </c>
      <c r="H54">
        <v>2</v>
      </c>
      <c r="I54">
        <v>9</v>
      </c>
      <c r="J54" s="3">
        <v>61</v>
      </c>
      <c r="K54" s="3">
        <f>+Treinamentos[[#This Row],[Alunos]]*Treinamentos[[#This Row],[Valor]]</f>
        <v>549</v>
      </c>
    </row>
    <row r="55" spans="1:11" x14ac:dyDescent="0.25">
      <c r="A55">
        <v>4408</v>
      </c>
      <c r="B55" s="1" t="s">
        <v>30</v>
      </c>
      <c r="C55" s="1" t="s">
        <v>26</v>
      </c>
      <c r="D55" s="2">
        <v>42410.583333333336</v>
      </c>
      <c r="E55" s="2">
        <v>42423.75</v>
      </c>
      <c r="F55" s="1" t="s">
        <v>21</v>
      </c>
      <c r="G55" s="1" t="s">
        <v>13</v>
      </c>
      <c r="H55">
        <v>4</v>
      </c>
      <c r="I55">
        <v>12</v>
      </c>
      <c r="J55" s="3">
        <v>73</v>
      </c>
      <c r="K55" s="3">
        <f>+Treinamentos[[#This Row],[Alunos]]*Treinamentos[[#This Row],[Valor]]</f>
        <v>876</v>
      </c>
    </row>
    <row r="56" spans="1:11" x14ac:dyDescent="0.25">
      <c r="A56">
        <v>4409</v>
      </c>
      <c r="B56" s="1" t="s">
        <v>17</v>
      </c>
      <c r="C56" s="1" t="s">
        <v>11</v>
      </c>
      <c r="D56" s="2">
        <v>42410.583333333336</v>
      </c>
      <c r="E56" s="2">
        <v>42423.75</v>
      </c>
      <c r="F56" s="1" t="s">
        <v>21</v>
      </c>
      <c r="G56" s="1" t="s">
        <v>34</v>
      </c>
      <c r="H56">
        <v>5</v>
      </c>
      <c r="I56">
        <v>11</v>
      </c>
      <c r="J56" s="3">
        <v>41</v>
      </c>
      <c r="K56" s="3">
        <f>+Treinamentos[[#This Row],[Alunos]]*Treinamentos[[#This Row],[Valor]]</f>
        <v>451</v>
      </c>
    </row>
    <row r="57" spans="1:11" x14ac:dyDescent="0.25">
      <c r="A57">
        <v>4410</v>
      </c>
      <c r="B57" s="1" t="s">
        <v>37</v>
      </c>
      <c r="C57" s="1" t="s">
        <v>29</v>
      </c>
      <c r="D57" s="2">
        <v>42410.583333333336</v>
      </c>
      <c r="E57" s="2">
        <v>42423.75</v>
      </c>
      <c r="F57" s="1" t="s">
        <v>21</v>
      </c>
      <c r="G57" s="1" t="s">
        <v>13</v>
      </c>
      <c r="H57">
        <v>3</v>
      </c>
      <c r="I57">
        <v>9</v>
      </c>
      <c r="J57" s="3">
        <v>42</v>
      </c>
      <c r="K57" s="3">
        <f>+Treinamentos[[#This Row],[Alunos]]*Treinamentos[[#This Row],[Valor]]</f>
        <v>378</v>
      </c>
    </row>
    <row r="58" spans="1:11" x14ac:dyDescent="0.25">
      <c r="A58">
        <v>4411</v>
      </c>
      <c r="B58" s="1" t="s">
        <v>37</v>
      </c>
      <c r="C58" s="1" t="s">
        <v>39</v>
      </c>
      <c r="D58" s="2">
        <v>42413.375</v>
      </c>
      <c r="E58" s="2">
        <v>42418.75</v>
      </c>
      <c r="F58" s="1" t="s">
        <v>12</v>
      </c>
      <c r="G58" s="1" t="s">
        <v>16</v>
      </c>
      <c r="H58">
        <v>5</v>
      </c>
      <c r="I58">
        <v>9</v>
      </c>
      <c r="J58" s="3">
        <v>61</v>
      </c>
      <c r="K58" s="3">
        <f>+Treinamentos[[#This Row],[Alunos]]*Treinamentos[[#This Row],[Valor]]</f>
        <v>549</v>
      </c>
    </row>
    <row r="59" spans="1:11" x14ac:dyDescent="0.25">
      <c r="A59">
        <v>4412</v>
      </c>
      <c r="B59" s="1" t="s">
        <v>17</v>
      </c>
      <c r="C59" s="1" t="s">
        <v>15</v>
      </c>
      <c r="D59" s="2">
        <v>42413.375</v>
      </c>
      <c r="E59" s="2">
        <v>42418.75</v>
      </c>
      <c r="F59" s="1" t="s">
        <v>12</v>
      </c>
      <c r="G59" s="1" t="s">
        <v>19</v>
      </c>
      <c r="H59">
        <v>4</v>
      </c>
      <c r="I59">
        <v>10</v>
      </c>
      <c r="J59" s="3">
        <v>62</v>
      </c>
      <c r="K59" s="3">
        <f>+Treinamentos[[#This Row],[Alunos]]*Treinamentos[[#This Row],[Valor]]</f>
        <v>620</v>
      </c>
    </row>
    <row r="60" spans="1:11" x14ac:dyDescent="0.25">
      <c r="A60">
        <v>4413</v>
      </c>
      <c r="B60" s="1" t="s">
        <v>25</v>
      </c>
      <c r="C60" s="1" t="s">
        <v>29</v>
      </c>
      <c r="D60" s="2">
        <v>42415.791666666664</v>
      </c>
      <c r="E60" s="2">
        <v>42426.958333333336</v>
      </c>
      <c r="F60" s="1" t="s">
        <v>21</v>
      </c>
      <c r="G60" s="1" t="s">
        <v>27</v>
      </c>
      <c r="H60">
        <v>5</v>
      </c>
      <c r="I60">
        <v>11</v>
      </c>
      <c r="J60" s="3">
        <v>42</v>
      </c>
      <c r="K60" s="3">
        <f>+Treinamentos[[#This Row],[Alunos]]*Treinamentos[[#This Row],[Valor]]</f>
        <v>462</v>
      </c>
    </row>
    <row r="61" spans="1:11" x14ac:dyDescent="0.25">
      <c r="A61">
        <v>4414</v>
      </c>
      <c r="B61" s="1" t="s">
        <v>25</v>
      </c>
      <c r="C61" s="1" t="s">
        <v>35</v>
      </c>
      <c r="D61" s="2">
        <v>42416.791666666664</v>
      </c>
      <c r="E61" s="2">
        <v>42429.958333333336</v>
      </c>
      <c r="F61" s="1" t="s">
        <v>12</v>
      </c>
      <c r="G61" s="1" t="s">
        <v>44</v>
      </c>
      <c r="H61">
        <v>5</v>
      </c>
      <c r="I61">
        <v>8</v>
      </c>
      <c r="J61" s="3">
        <v>47</v>
      </c>
      <c r="K61" s="3">
        <f>+Treinamentos[[#This Row],[Alunos]]*Treinamentos[[#This Row],[Valor]]</f>
        <v>376</v>
      </c>
    </row>
    <row r="62" spans="1:11" x14ac:dyDescent="0.25">
      <c r="A62">
        <v>4415</v>
      </c>
      <c r="B62" s="1" t="s">
        <v>17</v>
      </c>
      <c r="C62" s="1" t="s">
        <v>43</v>
      </c>
      <c r="D62" s="2">
        <v>42418.375</v>
      </c>
      <c r="E62" s="2">
        <v>42424.75</v>
      </c>
      <c r="F62" s="1" t="s">
        <v>12</v>
      </c>
      <c r="G62" s="1" t="s">
        <v>19</v>
      </c>
      <c r="H62">
        <v>5</v>
      </c>
      <c r="I62">
        <v>11</v>
      </c>
      <c r="J62" s="3">
        <v>31</v>
      </c>
      <c r="K62" s="3">
        <f>+Treinamentos[[#This Row],[Alunos]]*Treinamentos[[#This Row],[Valor]]</f>
        <v>341</v>
      </c>
    </row>
    <row r="63" spans="1:11" x14ac:dyDescent="0.25">
      <c r="A63">
        <v>4416</v>
      </c>
      <c r="B63" s="1" t="s">
        <v>16</v>
      </c>
      <c r="C63" s="1" t="s">
        <v>26</v>
      </c>
      <c r="D63" s="2">
        <v>42419.333333333336</v>
      </c>
      <c r="E63" s="2">
        <v>42432.5</v>
      </c>
      <c r="F63" s="1" t="s">
        <v>12</v>
      </c>
      <c r="G63" s="1" t="s">
        <v>33</v>
      </c>
      <c r="H63">
        <v>4</v>
      </c>
      <c r="I63">
        <v>12</v>
      </c>
      <c r="J63" s="3">
        <v>73</v>
      </c>
      <c r="K63" s="3">
        <f>+Treinamentos[[#This Row],[Alunos]]*Treinamentos[[#This Row],[Valor]]</f>
        <v>876</v>
      </c>
    </row>
    <row r="64" spans="1:11" x14ac:dyDescent="0.25">
      <c r="A64">
        <v>4417</v>
      </c>
      <c r="B64" s="1" t="s">
        <v>25</v>
      </c>
      <c r="C64" s="1" t="s">
        <v>35</v>
      </c>
      <c r="D64" s="2">
        <v>42419.333333333336</v>
      </c>
      <c r="E64" s="2">
        <v>42432.5</v>
      </c>
      <c r="F64" s="1" t="s">
        <v>12</v>
      </c>
      <c r="G64" s="1" t="s">
        <v>19</v>
      </c>
      <c r="H64">
        <v>2</v>
      </c>
      <c r="I64">
        <v>12</v>
      </c>
      <c r="J64" s="3">
        <v>47</v>
      </c>
      <c r="K64" s="3">
        <f>+Treinamentos[[#This Row],[Alunos]]*Treinamentos[[#This Row],[Valor]]</f>
        <v>564</v>
      </c>
    </row>
    <row r="65" spans="1:11" x14ac:dyDescent="0.25">
      <c r="A65">
        <v>4418</v>
      </c>
      <c r="B65" s="1" t="s">
        <v>37</v>
      </c>
      <c r="C65" s="1" t="s">
        <v>26</v>
      </c>
      <c r="D65" s="2">
        <v>42420.375</v>
      </c>
      <c r="E65" s="2">
        <v>42425.75</v>
      </c>
      <c r="F65" s="1" t="s">
        <v>21</v>
      </c>
      <c r="G65" s="1" t="s">
        <v>36</v>
      </c>
      <c r="H65">
        <v>4</v>
      </c>
      <c r="I65">
        <v>9</v>
      </c>
      <c r="J65" s="3">
        <v>73</v>
      </c>
      <c r="K65" s="3">
        <f>+Treinamentos[[#This Row],[Alunos]]*Treinamentos[[#This Row],[Valor]]</f>
        <v>657</v>
      </c>
    </row>
    <row r="66" spans="1:11" x14ac:dyDescent="0.25">
      <c r="A66">
        <v>4419</v>
      </c>
      <c r="B66" s="1" t="s">
        <v>28</v>
      </c>
      <c r="C66" s="1" t="s">
        <v>43</v>
      </c>
      <c r="D66" s="2">
        <v>42422.791666666664</v>
      </c>
      <c r="E66" s="2">
        <v>42433.958333333336</v>
      </c>
      <c r="F66" s="1" t="s">
        <v>12</v>
      </c>
      <c r="G66" s="1" t="s">
        <v>24</v>
      </c>
      <c r="H66">
        <v>2</v>
      </c>
      <c r="I66">
        <v>9</v>
      </c>
      <c r="J66" s="3">
        <v>31</v>
      </c>
      <c r="K66" s="3">
        <f>+Treinamentos[[#This Row],[Alunos]]*Treinamentos[[#This Row],[Valor]]</f>
        <v>279</v>
      </c>
    </row>
    <row r="67" spans="1:11" x14ac:dyDescent="0.25">
      <c r="A67">
        <v>4420</v>
      </c>
      <c r="B67" s="1" t="s">
        <v>16</v>
      </c>
      <c r="C67" s="1" t="s">
        <v>18</v>
      </c>
      <c r="D67" s="2">
        <v>42423.791666666664</v>
      </c>
      <c r="E67" s="2">
        <v>42436.958333333336</v>
      </c>
      <c r="F67" s="1" t="s">
        <v>21</v>
      </c>
      <c r="G67" s="1" t="s">
        <v>24</v>
      </c>
      <c r="H67">
        <v>3</v>
      </c>
      <c r="I67">
        <v>10</v>
      </c>
      <c r="J67" s="3">
        <v>33</v>
      </c>
      <c r="K67" s="3">
        <f>+Treinamentos[[#This Row],[Alunos]]*Treinamentos[[#This Row],[Valor]]</f>
        <v>330</v>
      </c>
    </row>
    <row r="68" spans="1:11" x14ac:dyDescent="0.25">
      <c r="A68">
        <v>4421</v>
      </c>
      <c r="B68" s="1" t="s">
        <v>37</v>
      </c>
      <c r="C68" s="1" t="s">
        <v>18</v>
      </c>
      <c r="D68" s="2">
        <v>42423.791666666664</v>
      </c>
      <c r="E68" s="2">
        <v>42436.958333333336</v>
      </c>
      <c r="F68" s="1" t="s">
        <v>12</v>
      </c>
      <c r="G68" s="1" t="s">
        <v>34</v>
      </c>
      <c r="H68">
        <v>5</v>
      </c>
      <c r="I68">
        <v>11</v>
      </c>
      <c r="J68" s="3">
        <v>33</v>
      </c>
      <c r="K68" s="3">
        <f>+Treinamentos[[#This Row],[Alunos]]*Treinamentos[[#This Row],[Valor]]</f>
        <v>363</v>
      </c>
    </row>
    <row r="69" spans="1:11" x14ac:dyDescent="0.25">
      <c r="A69">
        <v>4422</v>
      </c>
      <c r="B69" s="1" t="s">
        <v>25</v>
      </c>
      <c r="C69" s="1" t="s">
        <v>35</v>
      </c>
      <c r="D69" s="2">
        <v>42424.583333333336</v>
      </c>
      <c r="E69" s="2">
        <v>42437.75</v>
      </c>
      <c r="F69" s="1" t="s">
        <v>21</v>
      </c>
      <c r="G69" s="1" t="s">
        <v>22</v>
      </c>
      <c r="H69">
        <v>2</v>
      </c>
      <c r="I69">
        <v>12</v>
      </c>
      <c r="J69" s="3">
        <v>47</v>
      </c>
      <c r="K69" s="3">
        <f>+Treinamentos[[#This Row],[Alunos]]*Treinamentos[[#This Row],[Valor]]</f>
        <v>564</v>
      </c>
    </row>
    <row r="70" spans="1:11" x14ac:dyDescent="0.25">
      <c r="A70">
        <v>4423</v>
      </c>
      <c r="B70" s="1" t="s">
        <v>17</v>
      </c>
      <c r="C70" s="1" t="s">
        <v>26</v>
      </c>
      <c r="D70" s="2">
        <v>42424.583333333336</v>
      </c>
      <c r="E70" s="2">
        <v>42437.75</v>
      </c>
      <c r="F70" s="1" t="s">
        <v>12</v>
      </c>
      <c r="G70" s="1" t="s">
        <v>24</v>
      </c>
      <c r="H70">
        <v>3</v>
      </c>
      <c r="I70">
        <v>11</v>
      </c>
      <c r="J70" s="3">
        <v>73</v>
      </c>
      <c r="K70" s="3">
        <f>+Treinamentos[[#This Row],[Alunos]]*Treinamentos[[#This Row],[Valor]]</f>
        <v>803</v>
      </c>
    </row>
    <row r="71" spans="1:11" x14ac:dyDescent="0.25">
      <c r="A71">
        <v>4424</v>
      </c>
      <c r="B71" s="1" t="s">
        <v>28</v>
      </c>
      <c r="C71" s="1" t="s">
        <v>40</v>
      </c>
      <c r="D71" s="2">
        <v>42426.333333333336</v>
      </c>
      <c r="E71" s="2">
        <v>42439.5</v>
      </c>
      <c r="F71" s="1" t="s">
        <v>12</v>
      </c>
      <c r="G71" s="1" t="s">
        <v>24</v>
      </c>
      <c r="H71">
        <v>4</v>
      </c>
      <c r="I71">
        <v>12</v>
      </c>
      <c r="J71" s="3">
        <v>51</v>
      </c>
      <c r="K71" s="3">
        <f>+Treinamentos[[#This Row],[Alunos]]*Treinamentos[[#This Row],[Valor]]</f>
        <v>612</v>
      </c>
    </row>
    <row r="72" spans="1:11" x14ac:dyDescent="0.25">
      <c r="A72">
        <v>4425</v>
      </c>
      <c r="B72" s="1" t="s">
        <v>25</v>
      </c>
      <c r="C72" s="1" t="s">
        <v>23</v>
      </c>
      <c r="D72" s="2">
        <v>42426.333333333336</v>
      </c>
      <c r="E72" s="2">
        <v>42439.5</v>
      </c>
      <c r="F72" s="1" t="s">
        <v>21</v>
      </c>
      <c r="G72" s="1" t="s">
        <v>24</v>
      </c>
      <c r="H72">
        <v>3</v>
      </c>
      <c r="I72">
        <v>8</v>
      </c>
      <c r="J72" s="3">
        <v>47</v>
      </c>
      <c r="K72" s="3">
        <f>+Treinamentos[[#This Row],[Alunos]]*Treinamentos[[#This Row],[Valor]]</f>
        <v>376</v>
      </c>
    </row>
    <row r="73" spans="1:11" x14ac:dyDescent="0.25">
      <c r="A73">
        <v>4426</v>
      </c>
      <c r="B73" s="1" t="s">
        <v>17</v>
      </c>
      <c r="C73" s="1" t="s">
        <v>15</v>
      </c>
      <c r="D73" s="2">
        <v>42427.375</v>
      </c>
      <c r="E73" s="2">
        <v>42432.75</v>
      </c>
      <c r="F73" s="1" t="s">
        <v>12</v>
      </c>
      <c r="G73" s="1" t="s">
        <v>48</v>
      </c>
      <c r="H73">
        <v>4</v>
      </c>
      <c r="I73">
        <v>12</v>
      </c>
      <c r="J73" s="3">
        <v>62</v>
      </c>
      <c r="K73" s="3">
        <f>+Treinamentos[[#This Row],[Alunos]]*Treinamentos[[#This Row],[Valor]]</f>
        <v>744</v>
      </c>
    </row>
    <row r="74" spans="1:11" x14ac:dyDescent="0.25">
      <c r="A74">
        <v>4427</v>
      </c>
      <c r="B74" s="1" t="s">
        <v>30</v>
      </c>
      <c r="C74" s="1" t="s">
        <v>15</v>
      </c>
      <c r="D74" s="2">
        <v>42427.375</v>
      </c>
      <c r="E74" s="2">
        <v>42432.75</v>
      </c>
      <c r="F74" s="1" t="s">
        <v>21</v>
      </c>
      <c r="G74" s="1" t="s">
        <v>19</v>
      </c>
      <c r="H74">
        <v>2</v>
      </c>
      <c r="I74">
        <v>12</v>
      </c>
      <c r="J74" s="3">
        <v>62</v>
      </c>
      <c r="K74" s="3">
        <f>+Treinamentos[[#This Row],[Alunos]]*Treinamentos[[#This Row],[Valor]]</f>
        <v>744</v>
      </c>
    </row>
    <row r="75" spans="1:11" x14ac:dyDescent="0.25">
      <c r="A75">
        <v>4428</v>
      </c>
      <c r="B75" s="1" t="s">
        <v>17</v>
      </c>
      <c r="C75" s="1" t="s">
        <v>20</v>
      </c>
      <c r="D75" s="2">
        <v>42429.791666666664</v>
      </c>
      <c r="E75" s="2">
        <v>42440.958333333336</v>
      </c>
      <c r="F75" s="1" t="s">
        <v>12</v>
      </c>
      <c r="G75" s="1" t="s">
        <v>32</v>
      </c>
      <c r="H75">
        <v>5</v>
      </c>
      <c r="I75">
        <v>12</v>
      </c>
      <c r="J75" s="3">
        <v>47</v>
      </c>
      <c r="K75" s="3">
        <f>+Treinamentos[[#This Row],[Alunos]]*Treinamentos[[#This Row],[Valor]]</f>
        <v>564</v>
      </c>
    </row>
    <row r="76" spans="1:11" x14ac:dyDescent="0.25">
      <c r="A76">
        <v>4429</v>
      </c>
      <c r="B76" s="1" t="s">
        <v>28</v>
      </c>
      <c r="C76" s="1" t="s">
        <v>43</v>
      </c>
      <c r="D76" s="2">
        <v>42430.791666666664</v>
      </c>
      <c r="E76" s="2">
        <v>42443.958333333336</v>
      </c>
      <c r="F76" s="1" t="s">
        <v>12</v>
      </c>
      <c r="G76" s="1" t="s">
        <v>44</v>
      </c>
      <c r="H76">
        <v>5</v>
      </c>
      <c r="I76">
        <v>8</v>
      </c>
      <c r="J76" s="3">
        <v>31</v>
      </c>
      <c r="K76" s="3">
        <f>+Treinamentos[[#This Row],[Alunos]]*Treinamentos[[#This Row],[Valor]]</f>
        <v>248</v>
      </c>
    </row>
    <row r="77" spans="1:11" x14ac:dyDescent="0.25">
      <c r="A77">
        <v>4430</v>
      </c>
      <c r="B77" s="1" t="s">
        <v>17</v>
      </c>
      <c r="C77" s="1" t="s">
        <v>43</v>
      </c>
      <c r="D77" s="2">
        <v>42430.791666666664</v>
      </c>
      <c r="E77" s="2">
        <v>42443.958333333336</v>
      </c>
      <c r="F77" s="1" t="s">
        <v>12</v>
      </c>
      <c r="G77" s="1" t="s">
        <v>33</v>
      </c>
      <c r="H77">
        <v>3</v>
      </c>
      <c r="I77">
        <v>11</v>
      </c>
      <c r="J77" s="3">
        <v>31</v>
      </c>
      <c r="K77" s="3">
        <f>+Treinamentos[[#This Row],[Alunos]]*Treinamentos[[#This Row],[Valor]]</f>
        <v>341</v>
      </c>
    </row>
    <row r="78" spans="1:11" x14ac:dyDescent="0.25">
      <c r="A78">
        <v>4431</v>
      </c>
      <c r="B78" s="1" t="s">
        <v>28</v>
      </c>
      <c r="C78" s="1" t="s">
        <v>18</v>
      </c>
      <c r="D78" s="2">
        <v>42430.791666666664</v>
      </c>
      <c r="E78" s="2">
        <v>42443.958333333336</v>
      </c>
      <c r="F78" s="1" t="s">
        <v>21</v>
      </c>
      <c r="G78" s="1" t="s">
        <v>48</v>
      </c>
      <c r="H78">
        <v>3</v>
      </c>
      <c r="I78">
        <v>11</v>
      </c>
      <c r="J78" s="3">
        <v>33</v>
      </c>
      <c r="K78" s="3">
        <f>+Treinamentos[[#This Row],[Alunos]]*Treinamentos[[#This Row],[Valor]]</f>
        <v>363</v>
      </c>
    </row>
    <row r="79" spans="1:11" x14ac:dyDescent="0.25">
      <c r="A79">
        <v>4432</v>
      </c>
      <c r="B79" s="1" t="s">
        <v>28</v>
      </c>
      <c r="C79" s="1" t="s">
        <v>15</v>
      </c>
      <c r="D79" s="2">
        <v>42430.791666666664</v>
      </c>
      <c r="E79" s="2">
        <v>42443.958333333336</v>
      </c>
      <c r="F79" s="1" t="s">
        <v>21</v>
      </c>
      <c r="G79" s="1" t="s">
        <v>46</v>
      </c>
      <c r="H79">
        <v>3</v>
      </c>
      <c r="I79">
        <v>12</v>
      </c>
      <c r="J79" s="3">
        <v>62</v>
      </c>
      <c r="K79" s="3">
        <f>+Treinamentos[[#This Row],[Alunos]]*Treinamentos[[#This Row],[Valor]]</f>
        <v>744</v>
      </c>
    </row>
    <row r="80" spans="1:11" x14ac:dyDescent="0.25">
      <c r="A80">
        <v>4433</v>
      </c>
      <c r="B80" s="1" t="s">
        <v>37</v>
      </c>
      <c r="C80" s="1" t="s">
        <v>11</v>
      </c>
      <c r="D80" s="2">
        <v>42431.583333333336</v>
      </c>
      <c r="E80" s="2">
        <v>42444.75</v>
      </c>
      <c r="F80" s="1" t="s">
        <v>12</v>
      </c>
      <c r="G80" s="1" t="s">
        <v>34</v>
      </c>
      <c r="H80">
        <v>3</v>
      </c>
      <c r="I80">
        <v>10</v>
      </c>
      <c r="J80" s="3">
        <v>41</v>
      </c>
      <c r="K80" s="3">
        <f>+Treinamentos[[#This Row],[Alunos]]*Treinamentos[[#This Row],[Valor]]</f>
        <v>410</v>
      </c>
    </row>
    <row r="81" spans="1:11" x14ac:dyDescent="0.25">
      <c r="A81">
        <v>4434</v>
      </c>
      <c r="B81" s="1" t="s">
        <v>37</v>
      </c>
      <c r="C81" s="1" t="s">
        <v>43</v>
      </c>
      <c r="D81" s="2">
        <v>42431.583333333336</v>
      </c>
      <c r="E81" s="2">
        <v>42444.75</v>
      </c>
      <c r="F81" s="1" t="s">
        <v>12</v>
      </c>
      <c r="G81" s="1" t="s">
        <v>22</v>
      </c>
      <c r="H81">
        <v>5</v>
      </c>
      <c r="I81">
        <v>12</v>
      </c>
      <c r="J81" s="3">
        <v>31</v>
      </c>
      <c r="K81" s="3">
        <f>+Treinamentos[[#This Row],[Alunos]]*Treinamentos[[#This Row],[Valor]]</f>
        <v>372</v>
      </c>
    </row>
    <row r="82" spans="1:11" x14ac:dyDescent="0.25">
      <c r="A82">
        <v>4435</v>
      </c>
      <c r="B82" s="1" t="s">
        <v>30</v>
      </c>
      <c r="C82" s="1" t="s">
        <v>11</v>
      </c>
      <c r="D82" s="2">
        <v>42431.583333333336</v>
      </c>
      <c r="E82" s="2">
        <v>42444.75</v>
      </c>
      <c r="F82" s="1" t="s">
        <v>12</v>
      </c>
      <c r="G82" s="1" t="s">
        <v>13</v>
      </c>
      <c r="H82">
        <v>3</v>
      </c>
      <c r="I82">
        <v>11</v>
      </c>
      <c r="J82" s="3">
        <v>41</v>
      </c>
      <c r="K82" s="3">
        <f>+Treinamentos[[#This Row],[Alunos]]*Treinamentos[[#This Row],[Valor]]</f>
        <v>451</v>
      </c>
    </row>
    <row r="83" spans="1:11" x14ac:dyDescent="0.25">
      <c r="A83">
        <v>4436</v>
      </c>
      <c r="B83" s="1" t="s">
        <v>30</v>
      </c>
      <c r="C83" s="1" t="s">
        <v>40</v>
      </c>
      <c r="D83" s="2">
        <v>42432.375</v>
      </c>
      <c r="E83" s="2">
        <v>42438.75</v>
      </c>
      <c r="F83" s="1" t="s">
        <v>12</v>
      </c>
      <c r="G83" s="1" t="s">
        <v>36</v>
      </c>
      <c r="H83">
        <v>5</v>
      </c>
      <c r="I83">
        <v>11</v>
      </c>
      <c r="J83" s="3">
        <v>51</v>
      </c>
      <c r="K83" s="3">
        <f>+Treinamentos[[#This Row],[Alunos]]*Treinamentos[[#This Row],[Valor]]</f>
        <v>561</v>
      </c>
    </row>
    <row r="84" spans="1:11" x14ac:dyDescent="0.25">
      <c r="A84">
        <v>4437</v>
      </c>
      <c r="B84" s="1" t="s">
        <v>28</v>
      </c>
      <c r="C84" s="1" t="s">
        <v>43</v>
      </c>
      <c r="D84" s="2">
        <v>42433.333333333336</v>
      </c>
      <c r="E84" s="2">
        <v>42446.5</v>
      </c>
      <c r="F84" s="1" t="s">
        <v>12</v>
      </c>
      <c r="G84" s="1" t="s">
        <v>44</v>
      </c>
      <c r="H84">
        <v>5</v>
      </c>
      <c r="I84">
        <v>9</v>
      </c>
      <c r="J84" s="3">
        <v>31</v>
      </c>
      <c r="K84" s="3">
        <f>+Treinamentos[[#This Row],[Alunos]]*Treinamentos[[#This Row],[Valor]]</f>
        <v>279</v>
      </c>
    </row>
    <row r="85" spans="1:11" x14ac:dyDescent="0.25">
      <c r="A85">
        <v>4438</v>
      </c>
      <c r="B85" s="1" t="s">
        <v>17</v>
      </c>
      <c r="C85" s="1" t="s">
        <v>39</v>
      </c>
      <c r="D85" s="2">
        <v>42433.333333333336</v>
      </c>
      <c r="E85" s="2">
        <v>42446.5</v>
      </c>
      <c r="F85" s="1" t="s">
        <v>21</v>
      </c>
      <c r="G85" s="1" t="s">
        <v>27</v>
      </c>
      <c r="H85">
        <v>2</v>
      </c>
      <c r="I85">
        <v>10</v>
      </c>
      <c r="J85" s="3">
        <v>61</v>
      </c>
      <c r="K85" s="3">
        <f>+Treinamentos[[#This Row],[Alunos]]*Treinamentos[[#This Row],[Valor]]</f>
        <v>610</v>
      </c>
    </row>
    <row r="86" spans="1:11" x14ac:dyDescent="0.25">
      <c r="A86">
        <v>4439</v>
      </c>
      <c r="B86" s="1" t="s">
        <v>37</v>
      </c>
      <c r="C86" s="1" t="s">
        <v>45</v>
      </c>
      <c r="D86" s="2">
        <v>42433.333333333336</v>
      </c>
      <c r="E86" s="2">
        <v>42446.5</v>
      </c>
      <c r="F86" s="1" t="s">
        <v>21</v>
      </c>
      <c r="G86" s="1" t="s">
        <v>22</v>
      </c>
      <c r="H86">
        <v>5</v>
      </c>
      <c r="I86">
        <v>12</v>
      </c>
      <c r="J86" s="3">
        <v>52</v>
      </c>
      <c r="K86" s="3">
        <f>+Treinamentos[[#This Row],[Alunos]]*Treinamentos[[#This Row],[Valor]]</f>
        <v>624</v>
      </c>
    </row>
    <row r="87" spans="1:11" x14ac:dyDescent="0.25">
      <c r="A87">
        <v>4440</v>
      </c>
      <c r="B87" s="1" t="s">
        <v>28</v>
      </c>
      <c r="C87" s="1" t="s">
        <v>18</v>
      </c>
      <c r="D87" s="2">
        <v>42434.375</v>
      </c>
      <c r="E87" s="2">
        <v>42439.75</v>
      </c>
      <c r="F87" s="1" t="s">
        <v>12</v>
      </c>
      <c r="G87" s="1" t="s">
        <v>33</v>
      </c>
      <c r="H87">
        <v>5</v>
      </c>
      <c r="I87">
        <v>8</v>
      </c>
      <c r="J87" s="3">
        <v>33</v>
      </c>
      <c r="K87" s="3">
        <f>+Treinamentos[[#This Row],[Alunos]]*Treinamentos[[#This Row],[Valor]]</f>
        <v>264</v>
      </c>
    </row>
    <row r="88" spans="1:11" x14ac:dyDescent="0.25">
      <c r="A88">
        <v>4441</v>
      </c>
      <c r="B88" s="1" t="s">
        <v>17</v>
      </c>
      <c r="C88" s="1" t="s">
        <v>11</v>
      </c>
      <c r="D88" s="2">
        <v>42434.375</v>
      </c>
      <c r="E88" s="2">
        <v>42439.75</v>
      </c>
      <c r="F88" s="1" t="s">
        <v>21</v>
      </c>
      <c r="G88" s="1" t="s">
        <v>46</v>
      </c>
      <c r="H88">
        <v>5</v>
      </c>
      <c r="I88">
        <v>10</v>
      </c>
      <c r="J88" s="3">
        <v>41</v>
      </c>
      <c r="K88" s="3">
        <f>+Treinamentos[[#This Row],[Alunos]]*Treinamentos[[#This Row],[Valor]]</f>
        <v>410</v>
      </c>
    </row>
    <row r="89" spans="1:11" x14ac:dyDescent="0.25">
      <c r="A89">
        <v>4442</v>
      </c>
      <c r="B89" s="1" t="s">
        <v>28</v>
      </c>
      <c r="C89" s="1" t="s">
        <v>39</v>
      </c>
      <c r="D89" s="2">
        <v>42434.375</v>
      </c>
      <c r="E89" s="2">
        <v>42439.75</v>
      </c>
      <c r="F89" s="1" t="s">
        <v>21</v>
      </c>
      <c r="G89" s="1" t="s">
        <v>19</v>
      </c>
      <c r="H89">
        <v>2</v>
      </c>
      <c r="I89">
        <v>10</v>
      </c>
      <c r="J89" s="3">
        <v>61</v>
      </c>
      <c r="K89" s="3">
        <f>+Treinamentos[[#This Row],[Alunos]]*Treinamentos[[#This Row],[Valor]]</f>
        <v>610</v>
      </c>
    </row>
    <row r="90" spans="1:11" x14ac:dyDescent="0.25">
      <c r="A90">
        <v>4443</v>
      </c>
      <c r="B90" s="1" t="s">
        <v>16</v>
      </c>
      <c r="C90" s="1" t="s">
        <v>18</v>
      </c>
      <c r="D90" s="2">
        <v>42436.791666666664</v>
      </c>
      <c r="E90" s="2">
        <v>42447.958333333336</v>
      </c>
      <c r="F90" s="1" t="s">
        <v>21</v>
      </c>
      <c r="G90" s="1" t="s">
        <v>27</v>
      </c>
      <c r="H90">
        <v>3</v>
      </c>
      <c r="I90">
        <v>8</v>
      </c>
      <c r="J90" s="3">
        <v>33</v>
      </c>
      <c r="K90" s="3">
        <f>+Treinamentos[[#This Row],[Alunos]]*Treinamentos[[#This Row],[Valor]]</f>
        <v>264</v>
      </c>
    </row>
    <row r="91" spans="1:11" x14ac:dyDescent="0.25">
      <c r="A91">
        <v>4444</v>
      </c>
      <c r="B91" s="1" t="s">
        <v>25</v>
      </c>
      <c r="C91" s="1" t="s">
        <v>29</v>
      </c>
      <c r="D91" s="2">
        <v>42437.791666666664</v>
      </c>
      <c r="E91" s="2">
        <v>42450.958333333336</v>
      </c>
      <c r="F91" s="1" t="s">
        <v>21</v>
      </c>
      <c r="G91" s="1" t="s">
        <v>48</v>
      </c>
      <c r="H91">
        <v>3</v>
      </c>
      <c r="I91">
        <v>12</v>
      </c>
      <c r="J91" s="3">
        <v>42</v>
      </c>
      <c r="K91" s="3">
        <f>+Treinamentos[[#This Row],[Alunos]]*Treinamentos[[#This Row],[Valor]]</f>
        <v>504</v>
      </c>
    </row>
    <row r="92" spans="1:11" x14ac:dyDescent="0.25">
      <c r="A92">
        <v>4445</v>
      </c>
      <c r="B92" s="1" t="s">
        <v>37</v>
      </c>
      <c r="C92" s="1" t="s">
        <v>11</v>
      </c>
      <c r="D92" s="2">
        <v>42438.583333333336</v>
      </c>
      <c r="E92" s="2">
        <v>42451.75</v>
      </c>
      <c r="F92" s="1" t="s">
        <v>12</v>
      </c>
      <c r="G92" s="1" t="s">
        <v>38</v>
      </c>
      <c r="H92">
        <v>4</v>
      </c>
      <c r="I92">
        <v>12</v>
      </c>
      <c r="J92" s="3">
        <v>41</v>
      </c>
      <c r="K92" s="3">
        <f>+Treinamentos[[#This Row],[Alunos]]*Treinamentos[[#This Row],[Valor]]</f>
        <v>492</v>
      </c>
    </row>
    <row r="93" spans="1:11" x14ac:dyDescent="0.25">
      <c r="A93">
        <v>4446</v>
      </c>
      <c r="B93" s="1" t="s">
        <v>10</v>
      </c>
      <c r="C93" s="1" t="s">
        <v>29</v>
      </c>
      <c r="D93" s="2">
        <v>42438.583333333336</v>
      </c>
      <c r="E93" s="2">
        <v>42451.75</v>
      </c>
      <c r="F93" s="1" t="s">
        <v>21</v>
      </c>
      <c r="G93" s="1" t="s">
        <v>36</v>
      </c>
      <c r="H93">
        <v>5</v>
      </c>
      <c r="I93">
        <v>8</v>
      </c>
      <c r="J93" s="3">
        <v>42</v>
      </c>
      <c r="K93" s="3">
        <f>+Treinamentos[[#This Row],[Alunos]]*Treinamentos[[#This Row],[Valor]]</f>
        <v>336</v>
      </c>
    </row>
    <row r="94" spans="1:11" x14ac:dyDescent="0.25">
      <c r="A94">
        <v>4447</v>
      </c>
      <c r="B94" s="1" t="s">
        <v>17</v>
      </c>
      <c r="C94" s="1" t="s">
        <v>43</v>
      </c>
      <c r="D94" s="2">
        <v>42439.375</v>
      </c>
      <c r="E94" s="2">
        <v>42445.75</v>
      </c>
      <c r="F94" s="1" t="s">
        <v>21</v>
      </c>
      <c r="G94" s="1" t="s">
        <v>16</v>
      </c>
      <c r="H94">
        <v>5</v>
      </c>
      <c r="I94">
        <v>10</v>
      </c>
      <c r="J94" s="3">
        <v>31</v>
      </c>
      <c r="K94" s="3">
        <f>+Treinamentos[[#This Row],[Alunos]]*Treinamentos[[#This Row],[Valor]]</f>
        <v>310</v>
      </c>
    </row>
    <row r="95" spans="1:11" x14ac:dyDescent="0.25">
      <c r="A95">
        <v>4448</v>
      </c>
      <c r="B95" s="1" t="s">
        <v>16</v>
      </c>
      <c r="C95" s="1" t="s">
        <v>15</v>
      </c>
      <c r="D95" s="2">
        <v>42444.791666666664</v>
      </c>
      <c r="E95" s="2">
        <v>42457.958333333336</v>
      </c>
      <c r="F95" s="1" t="s">
        <v>12</v>
      </c>
      <c r="G95" s="1" t="s">
        <v>24</v>
      </c>
      <c r="H95">
        <v>4</v>
      </c>
      <c r="I95">
        <v>8</v>
      </c>
      <c r="J95" s="3">
        <v>62</v>
      </c>
      <c r="K95" s="3">
        <f>+Treinamentos[[#This Row],[Alunos]]*Treinamentos[[#This Row],[Valor]]</f>
        <v>496</v>
      </c>
    </row>
    <row r="96" spans="1:11" x14ac:dyDescent="0.25">
      <c r="A96">
        <v>4449</v>
      </c>
      <c r="B96" s="1" t="s">
        <v>17</v>
      </c>
      <c r="C96" s="1" t="s">
        <v>26</v>
      </c>
      <c r="D96" s="2">
        <v>42445.583333333336</v>
      </c>
      <c r="E96" s="2">
        <v>42458.75</v>
      </c>
      <c r="F96" s="1" t="s">
        <v>12</v>
      </c>
      <c r="G96" s="1" t="s">
        <v>34</v>
      </c>
      <c r="H96">
        <v>5</v>
      </c>
      <c r="I96">
        <v>12</v>
      </c>
      <c r="J96" s="3">
        <v>73</v>
      </c>
      <c r="K96" s="3">
        <f>+Treinamentos[[#This Row],[Alunos]]*Treinamentos[[#This Row],[Valor]]</f>
        <v>876</v>
      </c>
    </row>
    <row r="97" spans="1:11" x14ac:dyDescent="0.25">
      <c r="A97">
        <v>4450</v>
      </c>
      <c r="B97" s="1" t="s">
        <v>14</v>
      </c>
      <c r="C97" s="1" t="s">
        <v>20</v>
      </c>
      <c r="D97" s="2">
        <v>42447.333333333336</v>
      </c>
      <c r="E97" s="2">
        <v>42460.5</v>
      </c>
      <c r="F97" s="1" t="s">
        <v>21</v>
      </c>
      <c r="G97" s="1" t="s">
        <v>38</v>
      </c>
      <c r="H97">
        <v>3</v>
      </c>
      <c r="I97">
        <v>9</v>
      </c>
      <c r="J97" s="3">
        <v>47</v>
      </c>
      <c r="K97" s="3">
        <f>+Treinamentos[[#This Row],[Alunos]]*Treinamentos[[#This Row],[Valor]]</f>
        <v>423</v>
      </c>
    </row>
    <row r="98" spans="1:11" x14ac:dyDescent="0.25">
      <c r="A98">
        <v>4451</v>
      </c>
      <c r="B98" s="1" t="s">
        <v>37</v>
      </c>
      <c r="C98" s="1" t="s">
        <v>11</v>
      </c>
      <c r="D98" s="2">
        <v>42448.375</v>
      </c>
      <c r="E98" s="2">
        <v>42453.75</v>
      </c>
      <c r="F98" s="1" t="s">
        <v>12</v>
      </c>
      <c r="G98" s="1" t="s">
        <v>44</v>
      </c>
      <c r="H98">
        <v>5</v>
      </c>
      <c r="I98">
        <v>9</v>
      </c>
      <c r="J98" s="3">
        <v>41</v>
      </c>
      <c r="K98" s="3">
        <f>+Treinamentos[[#This Row],[Alunos]]*Treinamentos[[#This Row],[Valor]]</f>
        <v>369</v>
      </c>
    </row>
    <row r="99" spans="1:11" x14ac:dyDescent="0.25">
      <c r="A99">
        <v>4452</v>
      </c>
      <c r="B99" s="1" t="s">
        <v>10</v>
      </c>
      <c r="C99" s="1" t="s">
        <v>18</v>
      </c>
      <c r="D99" s="2">
        <v>42448.375</v>
      </c>
      <c r="E99" s="2">
        <v>42453.75</v>
      </c>
      <c r="F99" s="1" t="s">
        <v>21</v>
      </c>
      <c r="G99" s="1" t="s">
        <v>19</v>
      </c>
      <c r="H99">
        <v>5</v>
      </c>
      <c r="I99">
        <v>8</v>
      </c>
      <c r="J99" s="3">
        <v>33</v>
      </c>
      <c r="K99" s="3">
        <f>+Treinamentos[[#This Row],[Alunos]]*Treinamentos[[#This Row],[Valor]]</f>
        <v>264</v>
      </c>
    </row>
    <row r="100" spans="1:11" x14ac:dyDescent="0.25">
      <c r="A100">
        <v>4453</v>
      </c>
      <c r="B100" s="1" t="s">
        <v>41</v>
      </c>
      <c r="C100" s="1" t="s">
        <v>39</v>
      </c>
      <c r="D100" s="2">
        <v>42448.375</v>
      </c>
      <c r="E100" s="2">
        <v>42453.75</v>
      </c>
      <c r="F100" s="1" t="s">
        <v>12</v>
      </c>
      <c r="G100" s="1" t="s">
        <v>32</v>
      </c>
      <c r="H100">
        <v>4</v>
      </c>
      <c r="I100">
        <v>12</v>
      </c>
      <c r="J100" s="3">
        <v>61</v>
      </c>
      <c r="K100" s="3">
        <f>+Treinamentos[[#This Row],[Alunos]]*Treinamentos[[#This Row],[Valor]]</f>
        <v>732</v>
      </c>
    </row>
    <row r="101" spans="1:11" x14ac:dyDescent="0.25">
      <c r="A101">
        <v>4454</v>
      </c>
      <c r="B101" s="1" t="s">
        <v>41</v>
      </c>
      <c r="C101" s="1" t="s">
        <v>18</v>
      </c>
      <c r="D101" s="2">
        <v>42448.375</v>
      </c>
      <c r="E101" s="2">
        <v>42453.75</v>
      </c>
      <c r="F101" s="1" t="s">
        <v>21</v>
      </c>
      <c r="G101" s="1" t="s">
        <v>22</v>
      </c>
      <c r="H101">
        <v>3</v>
      </c>
      <c r="I101">
        <v>11</v>
      </c>
      <c r="J101" s="3">
        <v>33</v>
      </c>
      <c r="K101" s="3">
        <f>+Treinamentos[[#This Row],[Alunos]]*Treinamentos[[#This Row],[Valor]]</f>
        <v>363</v>
      </c>
    </row>
    <row r="102" spans="1:11" x14ac:dyDescent="0.25">
      <c r="A102">
        <v>4455</v>
      </c>
      <c r="B102" s="1" t="s">
        <v>14</v>
      </c>
      <c r="C102" s="1" t="s">
        <v>39</v>
      </c>
      <c r="D102" s="2">
        <v>42450.791666666664</v>
      </c>
      <c r="E102" s="2">
        <v>42461.958333333336</v>
      </c>
      <c r="F102" s="1" t="s">
        <v>12</v>
      </c>
      <c r="G102" s="1" t="s">
        <v>27</v>
      </c>
      <c r="H102">
        <v>3</v>
      </c>
      <c r="I102">
        <v>10</v>
      </c>
      <c r="J102" s="3">
        <v>61</v>
      </c>
      <c r="K102" s="3">
        <f>+Treinamentos[[#This Row],[Alunos]]*Treinamentos[[#This Row],[Valor]]</f>
        <v>610</v>
      </c>
    </row>
    <row r="103" spans="1:11" x14ac:dyDescent="0.25">
      <c r="A103">
        <v>4456</v>
      </c>
      <c r="B103" s="1" t="s">
        <v>30</v>
      </c>
      <c r="C103" s="1" t="s">
        <v>45</v>
      </c>
      <c r="D103" s="2">
        <v>42450.791666666664</v>
      </c>
      <c r="E103" s="2">
        <v>42461.958333333336</v>
      </c>
      <c r="F103" s="1" t="s">
        <v>21</v>
      </c>
      <c r="G103" s="1" t="s">
        <v>42</v>
      </c>
      <c r="H103">
        <v>2</v>
      </c>
      <c r="I103">
        <v>9</v>
      </c>
      <c r="J103" s="3">
        <v>52</v>
      </c>
      <c r="K103" s="3">
        <f>+Treinamentos[[#This Row],[Alunos]]*Treinamentos[[#This Row],[Valor]]</f>
        <v>468</v>
      </c>
    </row>
    <row r="104" spans="1:11" x14ac:dyDescent="0.25">
      <c r="A104">
        <v>4457</v>
      </c>
      <c r="B104" s="1" t="s">
        <v>28</v>
      </c>
      <c r="C104" s="1" t="s">
        <v>11</v>
      </c>
      <c r="D104" s="2">
        <v>42450.791666666664</v>
      </c>
      <c r="E104" s="2">
        <v>42461.958333333336</v>
      </c>
      <c r="F104" s="1" t="s">
        <v>21</v>
      </c>
      <c r="G104" s="1" t="s">
        <v>19</v>
      </c>
      <c r="H104">
        <v>5</v>
      </c>
      <c r="I104">
        <v>10</v>
      </c>
      <c r="J104" s="3">
        <v>41</v>
      </c>
      <c r="K104" s="3">
        <f>+Treinamentos[[#This Row],[Alunos]]*Treinamentos[[#This Row],[Valor]]</f>
        <v>410</v>
      </c>
    </row>
    <row r="105" spans="1:11" x14ac:dyDescent="0.25">
      <c r="A105">
        <v>4458</v>
      </c>
      <c r="B105" s="1" t="s">
        <v>37</v>
      </c>
      <c r="C105" s="1" t="s">
        <v>35</v>
      </c>
      <c r="D105" s="2">
        <v>42453.375</v>
      </c>
      <c r="E105" s="2">
        <v>42459.75</v>
      </c>
      <c r="F105" s="1" t="s">
        <v>12</v>
      </c>
      <c r="G105" s="1" t="s">
        <v>24</v>
      </c>
      <c r="H105">
        <v>2</v>
      </c>
      <c r="I105">
        <v>12</v>
      </c>
      <c r="J105" s="3">
        <v>47</v>
      </c>
      <c r="K105" s="3">
        <f>+Treinamentos[[#This Row],[Alunos]]*Treinamentos[[#This Row],[Valor]]</f>
        <v>564</v>
      </c>
    </row>
    <row r="106" spans="1:11" x14ac:dyDescent="0.25">
      <c r="A106">
        <v>4459</v>
      </c>
      <c r="B106" s="1" t="s">
        <v>25</v>
      </c>
      <c r="C106" s="1" t="s">
        <v>40</v>
      </c>
      <c r="D106" s="2">
        <v>42453.375</v>
      </c>
      <c r="E106" s="2">
        <v>42459.75</v>
      </c>
      <c r="F106" s="1" t="s">
        <v>12</v>
      </c>
      <c r="G106" s="1" t="s">
        <v>32</v>
      </c>
      <c r="H106">
        <v>4</v>
      </c>
      <c r="I106">
        <v>12</v>
      </c>
      <c r="J106" s="3">
        <v>51</v>
      </c>
      <c r="K106" s="3">
        <f>+Treinamentos[[#This Row],[Alunos]]*Treinamentos[[#This Row],[Valor]]</f>
        <v>612</v>
      </c>
    </row>
    <row r="107" spans="1:11" x14ac:dyDescent="0.25">
      <c r="A107">
        <v>4460</v>
      </c>
      <c r="B107" s="1" t="s">
        <v>16</v>
      </c>
      <c r="C107" s="1" t="s">
        <v>29</v>
      </c>
      <c r="D107" s="2">
        <v>42454.333333333336</v>
      </c>
      <c r="E107" s="2">
        <v>42467.5</v>
      </c>
      <c r="F107" s="1" t="s">
        <v>21</v>
      </c>
      <c r="G107" s="1" t="s">
        <v>34</v>
      </c>
      <c r="H107">
        <v>2</v>
      </c>
      <c r="I107">
        <v>9</v>
      </c>
      <c r="J107" s="3">
        <v>42</v>
      </c>
      <c r="K107" s="3">
        <f>+Treinamentos[[#This Row],[Alunos]]*Treinamentos[[#This Row],[Valor]]</f>
        <v>378</v>
      </c>
    </row>
    <row r="108" spans="1:11" x14ac:dyDescent="0.25">
      <c r="A108">
        <v>4461</v>
      </c>
      <c r="B108" s="1" t="s">
        <v>28</v>
      </c>
      <c r="C108" s="1" t="s">
        <v>31</v>
      </c>
      <c r="D108" s="2">
        <v>42454.333333333336</v>
      </c>
      <c r="E108" s="2">
        <v>42467.5</v>
      </c>
      <c r="F108" s="1" t="s">
        <v>21</v>
      </c>
      <c r="G108" s="1" t="s">
        <v>33</v>
      </c>
      <c r="I108">
        <v>11</v>
      </c>
      <c r="J108" s="3">
        <v>61</v>
      </c>
      <c r="K108" s="3">
        <f>+Treinamentos[[#This Row],[Alunos]]*Treinamentos[[#This Row],[Valor]]</f>
        <v>671</v>
      </c>
    </row>
    <row r="109" spans="1:11" x14ac:dyDescent="0.25">
      <c r="A109">
        <v>4462</v>
      </c>
      <c r="B109" s="1" t="s">
        <v>17</v>
      </c>
      <c r="C109" s="1" t="s">
        <v>45</v>
      </c>
      <c r="D109" s="2">
        <v>42454.333333333336</v>
      </c>
      <c r="E109" s="2">
        <v>42467.5</v>
      </c>
      <c r="F109" s="1" t="s">
        <v>21</v>
      </c>
      <c r="G109" s="1" t="s">
        <v>34</v>
      </c>
      <c r="H109">
        <v>2</v>
      </c>
      <c r="I109">
        <v>9</v>
      </c>
      <c r="J109" s="3">
        <v>52</v>
      </c>
      <c r="K109" s="3">
        <f>+Treinamentos[[#This Row],[Alunos]]*Treinamentos[[#This Row],[Valor]]</f>
        <v>468</v>
      </c>
    </row>
    <row r="110" spans="1:11" x14ac:dyDescent="0.25">
      <c r="A110">
        <v>4463</v>
      </c>
      <c r="B110" s="1" t="s">
        <v>25</v>
      </c>
      <c r="C110" s="1" t="s">
        <v>11</v>
      </c>
      <c r="D110" s="2">
        <v>42454.333333333336</v>
      </c>
      <c r="E110" s="2">
        <v>42467.5</v>
      </c>
      <c r="F110" s="1" t="s">
        <v>21</v>
      </c>
      <c r="G110" s="1" t="s">
        <v>22</v>
      </c>
      <c r="H110">
        <v>2</v>
      </c>
      <c r="I110">
        <v>9</v>
      </c>
      <c r="J110" s="3">
        <v>41</v>
      </c>
      <c r="K110" s="3">
        <f>+Treinamentos[[#This Row],[Alunos]]*Treinamentos[[#This Row],[Valor]]</f>
        <v>369</v>
      </c>
    </row>
    <row r="111" spans="1:11" x14ac:dyDescent="0.25">
      <c r="A111">
        <v>4464</v>
      </c>
      <c r="B111" s="1" t="s">
        <v>10</v>
      </c>
      <c r="C111" s="1" t="s">
        <v>26</v>
      </c>
      <c r="D111" s="2">
        <v>42457.791666666664</v>
      </c>
      <c r="E111" s="2">
        <v>42468.958333333336</v>
      </c>
      <c r="F111" s="1" t="s">
        <v>12</v>
      </c>
      <c r="G111" s="1" t="s">
        <v>24</v>
      </c>
      <c r="H111">
        <v>3</v>
      </c>
      <c r="I111">
        <v>9</v>
      </c>
      <c r="J111" s="3">
        <v>73</v>
      </c>
      <c r="K111" s="3">
        <f>+Treinamentos[[#This Row],[Alunos]]*Treinamentos[[#This Row],[Valor]]</f>
        <v>657</v>
      </c>
    </row>
    <row r="112" spans="1:11" x14ac:dyDescent="0.25">
      <c r="A112">
        <v>4465</v>
      </c>
      <c r="B112" s="1" t="s">
        <v>16</v>
      </c>
      <c r="C112" s="1" t="s">
        <v>45</v>
      </c>
      <c r="D112" s="2">
        <v>42458.791666666664</v>
      </c>
      <c r="E112" s="2">
        <v>42471.958333333336</v>
      </c>
      <c r="F112" s="1" t="s">
        <v>21</v>
      </c>
      <c r="G112" s="1" t="s">
        <v>32</v>
      </c>
      <c r="H112">
        <v>5</v>
      </c>
      <c r="I112">
        <v>8</v>
      </c>
      <c r="J112" s="3">
        <v>52</v>
      </c>
      <c r="K112" s="3">
        <f>+Treinamentos[[#This Row],[Alunos]]*Treinamentos[[#This Row],[Valor]]</f>
        <v>416</v>
      </c>
    </row>
    <row r="113" spans="1:11" x14ac:dyDescent="0.25">
      <c r="A113">
        <v>4466</v>
      </c>
      <c r="B113" s="1" t="s">
        <v>14</v>
      </c>
      <c r="C113" s="1" t="s">
        <v>43</v>
      </c>
      <c r="D113" s="2">
        <v>42459.583333333336</v>
      </c>
      <c r="E113" s="2">
        <v>42472.75</v>
      </c>
      <c r="F113" s="1" t="s">
        <v>12</v>
      </c>
      <c r="G113" s="1" t="s">
        <v>19</v>
      </c>
      <c r="H113">
        <v>5</v>
      </c>
      <c r="I113">
        <v>9</v>
      </c>
      <c r="J113" s="3">
        <v>31</v>
      </c>
      <c r="K113" s="3">
        <f>+Treinamentos[[#This Row],[Alunos]]*Treinamentos[[#This Row],[Valor]]</f>
        <v>279</v>
      </c>
    </row>
    <row r="114" spans="1:11" x14ac:dyDescent="0.25">
      <c r="A114">
        <v>4467</v>
      </c>
      <c r="B114" s="1" t="s">
        <v>37</v>
      </c>
      <c r="C114" s="1" t="s">
        <v>31</v>
      </c>
      <c r="D114" s="2">
        <v>42459.583333333336</v>
      </c>
      <c r="E114" s="2">
        <v>42472.75</v>
      </c>
      <c r="F114" s="1" t="s">
        <v>21</v>
      </c>
      <c r="G114" s="1" t="s">
        <v>27</v>
      </c>
      <c r="H114">
        <v>4</v>
      </c>
      <c r="I114">
        <v>8</v>
      </c>
      <c r="J114" s="3">
        <v>61</v>
      </c>
      <c r="K114" s="3">
        <f>+Treinamentos[[#This Row],[Alunos]]*Treinamentos[[#This Row],[Valor]]</f>
        <v>488</v>
      </c>
    </row>
    <row r="115" spans="1:11" x14ac:dyDescent="0.25">
      <c r="A115">
        <v>4468</v>
      </c>
      <c r="B115" s="1" t="s">
        <v>17</v>
      </c>
      <c r="C115" s="1" t="s">
        <v>45</v>
      </c>
      <c r="D115" s="2">
        <v>42459.583333333336</v>
      </c>
      <c r="E115" s="2">
        <v>42472.75</v>
      </c>
      <c r="F115" s="1" t="s">
        <v>12</v>
      </c>
      <c r="G115" s="1" t="s">
        <v>19</v>
      </c>
      <c r="H115">
        <v>2</v>
      </c>
      <c r="I115">
        <v>11</v>
      </c>
      <c r="J115" s="3">
        <v>52</v>
      </c>
      <c r="K115" s="3">
        <f>+Treinamentos[[#This Row],[Alunos]]*Treinamentos[[#This Row],[Valor]]</f>
        <v>572</v>
      </c>
    </row>
    <row r="116" spans="1:11" x14ac:dyDescent="0.25">
      <c r="A116">
        <v>4469</v>
      </c>
      <c r="B116" s="1" t="s">
        <v>37</v>
      </c>
      <c r="C116" s="1" t="s">
        <v>31</v>
      </c>
      <c r="D116" s="2">
        <v>42460.375</v>
      </c>
      <c r="E116" s="2">
        <v>42466.75</v>
      </c>
      <c r="F116" s="1" t="s">
        <v>12</v>
      </c>
      <c r="G116" s="1" t="s">
        <v>33</v>
      </c>
      <c r="H116">
        <v>5</v>
      </c>
      <c r="I116">
        <v>12</v>
      </c>
      <c r="J116" s="3">
        <v>61</v>
      </c>
      <c r="K116" s="3">
        <f>+Treinamentos[[#This Row],[Alunos]]*Treinamentos[[#This Row],[Valor]]</f>
        <v>732</v>
      </c>
    </row>
    <row r="117" spans="1:11" x14ac:dyDescent="0.25">
      <c r="A117">
        <v>4470</v>
      </c>
      <c r="B117" s="1" t="s">
        <v>41</v>
      </c>
      <c r="C117" s="1" t="s">
        <v>31</v>
      </c>
      <c r="D117" s="2">
        <v>42461.333333333336</v>
      </c>
      <c r="E117" s="2">
        <v>42474.5</v>
      </c>
      <c r="F117" s="1" t="s">
        <v>12</v>
      </c>
      <c r="G117" s="1" t="s">
        <v>19</v>
      </c>
      <c r="H117">
        <v>3</v>
      </c>
      <c r="I117">
        <v>8</v>
      </c>
      <c r="J117" s="3">
        <v>61</v>
      </c>
      <c r="K117" s="3">
        <f>+Treinamentos[[#This Row],[Alunos]]*Treinamentos[[#This Row],[Valor]]</f>
        <v>488</v>
      </c>
    </row>
    <row r="118" spans="1:11" x14ac:dyDescent="0.25">
      <c r="A118">
        <v>4471</v>
      </c>
      <c r="B118" s="1" t="s">
        <v>16</v>
      </c>
      <c r="C118" s="1" t="s">
        <v>43</v>
      </c>
      <c r="D118" s="2">
        <v>42461.333333333336</v>
      </c>
      <c r="E118" s="2">
        <v>42474.5</v>
      </c>
      <c r="F118" s="1" t="s">
        <v>21</v>
      </c>
      <c r="G118" s="1" t="s">
        <v>22</v>
      </c>
      <c r="H118">
        <v>2</v>
      </c>
      <c r="I118">
        <v>12</v>
      </c>
      <c r="J118" s="3">
        <v>31</v>
      </c>
      <c r="K118" s="3">
        <f>+Treinamentos[[#This Row],[Alunos]]*Treinamentos[[#This Row],[Valor]]</f>
        <v>372</v>
      </c>
    </row>
    <row r="119" spans="1:11" x14ac:dyDescent="0.25">
      <c r="A119">
        <v>4472</v>
      </c>
      <c r="B119" s="1" t="s">
        <v>10</v>
      </c>
      <c r="C119" s="1" t="s">
        <v>26</v>
      </c>
      <c r="D119" s="2">
        <v>42461.333333333336</v>
      </c>
      <c r="E119" s="2">
        <v>42474.5</v>
      </c>
      <c r="F119" s="1" t="s">
        <v>12</v>
      </c>
      <c r="G119" s="1" t="s">
        <v>19</v>
      </c>
      <c r="H119">
        <v>2</v>
      </c>
      <c r="I119">
        <v>12</v>
      </c>
      <c r="J119" s="3">
        <v>73</v>
      </c>
      <c r="K119" s="3">
        <f>+Treinamentos[[#This Row],[Alunos]]*Treinamentos[[#This Row],[Valor]]</f>
        <v>876</v>
      </c>
    </row>
    <row r="120" spans="1:11" x14ac:dyDescent="0.25">
      <c r="A120">
        <v>4473</v>
      </c>
      <c r="B120" s="1" t="s">
        <v>37</v>
      </c>
      <c r="C120" s="1" t="s">
        <v>43</v>
      </c>
      <c r="D120" s="2">
        <v>42462.375</v>
      </c>
      <c r="E120" s="2">
        <v>42467.75</v>
      </c>
      <c r="F120" s="1" t="s">
        <v>12</v>
      </c>
      <c r="G120" s="1" t="s">
        <v>34</v>
      </c>
      <c r="H120">
        <v>3</v>
      </c>
      <c r="I120">
        <v>9</v>
      </c>
      <c r="J120" s="3">
        <v>31</v>
      </c>
      <c r="K120" s="3">
        <f>+Treinamentos[[#This Row],[Alunos]]*Treinamentos[[#This Row],[Valor]]</f>
        <v>279</v>
      </c>
    </row>
    <row r="121" spans="1:11" x14ac:dyDescent="0.25">
      <c r="A121">
        <v>4474</v>
      </c>
      <c r="B121" s="1" t="s">
        <v>41</v>
      </c>
      <c r="C121" s="1" t="s">
        <v>43</v>
      </c>
      <c r="D121" s="2">
        <v>42462.375</v>
      </c>
      <c r="E121" s="2">
        <v>42467.75</v>
      </c>
      <c r="F121" s="1" t="s">
        <v>12</v>
      </c>
      <c r="G121" s="1" t="s">
        <v>13</v>
      </c>
      <c r="H121">
        <v>3</v>
      </c>
      <c r="I121">
        <v>11</v>
      </c>
      <c r="J121" s="3">
        <v>31</v>
      </c>
      <c r="K121" s="3">
        <f>+Treinamentos[[#This Row],[Alunos]]*Treinamentos[[#This Row],[Valor]]</f>
        <v>341</v>
      </c>
    </row>
    <row r="122" spans="1:11" x14ac:dyDescent="0.25">
      <c r="A122">
        <v>4475</v>
      </c>
      <c r="B122" s="1" t="s">
        <v>25</v>
      </c>
      <c r="C122" s="1" t="s">
        <v>26</v>
      </c>
      <c r="D122" s="2">
        <v>42464.791666666664</v>
      </c>
      <c r="E122" s="2">
        <v>42475.958333333336</v>
      </c>
      <c r="F122" s="1" t="s">
        <v>12</v>
      </c>
      <c r="G122" s="1" t="s">
        <v>42</v>
      </c>
      <c r="H122">
        <v>2</v>
      </c>
      <c r="I122">
        <v>8</v>
      </c>
      <c r="J122" s="3">
        <v>73</v>
      </c>
      <c r="K122" s="3">
        <f>+Treinamentos[[#This Row],[Alunos]]*Treinamentos[[#This Row],[Valor]]</f>
        <v>584</v>
      </c>
    </row>
    <row r="123" spans="1:11" x14ac:dyDescent="0.25">
      <c r="A123">
        <v>4476</v>
      </c>
      <c r="B123" s="1" t="s">
        <v>28</v>
      </c>
      <c r="C123" s="1" t="s">
        <v>18</v>
      </c>
      <c r="D123" s="2">
        <v>42464.791666666664</v>
      </c>
      <c r="E123" s="2">
        <v>42475.958333333336</v>
      </c>
      <c r="F123" s="1" t="s">
        <v>12</v>
      </c>
      <c r="G123" s="1" t="s">
        <v>46</v>
      </c>
      <c r="H123">
        <v>5</v>
      </c>
      <c r="I123">
        <v>8</v>
      </c>
      <c r="J123" s="3">
        <v>33</v>
      </c>
      <c r="K123" s="3">
        <f>+Treinamentos[[#This Row],[Alunos]]*Treinamentos[[#This Row],[Valor]]</f>
        <v>264</v>
      </c>
    </row>
    <row r="124" spans="1:11" x14ac:dyDescent="0.25">
      <c r="A124">
        <v>4477</v>
      </c>
      <c r="B124" s="1" t="s">
        <v>16</v>
      </c>
      <c r="C124" s="1" t="s">
        <v>23</v>
      </c>
      <c r="D124" s="2">
        <v>42464.791666666664</v>
      </c>
      <c r="E124" s="2">
        <v>42475.958333333336</v>
      </c>
      <c r="F124" s="1" t="s">
        <v>12</v>
      </c>
      <c r="G124" s="1" t="s">
        <v>24</v>
      </c>
      <c r="H124">
        <v>3</v>
      </c>
      <c r="I124">
        <v>12</v>
      </c>
      <c r="J124" s="3">
        <v>47</v>
      </c>
      <c r="K124" s="3">
        <f>+Treinamentos[[#This Row],[Alunos]]*Treinamentos[[#This Row],[Valor]]</f>
        <v>564</v>
      </c>
    </row>
    <row r="125" spans="1:11" x14ac:dyDescent="0.25">
      <c r="A125">
        <v>4478</v>
      </c>
      <c r="B125" s="1" t="s">
        <v>17</v>
      </c>
      <c r="C125" s="1" t="s">
        <v>45</v>
      </c>
      <c r="D125" s="2">
        <v>42464.791666666664</v>
      </c>
      <c r="E125" s="2">
        <v>42475.958333333336</v>
      </c>
      <c r="F125" s="1" t="s">
        <v>21</v>
      </c>
      <c r="G125" s="1" t="s">
        <v>47</v>
      </c>
      <c r="H125">
        <v>2</v>
      </c>
      <c r="I125">
        <v>9</v>
      </c>
      <c r="J125" s="3">
        <v>52</v>
      </c>
      <c r="K125" s="3">
        <f>+Treinamentos[[#This Row],[Alunos]]*Treinamentos[[#This Row],[Valor]]</f>
        <v>468</v>
      </c>
    </row>
    <row r="126" spans="1:11" x14ac:dyDescent="0.25">
      <c r="A126">
        <v>4479</v>
      </c>
      <c r="B126" s="1" t="s">
        <v>16</v>
      </c>
      <c r="C126" s="1" t="s">
        <v>15</v>
      </c>
      <c r="D126" s="2">
        <v>42464.791666666664</v>
      </c>
      <c r="E126" s="2">
        <v>42475.958333333336</v>
      </c>
      <c r="F126" s="1" t="s">
        <v>12</v>
      </c>
      <c r="G126" s="1" t="s">
        <v>36</v>
      </c>
      <c r="H126">
        <v>3</v>
      </c>
      <c r="I126">
        <v>8</v>
      </c>
      <c r="J126" s="3">
        <v>62</v>
      </c>
      <c r="K126" s="3">
        <f>+Treinamentos[[#This Row],[Alunos]]*Treinamentos[[#This Row],[Valor]]</f>
        <v>496</v>
      </c>
    </row>
    <row r="127" spans="1:11" x14ac:dyDescent="0.25">
      <c r="A127">
        <v>4480</v>
      </c>
      <c r="B127" s="1" t="s">
        <v>37</v>
      </c>
      <c r="C127" s="1" t="s">
        <v>18</v>
      </c>
      <c r="D127" s="2">
        <v>42466.583333333336</v>
      </c>
      <c r="E127" s="2">
        <v>42479.75</v>
      </c>
      <c r="F127" s="1" t="s">
        <v>21</v>
      </c>
      <c r="G127" s="1" t="s">
        <v>46</v>
      </c>
      <c r="H127">
        <v>4</v>
      </c>
      <c r="I127">
        <v>9</v>
      </c>
      <c r="J127" s="3">
        <v>33</v>
      </c>
      <c r="K127" s="3">
        <f>+Treinamentos[[#This Row],[Alunos]]*Treinamentos[[#This Row],[Valor]]</f>
        <v>297</v>
      </c>
    </row>
    <row r="128" spans="1:11" x14ac:dyDescent="0.25">
      <c r="A128">
        <v>4481</v>
      </c>
      <c r="B128" s="1" t="s">
        <v>14</v>
      </c>
      <c r="C128" s="1" t="s">
        <v>18</v>
      </c>
      <c r="D128" s="2">
        <v>42467.375</v>
      </c>
      <c r="E128" s="2">
        <v>42473.75</v>
      </c>
      <c r="F128" s="1" t="s">
        <v>21</v>
      </c>
      <c r="G128" s="1" t="s">
        <v>19</v>
      </c>
      <c r="H128">
        <v>5</v>
      </c>
      <c r="I128">
        <v>11</v>
      </c>
      <c r="J128" s="3">
        <v>33</v>
      </c>
      <c r="K128" s="3">
        <f>+Treinamentos[[#This Row],[Alunos]]*Treinamentos[[#This Row],[Valor]]</f>
        <v>363</v>
      </c>
    </row>
    <row r="129" spans="1:11" x14ac:dyDescent="0.25">
      <c r="A129">
        <v>4482</v>
      </c>
      <c r="B129" s="1" t="s">
        <v>14</v>
      </c>
      <c r="C129" s="1" t="s">
        <v>23</v>
      </c>
      <c r="D129" s="2">
        <v>42467.375</v>
      </c>
      <c r="E129" s="2">
        <v>42473.75</v>
      </c>
      <c r="F129" s="1" t="s">
        <v>12</v>
      </c>
      <c r="G129" s="1" t="s">
        <v>16</v>
      </c>
      <c r="H129">
        <v>2</v>
      </c>
      <c r="I129">
        <v>8</v>
      </c>
      <c r="J129" s="3">
        <v>47</v>
      </c>
      <c r="K129" s="3">
        <f>+Treinamentos[[#This Row],[Alunos]]*Treinamentos[[#This Row],[Valor]]</f>
        <v>376</v>
      </c>
    </row>
    <row r="130" spans="1:11" x14ac:dyDescent="0.25">
      <c r="A130">
        <v>4483</v>
      </c>
      <c r="B130" s="1" t="s">
        <v>14</v>
      </c>
      <c r="C130" s="1" t="s">
        <v>35</v>
      </c>
      <c r="D130" s="2">
        <v>42468.333333333336</v>
      </c>
      <c r="E130" s="2">
        <v>42481.5</v>
      </c>
      <c r="F130" s="1" t="s">
        <v>21</v>
      </c>
      <c r="G130" s="1" t="s">
        <v>47</v>
      </c>
      <c r="H130">
        <v>5</v>
      </c>
      <c r="I130">
        <v>9</v>
      </c>
      <c r="J130" s="3">
        <v>47</v>
      </c>
      <c r="K130" s="3">
        <f>+Treinamentos[[#This Row],[Alunos]]*Treinamentos[[#This Row],[Valor]]</f>
        <v>423</v>
      </c>
    </row>
    <row r="131" spans="1:11" x14ac:dyDescent="0.25">
      <c r="A131">
        <v>4484</v>
      </c>
      <c r="B131" s="1" t="s">
        <v>41</v>
      </c>
      <c r="C131" s="1" t="s">
        <v>15</v>
      </c>
      <c r="D131" s="2">
        <v>42468.333333333336</v>
      </c>
      <c r="E131" s="2">
        <v>42481.5</v>
      </c>
      <c r="F131" s="1" t="s">
        <v>12</v>
      </c>
      <c r="G131" s="1" t="s">
        <v>42</v>
      </c>
      <c r="H131">
        <v>5</v>
      </c>
      <c r="I131">
        <v>12</v>
      </c>
      <c r="J131" s="3">
        <v>62</v>
      </c>
      <c r="K131" s="3">
        <f>+Treinamentos[[#This Row],[Alunos]]*Treinamentos[[#This Row],[Valor]]</f>
        <v>744</v>
      </c>
    </row>
    <row r="132" spans="1:11" x14ac:dyDescent="0.25">
      <c r="A132">
        <v>4485</v>
      </c>
      <c r="B132" s="1" t="s">
        <v>30</v>
      </c>
      <c r="C132" s="1" t="s">
        <v>31</v>
      </c>
      <c r="D132" s="2">
        <v>42471.791666666664</v>
      </c>
      <c r="E132" s="2">
        <v>42482.958333333336</v>
      </c>
      <c r="F132" s="1" t="s">
        <v>21</v>
      </c>
      <c r="G132" s="1" t="s">
        <v>24</v>
      </c>
      <c r="H132">
        <v>5</v>
      </c>
      <c r="I132">
        <v>8</v>
      </c>
      <c r="J132" s="3">
        <v>61</v>
      </c>
      <c r="K132" s="3">
        <f>+Treinamentos[[#This Row],[Alunos]]*Treinamentos[[#This Row],[Valor]]</f>
        <v>488</v>
      </c>
    </row>
    <row r="133" spans="1:11" x14ac:dyDescent="0.25">
      <c r="A133">
        <v>4486</v>
      </c>
      <c r="B133" s="1" t="s">
        <v>41</v>
      </c>
      <c r="C133" s="1" t="s">
        <v>15</v>
      </c>
      <c r="D133" s="2">
        <v>42471.791666666664</v>
      </c>
      <c r="E133" s="2">
        <v>42482.958333333336</v>
      </c>
      <c r="F133" s="1" t="s">
        <v>21</v>
      </c>
      <c r="G133" s="1" t="s">
        <v>38</v>
      </c>
      <c r="H133">
        <v>4</v>
      </c>
      <c r="I133">
        <v>8</v>
      </c>
      <c r="J133" s="3">
        <v>62</v>
      </c>
      <c r="K133" s="3">
        <f>+Treinamentos[[#This Row],[Alunos]]*Treinamentos[[#This Row],[Valor]]</f>
        <v>496</v>
      </c>
    </row>
    <row r="134" spans="1:11" x14ac:dyDescent="0.25">
      <c r="A134">
        <v>4487</v>
      </c>
      <c r="B134" s="1" t="s">
        <v>17</v>
      </c>
      <c r="C134" s="1" t="s">
        <v>18</v>
      </c>
      <c r="D134" s="2">
        <v>42471.791666666664</v>
      </c>
      <c r="E134" s="2">
        <v>42482.958333333336</v>
      </c>
      <c r="F134" s="1" t="s">
        <v>21</v>
      </c>
      <c r="G134" s="1" t="s">
        <v>36</v>
      </c>
      <c r="H134">
        <v>4</v>
      </c>
      <c r="I134">
        <v>11</v>
      </c>
      <c r="J134" s="3">
        <v>33</v>
      </c>
      <c r="K134" s="3">
        <f>+Treinamentos[[#This Row],[Alunos]]*Treinamentos[[#This Row],[Valor]]</f>
        <v>363</v>
      </c>
    </row>
    <row r="135" spans="1:11" x14ac:dyDescent="0.25">
      <c r="A135">
        <v>4488</v>
      </c>
      <c r="B135" s="1" t="s">
        <v>25</v>
      </c>
      <c r="C135" s="1" t="s">
        <v>35</v>
      </c>
      <c r="D135" s="2">
        <v>42471.791666666664</v>
      </c>
      <c r="E135" s="2">
        <v>42482.958333333336</v>
      </c>
      <c r="F135" s="1" t="s">
        <v>12</v>
      </c>
      <c r="G135" s="1" t="s">
        <v>13</v>
      </c>
      <c r="H135">
        <v>5</v>
      </c>
      <c r="I135">
        <v>8</v>
      </c>
      <c r="J135" s="3">
        <v>47</v>
      </c>
      <c r="K135" s="3">
        <f>+Treinamentos[[#This Row],[Alunos]]*Treinamentos[[#This Row],[Valor]]</f>
        <v>376</v>
      </c>
    </row>
    <row r="136" spans="1:11" x14ac:dyDescent="0.25">
      <c r="A136">
        <v>4489</v>
      </c>
      <c r="B136" s="1" t="s">
        <v>37</v>
      </c>
      <c r="C136" s="1" t="s">
        <v>18</v>
      </c>
      <c r="D136" s="2">
        <v>42471.791666666664</v>
      </c>
      <c r="E136" s="2">
        <v>42482.958333333336</v>
      </c>
      <c r="F136" s="1" t="s">
        <v>21</v>
      </c>
      <c r="G136" s="1" t="s">
        <v>19</v>
      </c>
      <c r="H136">
        <v>4</v>
      </c>
      <c r="I136">
        <v>8</v>
      </c>
      <c r="J136" s="3">
        <v>33</v>
      </c>
      <c r="K136" s="3">
        <f>+Treinamentos[[#This Row],[Alunos]]*Treinamentos[[#This Row],[Valor]]</f>
        <v>264</v>
      </c>
    </row>
    <row r="137" spans="1:11" x14ac:dyDescent="0.25">
      <c r="A137">
        <v>4490</v>
      </c>
      <c r="B137" s="1" t="s">
        <v>10</v>
      </c>
      <c r="C137" s="1" t="s">
        <v>39</v>
      </c>
      <c r="D137" s="2">
        <v>42472.791666666664</v>
      </c>
      <c r="E137" s="2">
        <v>42485.958333333336</v>
      </c>
      <c r="F137" s="1" t="s">
        <v>12</v>
      </c>
      <c r="G137" s="1" t="s">
        <v>48</v>
      </c>
      <c r="H137">
        <v>4</v>
      </c>
      <c r="I137">
        <v>12</v>
      </c>
      <c r="J137" s="3">
        <v>61</v>
      </c>
      <c r="K137" s="3">
        <f>+Treinamentos[[#This Row],[Alunos]]*Treinamentos[[#This Row],[Valor]]</f>
        <v>732</v>
      </c>
    </row>
    <row r="138" spans="1:11" x14ac:dyDescent="0.25">
      <c r="A138">
        <v>4491</v>
      </c>
      <c r="B138" s="1" t="s">
        <v>25</v>
      </c>
      <c r="C138" s="1" t="s">
        <v>18</v>
      </c>
      <c r="D138" s="2">
        <v>42473.583333333336</v>
      </c>
      <c r="E138" s="2">
        <v>42486.75</v>
      </c>
      <c r="F138" s="1" t="s">
        <v>12</v>
      </c>
      <c r="G138" s="1" t="s">
        <v>33</v>
      </c>
      <c r="H138">
        <v>2</v>
      </c>
      <c r="I138">
        <v>11</v>
      </c>
      <c r="J138" s="3">
        <v>33</v>
      </c>
      <c r="K138" s="3">
        <f>+Treinamentos[[#This Row],[Alunos]]*Treinamentos[[#This Row],[Valor]]</f>
        <v>363</v>
      </c>
    </row>
    <row r="139" spans="1:11" x14ac:dyDescent="0.25">
      <c r="A139">
        <v>4492</v>
      </c>
      <c r="B139" s="1" t="s">
        <v>37</v>
      </c>
      <c r="C139" s="1" t="s">
        <v>11</v>
      </c>
      <c r="D139" s="2">
        <v>42473.583333333336</v>
      </c>
      <c r="E139" s="2">
        <v>42486.75</v>
      </c>
      <c r="F139" s="1" t="s">
        <v>21</v>
      </c>
      <c r="G139" s="1" t="s">
        <v>13</v>
      </c>
      <c r="H139">
        <v>5</v>
      </c>
      <c r="I139">
        <v>10</v>
      </c>
      <c r="J139" s="3">
        <v>41</v>
      </c>
      <c r="K139" s="3">
        <f>+Treinamentos[[#This Row],[Alunos]]*Treinamentos[[#This Row],[Valor]]</f>
        <v>410</v>
      </c>
    </row>
    <row r="140" spans="1:11" x14ac:dyDescent="0.25">
      <c r="A140">
        <v>4493</v>
      </c>
      <c r="B140" s="1" t="s">
        <v>10</v>
      </c>
      <c r="C140" s="1" t="s">
        <v>18</v>
      </c>
      <c r="D140" s="2">
        <v>42474.375</v>
      </c>
      <c r="E140" s="2">
        <v>42480.75</v>
      </c>
      <c r="F140" s="1" t="s">
        <v>21</v>
      </c>
      <c r="G140" s="1" t="s">
        <v>13</v>
      </c>
      <c r="H140">
        <v>4</v>
      </c>
      <c r="I140">
        <v>9</v>
      </c>
      <c r="J140" s="3">
        <v>33</v>
      </c>
      <c r="K140" s="3">
        <f>+Treinamentos[[#This Row],[Alunos]]*Treinamentos[[#This Row],[Valor]]</f>
        <v>297</v>
      </c>
    </row>
    <row r="141" spans="1:11" x14ac:dyDescent="0.25">
      <c r="A141">
        <v>4494</v>
      </c>
      <c r="B141" s="1" t="s">
        <v>17</v>
      </c>
      <c r="C141" s="1" t="s">
        <v>31</v>
      </c>
      <c r="D141" s="2">
        <v>42474.375</v>
      </c>
      <c r="E141" s="2">
        <v>42480.75</v>
      </c>
      <c r="F141" s="1" t="s">
        <v>21</v>
      </c>
      <c r="G141" s="1" t="s">
        <v>48</v>
      </c>
      <c r="H141">
        <v>5</v>
      </c>
      <c r="I141">
        <v>12</v>
      </c>
      <c r="J141" s="3">
        <v>61</v>
      </c>
      <c r="K141" s="3">
        <f>+Treinamentos[[#This Row],[Alunos]]*Treinamentos[[#This Row],[Valor]]</f>
        <v>732</v>
      </c>
    </row>
    <row r="142" spans="1:11" x14ac:dyDescent="0.25">
      <c r="A142">
        <v>4495</v>
      </c>
      <c r="B142" s="1" t="s">
        <v>17</v>
      </c>
      <c r="C142" s="1" t="s">
        <v>39</v>
      </c>
      <c r="D142" s="2">
        <v>42475.333333333336</v>
      </c>
      <c r="E142" s="2">
        <v>42488.5</v>
      </c>
      <c r="F142" s="1" t="s">
        <v>12</v>
      </c>
      <c r="G142" s="1" t="s">
        <v>19</v>
      </c>
      <c r="H142">
        <v>2</v>
      </c>
      <c r="I142">
        <v>10</v>
      </c>
      <c r="J142" s="3">
        <v>61</v>
      </c>
      <c r="K142" s="3">
        <f>+Treinamentos[[#This Row],[Alunos]]*Treinamentos[[#This Row],[Valor]]</f>
        <v>610</v>
      </c>
    </row>
    <row r="143" spans="1:11" x14ac:dyDescent="0.25">
      <c r="A143">
        <v>4496</v>
      </c>
      <c r="B143" s="1" t="s">
        <v>41</v>
      </c>
      <c r="C143" s="1" t="s">
        <v>43</v>
      </c>
      <c r="D143" s="2">
        <v>42475.333333333336</v>
      </c>
      <c r="E143" s="2">
        <v>42488.5</v>
      </c>
      <c r="F143" s="1" t="s">
        <v>12</v>
      </c>
      <c r="G143" s="1" t="s">
        <v>38</v>
      </c>
      <c r="H143">
        <v>2</v>
      </c>
      <c r="I143">
        <v>8</v>
      </c>
      <c r="J143" s="3">
        <v>31</v>
      </c>
      <c r="K143" s="3">
        <f>+Treinamentos[[#This Row],[Alunos]]*Treinamentos[[#This Row],[Valor]]</f>
        <v>248</v>
      </c>
    </row>
    <row r="144" spans="1:11" x14ac:dyDescent="0.25">
      <c r="A144">
        <v>4497</v>
      </c>
      <c r="B144" s="1" t="s">
        <v>16</v>
      </c>
      <c r="C144" s="1" t="s">
        <v>45</v>
      </c>
      <c r="D144" s="2">
        <v>42475.333333333336</v>
      </c>
      <c r="E144" s="2">
        <v>42488.5</v>
      </c>
      <c r="F144" s="1" t="s">
        <v>12</v>
      </c>
      <c r="G144" s="1" t="s">
        <v>48</v>
      </c>
      <c r="H144">
        <v>2</v>
      </c>
      <c r="I144">
        <v>12</v>
      </c>
      <c r="J144" s="3">
        <v>52</v>
      </c>
      <c r="K144" s="3">
        <f>+Treinamentos[[#This Row],[Alunos]]*Treinamentos[[#This Row],[Valor]]</f>
        <v>624</v>
      </c>
    </row>
    <row r="145" spans="1:11" x14ac:dyDescent="0.25">
      <c r="A145">
        <v>4498</v>
      </c>
      <c r="B145" s="1" t="s">
        <v>17</v>
      </c>
      <c r="C145" s="1" t="s">
        <v>39</v>
      </c>
      <c r="D145" s="2">
        <v>42475.333333333336</v>
      </c>
      <c r="E145" s="2">
        <v>42488.5</v>
      </c>
      <c r="F145" s="1" t="s">
        <v>12</v>
      </c>
      <c r="G145" s="1" t="s">
        <v>24</v>
      </c>
      <c r="H145">
        <v>4</v>
      </c>
      <c r="I145">
        <v>11</v>
      </c>
      <c r="J145" s="3">
        <v>61</v>
      </c>
      <c r="K145" s="3">
        <f>+Treinamentos[[#This Row],[Alunos]]*Treinamentos[[#This Row],[Valor]]</f>
        <v>671</v>
      </c>
    </row>
    <row r="146" spans="1:11" x14ac:dyDescent="0.25">
      <c r="A146">
        <v>4499</v>
      </c>
      <c r="B146" s="1" t="s">
        <v>10</v>
      </c>
      <c r="C146" s="1" t="s">
        <v>15</v>
      </c>
      <c r="D146" s="2">
        <v>42476.375</v>
      </c>
      <c r="E146" s="2">
        <v>42481.75</v>
      </c>
      <c r="F146" s="1" t="s">
        <v>12</v>
      </c>
      <c r="G146" s="1" t="s">
        <v>38</v>
      </c>
      <c r="H146">
        <v>4</v>
      </c>
      <c r="I146">
        <v>11</v>
      </c>
      <c r="J146" s="3">
        <v>62</v>
      </c>
      <c r="K146" s="3">
        <f>+Treinamentos[[#This Row],[Alunos]]*Treinamentos[[#This Row],[Valor]]</f>
        <v>682</v>
      </c>
    </row>
    <row r="147" spans="1:11" x14ac:dyDescent="0.25">
      <c r="A147">
        <v>4500</v>
      </c>
      <c r="B147" s="1" t="s">
        <v>17</v>
      </c>
      <c r="C147" s="1" t="s">
        <v>23</v>
      </c>
      <c r="D147" s="2">
        <v>42478.791666666664</v>
      </c>
      <c r="E147" s="2">
        <v>42489.958333333336</v>
      </c>
      <c r="F147" s="1" t="s">
        <v>12</v>
      </c>
      <c r="G147" s="1" t="s">
        <v>46</v>
      </c>
      <c r="H147">
        <v>2</v>
      </c>
      <c r="I147">
        <v>9</v>
      </c>
      <c r="J147" s="3">
        <v>47</v>
      </c>
      <c r="K147" s="3">
        <f>+Treinamentos[[#This Row],[Alunos]]*Treinamentos[[#This Row],[Valor]]</f>
        <v>423</v>
      </c>
    </row>
    <row r="148" spans="1:11" x14ac:dyDescent="0.25">
      <c r="A148">
        <v>4501</v>
      </c>
      <c r="B148" s="1" t="s">
        <v>17</v>
      </c>
      <c r="C148" s="1" t="s">
        <v>35</v>
      </c>
      <c r="D148" s="2">
        <v>42478.791666666664</v>
      </c>
      <c r="E148" s="2">
        <v>42489.958333333336</v>
      </c>
      <c r="F148" s="1" t="s">
        <v>12</v>
      </c>
      <c r="G148" s="1" t="s">
        <v>22</v>
      </c>
      <c r="H148">
        <v>5</v>
      </c>
      <c r="I148">
        <v>9</v>
      </c>
      <c r="J148" s="3">
        <v>47</v>
      </c>
      <c r="K148" s="3">
        <f>+Treinamentos[[#This Row],[Alunos]]*Treinamentos[[#This Row],[Valor]]</f>
        <v>423</v>
      </c>
    </row>
    <row r="149" spans="1:11" x14ac:dyDescent="0.25">
      <c r="A149">
        <v>4502</v>
      </c>
      <c r="B149" s="1" t="s">
        <v>14</v>
      </c>
      <c r="C149" s="1" t="s">
        <v>39</v>
      </c>
      <c r="D149" s="2">
        <v>42479.791666666664</v>
      </c>
      <c r="E149" s="2">
        <v>42492.958333333336</v>
      </c>
      <c r="F149" s="1" t="s">
        <v>12</v>
      </c>
      <c r="G149" s="1" t="s">
        <v>22</v>
      </c>
      <c r="H149">
        <v>2</v>
      </c>
      <c r="I149">
        <v>11</v>
      </c>
      <c r="J149" s="3">
        <v>61</v>
      </c>
      <c r="K149" s="3">
        <f>+Treinamentos[[#This Row],[Alunos]]*Treinamentos[[#This Row],[Valor]]</f>
        <v>671</v>
      </c>
    </row>
    <row r="150" spans="1:11" x14ac:dyDescent="0.25">
      <c r="A150">
        <v>4503</v>
      </c>
      <c r="B150" s="1" t="s">
        <v>10</v>
      </c>
      <c r="C150" s="1" t="s">
        <v>43</v>
      </c>
      <c r="D150" s="2">
        <v>42479.791666666664</v>
      </c>
      <c r="E150" s="2">
        <v>42492.958333333336</v>
      </c>
      <c r="F150" s="1" t="s">
        <v>21</v>
      </c>
      <c r="G150" s="1" t="s">
        <v>19</v>
      </c>
      <c r="H150">
        <v>2</v>
      </c>
      <c r="I150">
        <v>9</v>
      </c>
      <c r="J150" s="3">
        <v>31</v>
      </c>
      <c r="K150" s="3">
        <f>+Treinamentos[[#This Row],[Alunos]]*Treinamentos[[#This Row],[Valor]]</f>
        <v>279</v>
      </c>
    </row>
    <row r="151" spans="1:11" x14ac:dyDescent="0.25">
      <c r="A151">
        <v>4504</v>
      </c>
      <c r="B151" s="1" t="s">
        <v>14</v>
      </c>
      <c r="C151" s="1" t="s">
        <v>39</v>
      </c>
      <c r="D151" s="2">
        <v>42479.791666666664</v>
      </c>
      <c r="E151" s="2">
        <v>42492.958333333336</v>
      </c>
      <c r="F151" s="1" t="s">
        <v>12</v>
      </c>
      <c r="G151" s="1" t="s">
        <v>48</v>
      </c>
      <c r="H151">
        <v>4</v>
      </c>
      <c r="I151">
        <v>8</v>
      </c>
      <c r="J151" s="3">
        <v>61</v>
      </c>
      <c r="K151" s="3">
        <f>+Treinamentos[[#This Row],[Alunos]]*Treinamentos[[#This Row],[Valor]]</f>
        <v>488</v>
      </c>
    </row>
    <row r="152" spans="1:11" x14ac:dyDescent="0.25">
      <c r="A152">
        <v>4505</v>
      </c>
      <c r="B152" s="1" t="s">
        <v>25</v>
      </c>
      <c r="C152" s="1" t="s">
        <v>23</v>
      </c>
      <c r="D152" s="2">
        <v>42481.375</v>
      </c>
      <c r="E152" s="2">
        <v>42487.75</v>
      </c>
      <c r="F152" s="1" t="s">
        <v>12</v>
      </c>
      <c r="G152" s="1" t="s">
        <v>19</v>
      </c>
      <c r="H152">
        <v>5</v>
      </c>
      <c r="I152">
        <v>8</v>
      </c>
      <c r="J152" s="3">
        <v>47</v>
      </c>
      <c r="K152" s="3">
        <f>+Treinamentos[[#This Row],[Alunos]]*Treinamentos[[#This Row],[Valor]]</f>
        <v>376</v>
      </c>
    </row>
    <row r="153" spans="1:11" x14ac:dyDescent="0.25">
      <c r="A153">
        <v>4506</v>
      </c>
      <c r="B153" s="1" t="s">
        <v>17</v>
      </c>
      <c r="C153" s="1" t="s">
        <v>15</v>
      </c>
      <c r="D153" s="2">
        <v>42481.375</v>
      </c>
      <c r="E153" s="2">
        <v>42487.75</v>
      </c>
      <c r="F153" s="1" t="s">
        <v>21</v>
      </c>
      <c r="G153" s="1" t="s">
        <v>42</v>
      </c>
      <c r="H153">
        <v>5</v>
      </c>
      <c r="I153">
        <v>10</v>
      </c>
      <c r="J153" s="3">
        <v>62</v>
      </c>
      <c r="K153" s="3">
        <f>+Treinamentos[[#This Row],[Alunos]]*Treinamentos[[#This Row],[Valor]]</f>
        <v>620</v>
      </c>
    </row>
    <row r="154" spans="1:11" x14ac:dyDescent="0.25">
      <c r="A154">
        <v>4507</v>
      </c>
      <c r="B154" s="1" t="s">
        <v>37</v>
      </c>
      <c r="C154" s="1" t="s">
        <v>20</v>
      </c>
      <c r="D154" s="2">
        <v>42481.375</v>
      </c>
      <c r="E154" s="2">
        <v>42487.75</v>
      </c>
      <c r="F154" s="1" t="s">
        <v>12</v>
      </c>
      <c r="G154" s="1" t="s">
        <v>34</v>
      </c>
      <c r="H154">
        <v>4</v>
      </c>
      <c r="I154">
        <v>12</v>
      </c>
      <c r="J154" s="3">
        <v>47</v>
      </c>
      <c r="K154" s="3">
        <f>+Treinamentos[[#This Row],[Alunos]]*Treinamentos[[#This Row],[Valor]]</f>
        <v>564</v>
      </c>
    </row>
    <row r="155" spans="1:11" x14ac:dyDescent="0.25">
      <c r="A155">
        <v>4508</v>
      </c>
      <c r="B155" s="1" t="s">
        <v>17</v>
      </c>
      <c r="C155" s="1" t="s">
        <v>26</v>
      </c>
      <c r="D155" s="2">
        <v>42482.333333333336</v>
      </c>
      <c r="E155" s="2">
        <v>42495.5</v>
      </c>
      <c r="F155" s="1" t="s">
        <v>12</v>
      </c>
      <c r="G155" s="1" t="s">
        <v>24</v>
      </c>
      <c r="H155">
        <v>3</v>
      </c>
      <c r="I155">
        <v>8</v>
      </c>
      <c r="J155" s="3">
        <v>73</v>
      </c>
      <c r="K155" s="3">
        <f>+Treinamentos[[#This Row],[Alunos]]*Treinamentos[[#This Row],[Valor]]</f>
        <v>584</v>
      </c>
    </row>
    <row r="156" spans="1:11" x14ac:dyDescent="0.25">
      <c r="A156">
        <v>4509</v>
      </c>
      <c r="B156" s="1" t="s">
        <v>28</v>
      </c>
      <c r="C156" s="1" t="s">
        <v>43</v>
      </c>
      <c r="D156" s="2">
        <v>42483.375</v>
      </c>
      <c r="E156" s="2">
        <v>42488.75</v>
      </c>
      <c r="F156" s="1" t="s">
        <v>12</v>
      </c>
      <c r="G156" s="1" t="s">
        <v>33</v>
      </c>
      <c r="H156">
        <v>2</v>
      </c>
      <c r="I156">
        <v>8</v>
      </c>
      <c r="J156" s="3">
        <v>31</v>
      </c>
      <c r="K156" s="3">
        <f>+Treinamentos[[#This Row],[Alunos]]*Treinamentos[[#This Row],[Valor]]</f>
        <v>248</v>
      </c>
    </row>
    <row r="157" spans="1:11" x14ac:dyDescent="0.25">
      <c r="A157">
        <v>4510</v>
      </c>
      <c r="B157" s="1" t="s">
        <v>14</v>
      </c>
      <c r="C157" s="1" t="s">
        <v>31</v>
      </c>
      <c r="D157" s="2">
        <v>42483.375</v>
      </c>
      <c r="E157" s="2">
        <v>42488.75</v>
      </c>
      <c r="F157" s="1" t="s">
        <v>12</v>
      </c>
      <c r="G157" s="1" t="s">
        <v>48</v>
      </c>
      <c r="H157">
        <v>2</v>
      </c>
      <c r="I157">
        <v>9</v>
      </c>
      <c r="J157" s="3">
        <v>61</v>
      </c>
      <c r="K157" s="3">
        <f>+Treinamentos[[#This Row],[Alunos]]*Treinamentos[[#This Row],[Valor]]</f>
        <v>549</v>
      </c>
    </row>
    <row r="158" spans="1:11" x14ac:dyDescent="0.25">
      <c r="A158">
        <v>4511</v>
      </c>
      <c r="B158" s="1" t="s">
        <v>16</v>
      </c>
      <c r="C158" s="1" t="s">
        <v>45</v>
      </c>
      <c r="D158" s="2">
        <v>42485.791666666664</v>
      </c>
      <c r="E158" s="2">
        <v>42496.958333333336</v>
      </c>
      <c r="F158" s="1" t="s">
        <v>21</v>
      </c>
      <c r="G158" s="1" t="s">
        <v>32</v>
      </c>
      <c r="H158">
        <v>4</v>
      </c>
      <c r="I158">
        <v>9</v>
      </c>
      <c r="J158" s="3">
        <v>52</v>
      </c>
      <c r="K158" s="3">
        <f>+Treinamentos[[#This Row],[Alunos]]*Treinamentos[[#This Row],[Valor]]</f>
        <v>468</v>
      </c>
    </row>
    <row r="159" spans="1:11" x14ac:dyDescent="0.25">
      <c r="A159">
        <v>4512</v>
      </c>
      <c r="B159" s="1" t="s">
        <v>25</v>
      </c>
      <c r="C159" s="1" t="s">
        <v>43</v>
      </c>
      <c r="D159" s="2">
        <v>42485.791666666664</v>
      </c>
      <c r="E159" s="2">
        <v>42496.958333333336</v>
      </c>
      <c r="F159" s="1" t="s">
        <v>12</v>
      </c>
      <c r="G159" s="1" t="s">
        <v>24</v>
      </c>
      <c r="H159">
        <v>5</v>
      </c>
      <c r="I159">
        <v>8</v>
      </c>
      <c r="J159" s="3">
        <v>31</v>
      </c>
      <c r="K159" s="3">
        <f>+Treinamentos[[#This Row],[Alunos]]*Treinamentos[[#This Row],[Valor]]</f>
        <v>248</v>
      </c>
    </row>
    <row r="160" spans="1:11" x14ac:dyDescent="0.25">
      <c r="A160">
        <v>4513</v>
      </c>
      <c r="B160" s="1" t="s">
        <v>14</v>
      </c>
      <c r="C160" s="1" t="s">
        <v>39</v>
      </c>
      <c r="D160" s="2">
        <v>42485.791666666664</v>
      </c>
      <c r="E160" s="2">
        <v>42496.958333333336</v>
      </c>
      <c r="F160" s="1" t="s">
        <v>12</v>
      </c>
      <c r="G160" s="1" t="s">
        <v>42</v>
      </c>
      <c r="H160">
        <v>2</v>
      </c>
      <c r="I160">
        <v>10</v>
      </c>
      <c r="J160" s="3">
        <v>61</v>
      </c>
      <c r="K160" s="3">
        <f>+Treinamentos[[#This Row],[Alunos]]*Treinamentos[[#This Row],[Valor]]</f>
        <v>610</v>
      </c>
    </row>
    <row r="161" spans="1:11" x14ac:dyDescent="0.25">
      <c r="A161">
        <v>4514</v>
      </c>
      <c r="B161" s="1" t="s">
        <v>16</v>
      </c>
      <c r="C161" s="1" t="s">
        <v>29</v>
      </c>
      <c r="D161" s="2">
        <v>42485.791666666664</v>
      </c>
      <c r="E161" s="2">
        <v>42496.958333333336</v>
      </c>
      <c r="F161" s="1" t="s">
        <v>12</v>
      </c>
      <c r="G161" s="1" t="s">
        <v>22</v>
      </c>
      <c r="H161">
        <v>5</v>
      </c>
      <c r="I161">
        <v>8</v>
      </c>
      <c r="J161" s="3">
        <v>42</v>
      </c>
      <c r="K161" s="3">
        <f>+Treinamentos[[#This Row],[Alunos]]*Treinamentos[[#This Row],[Valor]]</f>
        <v>336</v>
      </c>
    </row>
    <row r="162" spans="1:11" x14ac:dyDescent="0.25">
      <c r="A162">
        <v>4515</v>
      </c>
      <c r="B162" s="1" t="s">
        <v>28</v>
      </c>
      <c r="C162" s="1" t="s">
        <v>31</v>
      </c>
      <c r="D162" s="2">
        <v>42485.791666666664</v>
      </c>
      <c r="E162" s="2">
        <v>42496.958333333336</v>
      </c>
      <c r="F162" s="1" t="s">
        <v>21</v>
      </c>
      <c r="G162" s="1" t="s">
        <v>24</v>
      </c>
      <c r="H162">
        <v>5</v>
      </c>
      <c r="I162">
        <v>9</v>
      </c>
      <c r="J162" s="3">
        <v>61</v>
      </c>
      <c r="K162" s="3">
        <f>+Treinamentos[[#This Row],[Alunos]]*Treinamentos[[#This Row],[Valor]]</f>
        <v>549</v>
      </c>
    </row>
    <row r="163" spans="1:11" x14ac:dyDescent="0.25">
      <c r="A163">
        <v>4516</v>
      </c>
      <c r="B163" s="1" t="s">
        <v>25</v>
      </c>
      <c r="C163" s="1" t="s">
        <v>43</v>
      </c>
      <c r="D163" s="2">
        <v>42485.791666666664</v>
      </c>
      <c r="E163" s="2">
        <v>42496.958333333336</v>
      </c>
      <c r="F163" s="1" t="s">
        <v>12</v>
      </c>
      <c r="G163" s="1" t="s">
        <v>38</v>
      </c>
      <c r="H163">
        <v>5</v>
      </c>
      <c r="I163">
        <v>9</v>
      </c>
      <c r="J163" s="3">
        <v>31</v>
      </c>
      <c r="K163" s="3">
        <f>+Treinamentos[[#This Row],[Alunos]]*Treinamentos[[#This Row],[Valor]]</f>
        <v>279</v>
      </c>
    </row>
    <row r="164" spans="1:11" x14ac:dyDescent="0.25">
      <c r="A164">
        <v>4517</v>
      </c>
      <c r="B164" s="1" t="s">
        <v>14</v>
      </c>
      <c r="C164" s="1" t="s">
        <v>31</v>
      </c>
      <c r="D164" s="2">
        <v>42485.791666666664</v>
      </c>
      <c r="E164" s="2">
        <v>42496.958333333336</v>
      </c>
      <c r="F164" s="1" t="s">
        <v>21</v>
      </c>
      <c r="G164" s="1" t="s">
        <v>24</v>
      </c>
      <c r="H164">
        <v>3</v>
      </c>
      <c r="I164">
        <v>10</v>
      </c>
      <c r="J164" s="3">
        <v>61</v>
      </c>
      <c r="K164" s="3">
        <f>+Treinamentos[[#This Row],[Alunos]]*Treinamentos[[#This Row],[Valor]]</f>
        <v>610</v>
      </c>
    </row>
    <row r="165" spans="1:11" x14ac:dyDescent="0.25">
      <c r="A165">
        <v>4518</v>
      </c>
      <c r="B165" s="1" t="s">
        <v>17</v>
      </c>
      <c r="C165" s="1" t="s">
        <v>11</v>
      </c>
      <c r="D165" s="2">
        <v>42485.791666666664</v>
      </c>
      <c r="E165" s="2">
        <v>42496.958333333336</v>
      </c>
      <c r="F165" s="1" t="s">
        <v>21</v>
      </c>
      <c r="G165" s="1" t="s">
        <v>27</v>
      </c>
      <c r="H165">
        <v>5</v>
      </c>
      <c r="I165">
        <v>8</v>
      </c>
      <c r="J165" s="3">
        <v>41</v>
      </c>
      <c r="K165" s="3">
        <f>+Treinamentos[[#This Row],[Alunos]]*Treinamentos[[#This Row],[Valor]]</f>
        <v>328</v>
      </c>
    </row>
    <row r="166" spans="1:11" x14ac:dyDescent="0.25">
      <c r="A166">
        <v>4519</v>
      </c>
      <c r="B166" s="1" t="s">
        <v>37</v>
      </c>
      <c r="C166" s="1" t="s">
        <v>11</v>
      </c>
      <c r="D166" s="2">
        <v>42487.583333333336</v>
      </c>
      <c r="E166" s="2">
        <v>42500.75</v>
      </c>
      <c r="F166" s="1" t="s">
        <v>21</v>
      </c>
      <c r="G166" s="1" t="s">
        <v>16</v>
      </c>
      <c r="H166">
        <v>4</v>
      </c>
      <c r="I166">
        <v>11</v>
      </c>
      <c r="J166" s="3">
        <v>41</v>
      </c>
      <c r="K166" s="3">
        <f>+Treinamentos[[#This Row],[Alunos]]*Treinamentos[[#This Row],[Valor]]</f>
        <v>451</v>
      </c>
    </row>
    <row r="167" spans="1:11" x14ac:dyDescent="0.25">
      <c r="A167">
        <v>4520</v>
      </c>
      <c r="B167" s="1" t="s">
        <v>17</v>
      </c>
      <c r="C167" s="1" t="s">
        <v>20</v>
      </c>
      <c r="D167" s="2">
        <v>42488.375</v>
      </c>
      <c r="E167" s="2">
        <v>42494.75</v>
      </c>
      <c r="F167" s="1" t="s">
        <v>12</v>
      </c>
      <c r="G167" s="1" t="s">
        <v>48</v>
      </c>
      <c r="H167">
        <v>5</v>
      </c>
      <c r="I167">
        <v>11</v>
      </c>
      <c r="J167" s="3">
        <v>47</v>
      </c>
      <c r="K167" s="3">
        <f>+Treinamentos[[#This Row],[Alunos]]*Treinamentos[[#This Row],[Valor]]</f>
        <v>517</v>
      </c>
    </row>
    <row r="168" spans="1:11" x14ac:dyDescent="0.25">
      <c r="A168">
        <v>4521</v>
      </c>
      <c r="B168" s="1" t="s">
        <v>28</v>
      </c>
      <c r="C168" s="1" t="s">
        <v>39</v>
      </c>
      <c r="D168" s="2">
        <v>42490.375</v>
      </c>
      <c r="E168" s="2">
        <v>42495.75</v>
      </c>
      <c r="F168" s="1" t="s">
        <v>12</v>
      </c>
      <c r="G168" s="1" t="s">
        <v>22</v>
      </c>
      <c r="H168">
        <v>3</v>
      </c>
      <c r="I168">
        <v>10</v>
      </c>
      <c r="J168" s="3">
        <v>61</v>
      </c>
      <c r="K168" s="3">
        <f>+Treinamentos[[#This Row],[Alunos]]*Treinamentos[[#This Row],[Valor]]</f>
        <v>610</v>
      </c>
    </row>
    <row r="169" spans="1:11" x14ac:dyDescent="0.25">
      <c r="A169">
        <v>4522</v>
      </c>
      <c r="B169" s="1" t="s">
        <v>30</v>
      </c>
      <c r="C169" s="1" t="s">
        <v>15</v>
      </c>
      <c r="D169" s="2">
        <v>42490.375</v>
      </c>
      <c r="E169" s="2">
        <v>42495.75</v>
      </c>
      <c r="F169" s="1" t="s">
        <v>21</v>
      </c>
      <c r="G169" s="1" t="s">
        <v>32</v>
      </c>
      <c r="H169">
        <v>2</v>
      </c>
      <c r="I169">
        <v>8</v>
      </c>
      <c r="J169" s="3">
        <v>62</v>
      </c>
      <c r="K169" s="3">
        <f>+Treinamentos[[#This Row],[Alunos]]*Treinamentos[[#This Row],[Valor]]</f>
        <v>496</v>
      </c>
    </row>
    <row r="170" spans="1:11" x14ac:dyDescent="0.25">
      <c r="A170">
        <v>4523</v>
      </c>
      <c r="B170" s="1" t="s">
        <v>25</v>
      </c>
      <c r="C170" s="1" t="s">
        <v>35</v>
      </c>
      <c r="D170" s="2">
        <v>42492.791666666664</v>
      </c>
      <c r="E170" s="2">
        <v>42503.958333333336</v>
      </c>
      <c r="F170" s="1" t="s">
        <v>21</v>
      </c>
      <c r="G170" s="1" t="s">
        <v>48</v>
      </c>
      <c r="H170">
        <v>5</v>
      </c>
      <c r="I170">
        <v>10</v>
      </c>
      <c r="J170" s="3">
        <v>47</v>
      </c>
      <c r="K170" s="3">
        <f>+Treinamentos[[#This Row],[Alunos]]*Treinamentos[[#This Row],[Valor]]</f>
        <v>470</v>
      </c>
    </row>
    <row r="171" spans="1:11" x14ac:dyDescent="0.25">
      <c r="A171">
        <v>4524</v>
      </c>
      <c r="B171" s="1" t="s">
        <v>30</v>
      </c>
      <c r="C171" s="1" t="s">
        <v>40</v>
      </c>
      <c r="D171" s="2">
        <v>42492.791666666664</v>
      </c>
      <c r="E171" s="2">
        <v>42503.958333333336</v>
      </c>
      <c r="F171" s="1" t="s">
        <v>12</v>
      </c>
      <c r="G171" s="1" t="s">
        <v>27</v>
      </c>
      <c r="H171">
        <v>4</v>
      </c>
      <c r="I171">
        <v>11</v>
      </c>
      <c r="J171" s="3">
        <v>51</v>
      </c>
      <c r="K171" s="3">
        <f>+Treinamentos[[#This Row],[Alunos]]*Treinamentos[[#This Row],[Valor]]</f>
        <v>561</v>
      </c>
    </row>
    <row r="172" spans="1:11" x14ac:dyDescent="0.25">
      <c r="A172">
        <v>4525</v>
      </c>
      <c r="B172" s="1" t="s">
        <v>16</v>
      </c>
      <c r="C172" s="1" t="s">
        <v>15</v>
      </c>
      <c r="D172" s="2">
        <v>42493.791666666664</v>
      </c>
      <c r="E172" s="2">
        <v>42506.958333333336</v>
      </c>
      <c r="F172" s="1" t="s">
        <v>21</v>
      </c>
      <c r="G172" s="1" t="s">
        <v>24</v>
      </c>
      <c r="H172">
        <v>2</v>
      </c>
      <c r="I172">
        <v>8</v>
      </c>
      <c r="J172" s="3">
        <v>62</v>
      </c>
      <c r="K172" s="3">
        <f>+Treinamentos[[#This Row],[Alunos]]*Treinamentos[[#This Row],[Valor]]</f>
        <v>496</v>
      </c>
    </row>
    <row r="173" spans="1:11" x14ac:dyDescent="0.25">
      <c r="A173">
        <v>4526</v>
      </c>
      <c r="B173" s="1" t="s">
        <v>28</v>
      </c>
      <c r="C173" s="1" t="s">
        <v>40</v>
      </c>
      <c r="D173" s="2">
        <v>42493.791666666664</v>
      </c>
      <c r="E173" s="2">
        <v>42506.958333333336</v>
      </c>
      <c r="F173" s="1" t="s">
        <v>12</v>
      </c>
      <c r="G173" s="1" t="s">
        <v>13</v>
      </c>
      <c r="H173">
        <v>2</v>
      </c>
      <c r="I173">
        <v>8</v>
      </c>
      <c r="J173" s="3">
        <v>51</v>
      </c>
      <c r="K173" s="3">
        <f>+Treinamentos[[#This Row],[Alunos]]*Treinamentos[[#This Row],[Valor]]</f>
        <v>408</v>
      </c>
    </row>
    <row r="174" spans="1:11" x14ac:dyDescent="0.25">
      <c r="A174">
        <v>4527</v>
      </c>
      <c r="B174" s="1" t="s">
        <v>14</v>
      </c>
      <c r="C174" s="1" t="s">
        <v>43</v>
      </c>
      <c r="D174" s="2">
        <v>42493.791666666664</v>
      </c>
      <c r="E174" s="2">
        <v>42506.958333333336</v>
      </c>
      <c r="F174" s="1" t="s">
        <v>21</v>
      </c>
      <c r="G174" s="1" t="s">
        <v>19</v>
      </c>
      <c r="H174">
        <v>4</v>
      </c>
      <c r="I174">
        <v>9</v>
      </c>
      <c r="J174" s="3">
        <v>31</v>
      </c>
      <c r="K174" s="3">
        <f>+Treinamentos[[#This Row],[Alunos]]*Treinamentos[[#This Row],[Valor]]</f>
        <v>279</v>
      </c>
    </row>
    <row r="175" spans="1:11" x14ac:dyDescent="0.25">
      <c r="A175">
        <v>4528</v>
      </c>
      <c r="B175" s="1" t="s">
        <v>17</v>
      </c>
      <c r="C175" s="1" t="s">
        <v>31</v>
      </c>
      <c r="D175" s="2">
        <v>42494.583333333336</v>
      </c>
      <c r="E175" s="2">
        <v>42507.75</v>
      </c>
      <c r="F175" s="1" t="s">
        <v>21</v>
      </c>
      <c r="G175" s="1" t="s">
        <v>19</v>
      </c>
      <c r="H175">
        <v>2</v>
      </c>
      <c r="I175">
        <v>8</v>
      </c>
      <c r="J175" s="3">
        <v>61</v>
      </c>
      <c r="K175" s="3">
        <f>+Treinamentos[[#This Row],[Alunos]]*Treinamentos[[#This Row],[Valor]]</f>
        <v>488</v>
      </c>
    </row>
    <row r="176" spans="1:11" x14ac:dyDescent="0.25">
      <c r="A176">
        <v>4529</v>
      </c>
      <c r="B176" s="1" t="s">
        <v>10</v>
      </c>
      <c r="C176" s="1" t="s">
        <v>40</v>
      </c>
      <c r="D176" s="2">
        <v>42495.375</v>
      </c>
      <c r="E176" s="2">
        <v>42501.75</v>
      </c>
      <c r="F176" s="1" t="s">
        <v>12</v>
      </c>
      <c r="G176" s="1" t="s">
        <v>42</v>
      </c>
      <c r="H176">
        <v>3</v>
      </c>
      <c r="I176">
        <v>11</v>
      </c>
      <c r="J176" s="3">
        <v>51</v>
      </c>
      <c r="K176" s="3">
        <f>+Treinamentos[[#This Row],[Alunos]]*Treinamentos[[#This Row],[Valor]]</f>
        <v>561</v>
      </c>
    </row>
    <row r="177" spans="1:11" x14ac:dyDescent="0.25">
      <c r="A177">
        <v>4530</v>
      </c>
      <c r="B177" s="1" t="s">
        <v>28</v>
      </c>
      <c r="C177" s="1" t="s">
        <v>18</v>
      </c>
      <c r="D177" s="2">
        <v>42496.333333333336</v>
      </c>
      <c r="E177" s="2">
        <v>42509.5</v>
      </c>
      <c r="F177" s="1" t="s">
        <v>21</v>
      </c>
      <c r="G177" s="1" t="s">
        <v>13</v>
      </c>
      <c r="H177">
        <v>4</v>
      </c>
      <c r="I177">
        <v>11</v>
      </c>
      <c r="J177" s="3">
        <v>33</v>
      </c>
      <c r="K177" s="3">
        <f>+Treinamentos[[#This Row],[Alunos]]*Treinamentos[[#This Row],[Valor]]</f>
        <v>363</v>
      </c>
    </row>
    <row r="178" spans="1:11" x14ac:dyDescent="0.25">
      <c r="A178">
        <v>4531</v>
      </c>
      <c r="B178" s="1" t="s">
        <v>37</v>
      </c>
      <c r="C178" s="1" t="s">
        <v>40</v>
      </c>
      <c r="D178" s="2">
        <v>42497.375</v>
      </c>
      <c r="E178" s="2">
        <v>42502.75</v>
      </c>
      <c r="F178" s="1" t="s">
        <v>12</v>
      </c>
      <c r="G178" s="1" t="s">
        <v>33</v>
      </c>
      <c r="H178">
        <v>3</v>
      </c>
      <c r="I178">
        <v>8</v>
      </c>
      <c r="J178" s="3">
        <v>51</v>
      </c>
      <c r="K178" s="3">
        <f>+Treinamentos[[#This Row],[Alunos]]*Treinamentos[[#This Row],[Valor]]</f>
        <v>408</v>
      </c>
    </row>
    <row r="179" spans="1:11" x14ac:dyDescent="0.25">
      <c r="A179">
        <v>4532</v>
      </c>
      <c r="B179" s="1" t="s">
        <v>14</v>
      </c>
      <c r="C179" s="1" t="s">
        <v>31</v>
      </c>
      <c r="D179" s="2">
        <v>42497.375</v>
      </c>
      <c r="E179" s="2">
        <v>42502.75</v>
      </c>
      <c r="F179" s="1" t="s">
        <v>21</v>
      </c>
      <c r="G179" s="1" t="s">
        <v>16</v>
      </c>
      <c r="H179">
        <v>2</v>
      </c>
      <c r="I179">
        <v>12</v>
      </c>
      <c r="J179" s="3">
        <v>61</v>
      </c>
      <c r="K179" s="3">
        <f>+Treinamentos[[#This Row],[Alunos]]*Treinamentos[[#This Row],[Valor]]</f>
        <v>732</v>
      </c>
    </row>
    <row r="180" spans="1:11" x14ac:dyDescent="0.25">
      <c r="A180">
        <v>4533</v>
      </c>
      <c r="B180" s="1" t="s">
        <v>14</v>
      </c>
      <c r="C180" s="1" t="s">
        <v>29</v>
      </c>
      <c r="D180" s="2">
        <v>42497.375</v>
      </c>
      <c r="E180" s="2">
        <v>42502.75</v>
      </c>
      <c r="F180" s="1" t="s">
        <v>21</v>
      </c>
      <c r="G180" s="1" t="s">
        <v>44</v>
      </c>
      <c r="H180">
        <v>3</v>
      </c>
      <c r="I180">
        <v>12</v>
      </c>
      <c r="J180" s="3">
        <v>42</v>
      </c>
      <c r="K180" s="3">
        <f>+Treinamentos[[#This Row],[Alunos]]*Treinamentos[[#This Row],[Valor]]</f>
        <v>504</v>
      </c>
    </row>
    <row r="181" spans="1:11" x14ac:dyDescent="0.25">
      <c r="A181">
        <v>4534</v>
      </c>
      <c r="B181" s="1" t="s">
        <v>30</v>
      </c>
      <c r="C181" s="1" t="s">
        <v>45</v>
      </c>
      <c r="D181" s="2">
        <v>42499.791666666664</v>
      </c>
      <c r="E181" s="2">
        <v>42510.958333333336</v>
      </c>
      <c r="F181" s="1" t="s">
        <v>21</v>
      </c>
      <c r="G181" s="1" t="s">
        <v>16</v>
      </c>
      <c r="H181">
        <v>2</v>
      </c>
      <c r="I181">
        <v>10</v>
      </c>
      <c r="J181" s="3">
        <v>52</v>
      </c>
      <c r="K181" s="3">
        <f>+Treinamentos[[#This Row],[Alunos]]*Treinamentos[[#This Row],[Valor]]</f>
        <v>520</v>
      </c>
    </row>
    <row r="182" spans="1:11" x14ac:dyDescent="0.25">
      <c r="A182">
        <v>4535</v>
      </c>
      <c r="B182" s="1" t="s">
        <v>37</v>
      </c>
      <c r="C182" s="1" t="s">
        <v>11</v>
      </c>
      <c r="D182" s="2">
        <v>42500.791666666664</v>
      </c>
      <c r="E182" s="2">
        <v>42513.958333333336</v>
      </c>
      <c r="F182" s="1" t="s">
        <v>21</v>
      </c>
      <c r="G182" s="1" t="s">
        <v>34</v>
      </c>
      <c r="H182">
        <v>3</v>
      </c>
      <c r="I182">
        <v>11</v>
      </c>
      <c r="J182" s="3">
        <v>41</v>
      </c>
      <c r="K182" s="3">
        <f>+Treinamentos[[#This Row],[Alunos]]*Treinamentos[[#This Row],[Valor]]</f>
        <v>451</v>
      </c>
    </row>
    <row r="183" spans="1:11" x14ac:dyDescent="0.25">
      <c r="A183">
        <v>4536</v>
      </c>
      <c r="B183" s="1" t="s">
        <v>41</v>
      </c>
      <c r="C183" s="1" t="s">
        <v>15</v>
      </c>
      <c r="D183" s="2">
        <v>42500.791666666664</v>
      </c>
      <c r="E183" s="2">
        <v>42513.958333333336</v>
      </c>
      <c r="F183" s="1" t="s">
        <v>21</v>
      </c>
      <c r="G183" s="1" t="s">
        <v>48</v>
      </c>
      <c r="H183">
        <v>2</v>
      </c>
      <c r="I183">
        <v>12</v>
      </c>
      <c r="J183" s="3">
        <v>62</v>
      </c>
      <c r="K183" s="3">
        <f>+Treinamentos[[#This Row],[Alunos]]*Treinamentos[[#This Row],[Valor]]</f>
        <v>744</v>
      </c>
    </row>
    <row r="184" spans="1:11" x14ac:dyDescent="0.25">
      <c r="A184">
        <v>4537</v>
      </c>
      <c r="B184" s="1" t="s">
        <v>10</v>
      </c>
      <c r="C184" s="1" t="s">
        <v>20</v>
      </c>
      <c r="D184" s="2">
        <v>42500.791666666664</v>
      </c>
      <c r="E184" s="2">
        <v>42513.958333333336</v>
      </c>
      <c r="F184" s="1" t="s">
        <v>12</v>
      </c>
      <c r="G184" s="1" t="s">
        <v>46</v>
      </c>
      <c r="H184">
        <v>3</v>
      </c>
      <c r="I184">
        <v>12</v>
      </c>
      <c r="J184" s="3">
        <v>47</v>
      </c>
      <c r="K184" s="3">
        <f>+Treinamentos[[#This Row],[Alunos]]*Treinamentos[[#This Row],[Valor]]</f>
        <v>564</v>
      </c>
    </row>
    <row r="185" spans="1:11" x14ac:dyDescent="0.25">
      <c r="A185">
        <v>4538</v>
      </c>
      <c r="B185" s="1" t="s">
        <v>30</v>
      </c>
      <c r="C185" s="1" t="s">
        <v>49</v>
      </c>
      <c r="D185" s="2">
        <v>42501.583333333336</v>
      </c>
      <c r="E185" s="2">
        <v>42514.75</v>
      </c>
      <c r="F185" s="1" t="s">
        <v>21</v>
      </c>
      <c r="G185" s="1" t="s">
        <v>19</v>
      </c>
      <c r="H185">
        <v>2</v>
      </c>
      <c r="I185">
        <v>11</v>
      </c>
      <c r="J185" s="3">
        <v>53</v>
      </c>
      <c r="K185" s="3">
        <f>+Treinamentos[[#This Row],[Alunos]]*Treinamentos[[#This Row],[Valor]]</f>
        <v>583</v>
      </c>
    </row>
    <row r="186" spans="1:11" x14ac:dyDescent="0.25">
      <c r="A186">
        <v>4539</v>
      </c>
      <c r="B186" s="1" t="s">
        <v>17</v>
      </c>
      <c r="C186" s="1" t="s">
        <v>49</v>
      </c>
      <c r="D186" s="2">
        <v>42502.375</v>
      </c>
      <c r="E186" s="2">
        <v>42508.75</v>
      </c>
      <c r="F186" s="1" t="s">
        <v>21</v>
      </c>
      <c r="G186" s="1" t="s">
        <v>22</v>
      </c>
      <c r="H186">
        <v>3</v>
      </c>
      <c r="I186">
        <v>11</v>
      </c>
      <c r="J186" s="3">
        <v>53</v>
      </c>
      <c r="K186" s="3">
        <f>+Treinamentos[[#This Row],[Alunos]]*Treinamentos[[#This Row],[Valor]]</f>
        <v>583</v>
      </c>
    </row>
    <row r="187" spans="1:11" x14ac:dyDescent="0.25">
      <c r="A187">
        <v>4540</v>
      </c>
      <c r="B187" s="1" t="s">
        <v>10</v>
      </c>
      <c r="C187" s="1" t="s">
        <v>50</v>
      </c>
      <c r="D187" s="2">
        <v>42503.333333333336</v>
      </c>
      <c r="E187" s="2">
        <v>42516.5</v>
      </c>
      <c r="F187" s="1" t="s">
        <v>21</v>
      </c>
      <c r="G187" s="1" t="s">
        <v>24</v>
      </c>
      <c r="H187">
        <v>3</v>
      </c>
      <c r="I187">
        <v>10</v>
      </c>
      <c r="J187" s="3">
        <v>35</v>
      </c>
      <c r="K187" s="3">
        <f>+Treinamentos[[#This Row],[Alunos]]*Treinamentos[[#This Row],[Valor]]</f>
        <v>350</v>
      </c>
    </row>
    <row r="188" spans="1:11" x14ac:dyDescent="0.25">
      <c r="A188">
        <v>4541</v>
      </c>
      <c r="B188" s="1" t="s">
        <v>37</v>
      </c>
      <c r="C188" s="1" t="s">
        <v>49</v>
      </c>
      <c r="D188" s="2">
        <v>42504.375</v>
      </c>
      <c r="E188" s="2">
        <v>42509.75</v>
      </c>
      <c r="F188" s="1" t="s">
        <v>21</v>
      </c>
      <c r="G188" s="1" t="s">
        <v>33</v>
      </c>
      <c r="H188">
        <v>5</v>
      </c>
      <c r="I188">
        <v>9</v>
      </c>
      <c r="J188" s="3">
        <v>53</v>
      </c>
      <c r="K188" s="3">
        <f>+Treinamentos[[#This Row],[Alunos]]*Treinamentos[[#This Row],[Valor]]</f>
        <v>477</v>
      </c>
    </row>
    <row r="189" spans="1:11" x14ac:dyDescent="0.25">
      <c r="A189">
        <v>4542</v>
      </c>
      <c r="B189" s="1" t="s">
        <v>25</v>
      </c>
      <c r="C189" s="1" t="s">
        <v>51</v>
      </c>
      <c r="D189" s="2">
        <v>42506.791666666664</v>
      </c>
      <c r="E189" s="2">
        <v>42517.958333333336</v>
      </c>
      <c r="F189" s="1" t="s">
        <v>21</v>
      </c>
      <c r="G189" s="1" t="s">
        <v>47</v>
      </c>
      <c r="H189">
        <v>5</v>
      </c>
      <c r="I189">
        <v>8</v>
      </c>
      <c r="J189" s="3">
        <v>62</v>
      </c>
      <c r="K189" s="3">
        <f>+Treinamentos[[#This Row],[Alunos]]*Treinamentos[[#This Row],[Valor]]</f>
        <v>496</v>
      </c>
    </row>
    <row r="190" spans="1:11" x14ac:dyDescent="0.25">
      <c r="A190">
        <v>4543</v>
      </c>
      <c r="B190" s="1" t="s">
        <v>16</v>
      </c>
      <c r="C190" s="1" t="s">
        <v>49</v>
      </c>
      <c r="D190" s="2">
        <v>42506.791666666664</v>
      </c>
      <c r="E190" s="2">
        <v>42517.958333333336</v>
      </c>
      <c r="F190" s="1" t="s">
        <v>12</v>
      </c>
      <c r="G190" s="1" t="s">
        <v>27</v>
      </c>
      <c r="H190">
        <v>3</v>
      </c>
      <c r="I190">
        <v>8</v>
      </c>
      <c r="J190" s="3">
        <v>53</v>
      </c>
      <c r="K190" s="3">
        <f>+Treinamentos[[#This Row],[Alunos]]*Treinamentos[[#This Row],[Valor]]</f>
        <v>424</v>
      </c>
    </row>
    <row r="191" spans="1:11" x14ac:dyDescent="0.25">
      <c r="A191">
        <v>4544</v>
      </c>
      <c r="B191" s="1" t="s">
        <v>30</v>
      </c>
      <c r="C191" s="1" t="s">
        <v>52</v>
      </c>
      <c r="D191" s="2">
        <v>42507.791666666664</v>
      </c>
      <c r="E191" s="2">
        <v>42520.958333333336</v>
      </c>
      <c r="F191" s="1" t="s">
        <v>21</v>
      </c>
      <c r="G191" s="1" t="s">
        <v>46</v>
      </c>
      <c r="H191">
        <v>5</v>
      </c>
      <c r="I191">
        <v>11</v>
      </c>
      <c r="J191" s="3">
        <v>48</v>
      </c>
      <c r="K191" s="3">
        <f>+Treinamentos[[#This Row],[Alunos]]*Treinamentos[[#This Row],[Valor]]</f>
        <v>528</v>
      </c>
    </row>
    <row r="192" spans="1:11" x14ac:dyDescent="0.25">
      <c r="A192">
        <v>4545</v>
      </c>
      <c r="B192" s="1" t="s">
        <v>37</v>
      </c>
      <c r="C192" s="1" t="s">
        <v>53</v>
      </c>
      <c r="D192" s="2">
        <v>42508.583333333336</v>
      </c>
      <c r="E192" s="2">
        <v>42521.75</v>
      </c>
      <c r="F192" s="1" t="s">
        <v>12</v>
      </c>
      <c r="G192" s="1" t="s">
        <v>32</v>
      </c>
      <c r="H192">
        <v>5</v>
      </c>
      <c r="I192">
        <v>10</v>
      </c>
      <c r="J192" s="3">
        <v>32</v>
      </c>
      <c r="K192" s="3">
        <f>+Treinamentos[[#This Row],[Alunos]]*Treinamentos[[#This Row],[Valor]]</f>
        <v>320</v>
      </c>
    </row>
    <row r="193" spans="1:11" x14ac:dyDescent="0.25">
      <c r="A193">
        <v>4546</v>
      </c>
      <c r="B193" s="1" t="s">
        <v>28</v>
      </c>
      <c r="C193" s="1" t="s">
        <v>51</v>
      </c>
      <c r="D193" s="2">
        <v>42509.375</v>
      </c>
      <c r="E193" s="2">
        <v>42515.75</v>
      </c>
      <c r="F193" s="1" t="s">
        <v>21</v>
      </c>
      <c r="G193" s="1" t="s">
        <v>47</v>
      </c>
      <c r="H193">
        <v>2</v>
      </c>
      <c r="I193">
        <v>11</v>
      </c>
      <c r="J193" s="3">
        <v>62</v>
      </c>
      <c r="K193" s="3">
        <f>+Treinamentos[[#This Row],[Alunos]]*Treinamentos[[#This Row],[Valor]]</f>
        <v>682</v>
      </c>
    </row>
    <row r="194" spans="1:11" x14ac:dyDescent="0.25">
      <c r="A194">
        <v>4547</v>
      </c>
      <c r="B194" s="1" t="s">
        <v>30</v>
      </c>
      <c r="C194" s="1" t="s">
        <v>54</v>
      </c>
      <c r="D194" s="2">
        <v>42510.333333333336</v>
      </c>
      <c r="E194" s="2">
        <v>42523.5</v>
      </c>
      <c r="F194" s="1" t="s">
        <v>21</v>
      </c>
      <c r="G194" s="1" t="s">
        <v>44</v>
      </c>
      <c r="H194">
        <v>5</v>
      </c>
      <c r="I194">
        <v>10</v>
      </c>
      <c r="J194" s="3">
        <v>43</v>
      </c>
      <c r="K194" s="3">
        <f>+Treinamentos[[#This Row],[Alunos]]*Treinamentos[[#This Row],[Valor]]</f>
        <v>430</v>
      </c>
    </row>
    <row r="195" spans="1:11" x14ac:dyDescent="0.25">
      <c r="A195">
        <v>4548</v>
      </c>
      <c r="B195" s="1" t="s">
        <v>17</v>
      </c>
      <c r="C195" s="1" t="s">
        <v>55</v>
      </c>
      <c r="D195" s="2">
        <v>42511.375</v>
      </c>
      <c r="E195" s="2">
        <v>42516.75</v>
      </c>
      <c r="F195" s="1" t="s">
        <v>12</v>
      </c>
      <c r="G195" s="1" t="s">
        <v>16</v>
      </c>
      <c r="H195">
        <v>5</v>
      </c>
      <c r="I195">
        <v>10</v>
      </c>
      <c r="J195" s="3">
        <v>75</v>
      </c>
      <c r="K195" s="3">
        <f>+Treinamentos[[#This Row],[Alunos]]*Treinamentos[[#This Row],[Valor]]</f>
        <v>750</v>
      </c>
    </row>
    <row r="196" spans="1:11" x14ac:dyDescent="0.25">
      <c r="A196">
        <v>4549</v>
      </c>
      <c r="B196" s="1" t="s">
        <v>30</v>
      </c>
      <c r="C196" s="1" t="s">
        <v>49</v>
      </c>
      <c r="D196" s="2">
        <v>42513.791666666664</v>
      </c>
      <c r="E196" s="2">
        <v>42524.958333333336</v>
      </c>
      <c r="F196" s="1" t="s">
        <v>21</v>
      </c>
      <c r="G196" s="1" t="s">
        <v>48</v>
      </c>
      <c r="H196">
        <v>2</v>
      </c>
      <c r="I196">
        <v>9</v>
      </c>
      <c r="J196" s="3">
        <v>53</v>
      </c>
      <c r="K196" s="3">
        <f>+Treinamentos[[#This Row],[Alunos]]*Treinamentos[[#This Row],[Valor]]</f>
        <v>477</v>
      </c>
    </row>
    <row r="197" spans="1:11" x14ac:dyDescent="0.25">
      <c r="A197">
        <v>4550</v>
      </c>
      <c r="B197" s="1" t="s">
        <v>16</v>
      </c>
      <c r="C197" s="1" t="s">
        <v>56</v>
      </c>
      <c r="D197" s="2">
        <v>42513.791666666664</v>
      </c>
      <c r="E197" s="2">
        <v>42524.958333333336</v>
      </c>
      <c r="F197" s="1" t="s">
        <v>12</v>
      </c>
      <c r="G197" s="1" t="s">
        <v>42</v>
      </c>
      <c r="H197">
        <v>2</v>
      </c>
      <c r="I197">
        <v>8</v>
      </c>
      <c r="J197" s="3">
        <v>63</v>
      </c>
      <c r="K197" s="3">
        <f>+Treinamentos[[#This Row],[Alunos]]*Treinamentos[[#This Row],[Valor]]</f>
        <v>504</v>
      </c>
    </row>
    <row r="198" spans="1:11" x14ac:dyDescent="0.25">
      <c r="A198">
        <v>4551</v>
      </c>
      <c r="B198" s="1" t="s">
        <v>10</v>
      </c>
      <c r="C198" s="1" t="s">
        <v>52</v>
      </c>
      <c r="D198" s="2">
        <v>42514.791666666664</v>
      </c>
      <c r="E198" s="2">
        <v>42527.958333333336</v>
      </c>
      <c r="F198" s="1" t="s">
        <v>12</v>
      </c>
      <c r="G198" s="1" t="s">
        <v>32</v>
      </c>
      <c r="H198">
        <v>5</v>
      </c>
      <c r="I198">
        <v>11</v>
      </c>
      <c r="J198" s="3">
        <v>48</v>
      </c>
      <c r="K198" s="3">
        <f>+Treinamentos[[#This Row],[Alunos]]*Treinamentos[[#This Row],[Valor]]</f>
        <v>528</v>
      </c>
    </row>
    <row r="199" spans="1:11" x14ac:dyDescent="0.25">
      <c r="A199">
        <v>4552</v>
      </c>
      <c r="B199" s="1" t="s">
        <v>10</v>
      </c>
      <c r="C199" s="1" t="s">
        <v>53</v>
      </c>
      <c r="D199" s="2">
        <v>42515.583333333336</v>
      </c>
      <c r="E199" s="2">
        <v>42528.75</v>
      </c>
      <c r="F199" s="1" t="s">
        <v>12</v>
      </c>
      <c r="G199" s="1" t="s">
        <v>19</v>
      </c>
      <c r="H199">
        <v>5</v>
      </c>
      <c r="I199">
        <v>10</v>
      </c>
      <c r="J199" s="3">
        <v>32</v>
      </c>
      <c r="K199" s="3">
        <f>+Treinamentos[[#This Row],[Alunos]]*Treinamentos[[#This Row],[Valor]]</f>
        <v>320</v>
      </c>
    </row>
    <row r="200" spans="1:11" x14ac:dyDescent="0.25">
      <c r="A200">
        <v>4553</v>
      </c>
      <c r="B200" s="1" t="s">
        <v>16</v>
      </c>
      <c r="C200" s="1" t="s">
        <v>57</v>
      </c>
      <c r="D200" s="2">
        <v>42516.375</v>
      </c>
      <c r="E200" s="2">
        <v>42522.75</v>
      </c>
      <c r="F200" s="1" t="s">
        <v>12</v>
      </c>
      <c r="G200" s="1" t="s">
        <v>42</v>
      </c>
      <c r="H200">
        <v>3</v>
      </c>
      <c r="I200">
        <v>9</v>
      </c>
      <c r="J200" s="3">
        <v>52</v>
      </c>
      <c r="K200" s="3">
        <f>+Treinamentos[[#This Row],[Alunos]]*Treinamentos[[#This Row],[Valor]]</f>
        <v>468</v>
      </c>
    </row>
    <row r="201" spans="1:11" x14ac:dyDescent="0.25">
      <c r="A201">
        <v>4554</v>
      </c>
      <c r="B201" s="1" t="s">
        <v>28</v>
      </c>
      <c r="C201" s="1" t="s">
        <v>52</v>
      </c>
      <c r="D201" s="2">
        <v>42517.333333333336</v>
      </c>
      <c r="E201" s="2">
        <v>42530.5</v>
      </c>
      <c r="F201" s="1" t="s">
        <v>21</v>
      </c>
      <c r="G201" s="1" t="s">
        <v>36</v>
      </c>
      <c r="H201">
        <v>4</v>
      </c>
      <c r="I201">
        <v>10</v>
      </c>
      <c r="J201" s="3">
        <v>48</v>
      </c>
      <c r="K201" s="3">
        <f>+Treinamentos[[#This Row],[Alunos]]*Treinamentos[[#This Row],[Valor]]</f>
        <v>480</v>
      </c>
    </row>
    <row r="202" spans="1:11" x14ac:dyDescent="0.25">
      <c r="A202">
        <v>4555</v>
      </c>
      <c r="B202" s="1" t="s">
        <v>28</v>
      </c>
      <c r="C202" s="1" t="s">
        <v>55</v>
      </c>
      <c r="D202" s="2">
        <v>42518.375</v>
      </c>
      <c r="E202" s="2">
        <v>42523.75</v>
      </c>
      <c r="F202" s="1" t="s">
        <v>12</v>
      </c>
      <c r="G202" s="1" t="s">
        <v>19</v>
      </c>
      <c r="H202">
        <v>3</v>
      </c>
      <c r="I202">
        <v>11</v>
      </c>
      <c r="J202" s="3">
        <v>75</v>
      </c>
      <c r="K202" s="3">
        <f>+Treinamentos[[#This Row],[Alunos]]*Treinamentos[[#This Row],[Valor]]</f>
        <v>825</v>
      </c>
    </row>
    <row r="203" spans="1:11" x14ac:dyDescent="0.25">
      <c r="A203">
        <v>4556</v>
      </c>
      <c r="B203" s="1" t="s">
        <v>25</v>
      </c>
      <c r="C203" s="1" t="s">
        <v>55</v>
      </c>
      <c r="D203" s="2">
        <v>42520.791666666664</v>
      </c>
      <c r="E203" s="2">
        <v>42531.958333333336</v>
      </c>
      <c r="F203" s="1" t="s">
        <v>12</v>
      </c>
      <c r="G203" s="1" t="s">
        <v>34</v>
      </c>
      <c r="H203">
        <v>3</v>
      </c>
      <c r="I203">
        <v>11</v>
      </c>
      <c r="J203" s="3">
        <v>75</v>
      </c>
      <c r="K203" s="3">
        <f>+Treinamentos[[#This Row],[Alunos]]*Treinamentos[[#This Row],[Valor]]</f>
        <v>825</v>
      </c>
    </row>
    <row r="204" spans="1:11" x14ac:dyDescent="0.25">
      <c r="A204">
        <v>4557</v>
      </c>
      <c r="B204" s="1" t="s">
        <v>41</v>
      </c>
      <c r="C204" s="1" t="s">
        <v>58</v>
      </c>
      <c r="D204" s="2">
        <v>42520.791666666664</v>
      </c>
      <c r="E204" s="2">
        <v>42531.958333333336</v>
      </c>
      <c r="F204" s="1" t="s">
        <v>21</v>
      </c>
      <c r="G204" s="1" t="s">
        <v>38</v>
      </c>
      <c r="H204">
        <v>3</v>
      </c>
      <c r="I204">
        <v>12</v>
      </c>
      <c r="J204" s="3">
        <v>48</v>
      </c>
      <c r="K204" s="3">
        <f>+Treinamentos[[#This Row],[Alunos]]*Treinamentos[[#This Row],[Valor]]</f>
        <v>576</v>
      </c>
    </row>
    <row r="205" spans="1:11" x14ac:dyDescent="0.25">
      <c r="A205">
        <v>4558</v>
      </c>
      <c r="B205" s="1" t="s">
        <v>17</v>
      </c>
      <c r="C205" s="1" t="s">
        <v>51</v>
      </c>
      <c r="D205" s="2">
        <v>42521.791666666664</v>
      </c>
      <c r="E205" s="2">
        <v>42534.958333333336</v>
      </c>
      <c r="F205" s="1" t="s">
        <v>21</v>
      </c>
      <c r="G205" s="1" t="s">
        <v>24</v>
      </c>
      <c r="H205">
        <v>2</v>
      </c>
      <c r="I205">
        <v>8</v>
      </c>
      <c r="J205" s="3">
        <v>62</v>
      </c>
      <c r="K205" s="3">
        <f>+Treinamentos[[#This Row],[Alunos]]*Treinamentos[[#This Row],[Valor]]</f>
        <v>496</v>
      </c>
    </row>
    <row r="206" spans="1:11" x14ac:dyDescent="0.25">
      <c r="A206">
        <v>4559</v>
      </c>
      <c r="B206" s="1" t="s">
        <v>37</v>
      </c>
      <c r="C206" s="1" t="s">
        <v>59</v>
      </c>
      <c r="D206" s="2">
        <v>42522.583333333336</v>
      </c>
      <c r="E206" s="2">
        <v>42535.75</v>
      </c>
      <c r="F206" s="1" t="s">
        <v>12</v>
      </c>
      <c r="G206" s="1" t="s">
        <v>47</v>
      </c>
      <c r="H206">
        <v>4</v>
      </c>
      <c r="I206">
        <v>10</v>
      </c>
      <c r="J206" s="3">
        <v>48</v>
      </c>
      <c r="K206" s="3">
        <f>+Treinamentos[[#This Row],[Alunos]]*Treinamentos[[#This Row],[Valor]]</f>
        <v>480</v>
      </c>
    </row>
    <row r="207" spans="1:11" x14ac:dyDescent="0.25">
      <c r="A207">
        <v>4560</v>
      </c>
      <c r="B207" s="1" t="s">
        <v>41</v>
      </c>
      <c r="C207" s="1" t="s">
        <v>55</v>
      </c>
      <c r="D207" s="2">
        <v>42523.375</v>
      </c>
      <c r="E207" s="2">
        <v>42529.75</v>
      </c>
      <c r="F207" s="1" t="s">
        <v>12</v>
      </c>
      <c r="G207" s="1" t="s">
        <v>44</v>
      </c>
      <c r="H207">
        <v>3</v>
      </c>
      <c r="I207">
        <v>11</v>
      </c>
      <c r="J207" s="3">
        <v>75</v>
      </c>
      <c r="K207" s="3">
        <f>+Treinamentos[[#This Row],[Alunos]]*Treinamentos[[#This Row],[Valor]]</f>
        <v>825</v>
      </c>
    </row>
    <row r="208" spans="1:11" x14ac:dyDescent="0.25">
      <c r="A208">
        <v>4561</v>
      </c>
      <c r="B208" s="1" t="s">
        <v>30</v>
      </c>
      <c r="C208" s="1" t="s">
        <v>53</v>
      </c>
      <c r="D208" s="2">
        <v>42524.333333333336</v>
      </c>
      <c r="E208" s="2">
        <v>42537.5</v>
      </c>
      <c r="F208" s="1" t="s">
        <v>12</v>
      </c>
      <c r="G208" s="1" t="s">
        <v>19</v>
      </c>
      <c r="H208">
        <v>2</v>
      </c>
      <c r="I208">
        <v>8</v>
      </c>
      <c r="J208" s="3">
        <v>32</v>
      </c>
      <c r="K208" s="3">
        <f>+Treinamentos[[#This Row],[Alunos]]*Treinamentos[[#This Row],[Valor]]</f>
        <v>256</v>
      </c>
    </row>
    <row r="209" spans="1:11" x14ac:dyDescent="0.25">
      <c r="A209">
        <v>4562</v>
      </c>
      <c r="B209" s="1" t="s">
        <v>10</v>
      </c>
      <c r="C209" s="1" t="s">
        <v>53</v>
      </c>
      <c r="D209" s="2">
        <v>42525.375</v>
      </c>
      <c r="E209" s="2">
        <v>42530.75</v>
      </c>
      <c r="F209" s="1" t="s">
        <v>12</v>
      </c>
      <c r="G209" s="1" t="s">
        <v>44</v>
      </c>
      <c r="H209">
        <v>3</v>
      </c>
      <c r="I209">
        <v>11</v>
      </c>
      <c r="J209" s="3">
        <v>32</v>
      </c>
      <c r="K209" s="3">
        <f>+Treinamentos[[#This Row],[Alunos]]*Treinamentos[[#This Row],[Valor]]</f>
        <v>352</v>
      </c>
    </row>
    <row r="210" spans="1:11" x14ac:dyDescent="0.25">
      <c r="A210">
        <v>4563</v>
      </c>
      <c r="B210" s="1" t="s">
        <v>30</v>
      </c>
      <c r="C210" s="1" t="s">
        <v>55</v>
      </c>
      <c r="D210" s="2">
        <v>42527.791666666664</v>
      </c>
      <c r="E210" s="2">
        <v>42538.958333333336</v>
      </c>
      <c r="F210" s="1" t="s">
        <v>12</v>
      </c>
      <c r="G210" s="1" t="s">
        <v>13</v>
      </c>
      <c r="H210">
        <v>5</v>
      </c>
      <c r="I210">
        <v>11</v>
      </c>
      <c r="J210" s="3">
        <v>75</v>
      </c>
      <c r="K210" s="3">
        <f>+Treinamentos[[#This Row],[Alunos]]*Treinamentos[[#This Row],[Valor]]</f>
        <v>825</v>
      </c>
    </row>
    <row r="211" spans="1:11" x14ac:dyDescent="0.25">
      <c r="A211">
        <v>4564</v>
      </c>
      <c r="B211" s="1" t="s">
        <v>17</v>
      </c>
      <c r="C211" s="1" t="s">
        <v>57</v>
      </c>
      <c r="D211" s="2">
        <v>42527.791666666664</v>
      </c>
      <c r="E211" s="2">
        <v>42538.958333333336</v>
      </c>
      <c r="F211" s="1" t="s">
        <v>12</v>
      </c>
      <c r="G211" s="1" t="s">
        <v>13</v>
      </c>
      <c r="H211">
        <v>2</v>
      </c>
      <c r="I211">
        <v>12</v>
      </c>
      <c r="J211" s="3">
        <v>52</v>
      </c>
      <c r="K211" s="3">
        <f>+Treinamentos[[#This Row],[Alunos]]*Treinamentos[[#This Row],[Valor]]</f>
        <v>624</v>
      </c>
    </row>
    <row r="212" spans="1:11" x14ac:dyDescent="0.25">
      <c r="A212">
        <v>4565</v>
      </c>
      <c r="B212" s="1" t="s">
        <v>30</v>
      </c>
      <c r="C212" s="1" t="s">
        <v>59</v>
      </c>
      <c r="D212" s="2">
        <v>42528.791666666664</v>
      </c>
      <c r="E212" s="2">
        <v>42541.958333333336</v>
      </c>
      <c r="F212" s="1" t="s">
        <v>21</v>
      </c>
      <c r="G212" s="1" t="s">
        <v>19</v>
      </c>
      <c r="H212">
        <v>2</v>
      </c>
      <c r="I212">
        <v>10</v>
      </c>
      <c r="J212" s="3">
        <v>48</v>
      </c>
      <c r="K212" s="3">
        <f>+Treinamentos[[#This Row],[Alunos]]*Treinamentos[[#This Row],[Valor]]</f>
        <v>480</v>
      </c>
    </row>
    <row r="213" spans="1:11" x14ac:dyDescent="0.25">
      <c r="A213">
        <v>4566</v>
      </c>
      <c r="B213" s="1" t="s">
        <v>16</v>
      </c>
      <c r="C213" s="1" t="s">
        <v>53</v>
      </c>
      <c r="D213" s="2">
        <v>42529.583333333336</v>
      </c>
      <c r="E213" s="2">
        <v>42542.75</v>
      </c>
      <c r="F213" s="1" t="s">
        <v>12</v>
      </c>
      <c r="G213" s="1" t="s">
        <v>13</v>
      </c>
      <c r="H213">
        <v>4</v>
      </c>
      <c r="I213">
        <v>12</v>
      </c>
      <c r="J213" s="3">
        <v>32</v>
      </c>
      <c r="K213" s="3">
        <f>+Treinamentos[[#This Row],[Alunos]]*Treinamentos[[#This Row],[Valor]]</f>
        <v>384</v>
      </c>
    </row>
    <row r="214" spans="1:11" x14ac:dyDescent="0.25">
      <c r="A214">
        <v>4567</v>
      </c>
      <c r="B214" s="1" t="s">
        <v>30</v>
      </c>
      <c r="C214" s="1" t="s">
        <v>55</v>
      </c>
      <c r="D214" s="2">
        <v>42530.375</v>
      </c>
      <c r="E214" s="2">
        <v>42536.75</v>
      </c>
      <c r="F214" s="1" t="s">
        <v>12</v>
      </c>
      <c r="G214" s="1" t="s">
        <v>48</v>
      </c>
      <c r="H214">
        <v>5</v>
      </c>
      <c r="I214">
        <v>10</v>
      </c>
      <c r="J214" s="3">
        <v>75</v>
      </c>
      <c r="K214" s="3">
        <f>+Treinamentos[[#This Row],[Alunos]]*Treinamentos[[#This Row],[Valor]]</f>
        <v>750</v>
      </c>
    </row>
    <row r="215" spans="1:11" x14ac:dyDescent="0.25">
      <c r="A215">
        <v>4568</v>
      </c>
      <c r="B215" s="1" t="s">
        <v>37</v>
      </c>
      <c r="C215" s="1" t="s">
        <v>59</v>
      </c>
      <c r="D215" s="2">
        <v>42531.333333333336</v>
      </c>
      <c r="E215" s="2">
        <v>42544.5</v>
      </c>
      <c r="F215" s="1" t="s">
        <v>12</v>
      </c>
      <c r="G215" s="1" t="s">
        <v>36</v>
      </c>
      <c r="H215">
        <v>3</v>
      </c>
      <c r="I215">
        <v>11</v>
      </c>
      <c r="J215" s="3">
        <v>48</v>
      </c>
      <c r="K215" s="3">
        <f>+Treinamentos[[#This Row],[Alunos]]*Treinamentos[[#This Row],[Valor]]</f>
        <v>528</v>
      </c>
    </row>
    <row r="216" spans="1:11" x14ac:dyDescent="0.25">
      <c r="A216">
        <v>4569</v>
      </c>
      <c r="B216" s="1" t="s">
        <v>25</v>
      </c>
      <c r="C216" s="1" t="s">
        <v>53</v>
      </c>
      <c r="D216" s="2">
        <v>42532.375</v>
      </c>
      <c r="E216" s="2">
        <v>42537.75</v>
      </c>
      <c r="F216" s="1" t="s">
        <v>21</v>
      </c>
      <c r="G216" s="1" t="s">
        <v>47</v>
      </c>
      <c r="H216">
        <v>2</v>
      </c>
      <c r="I216">
        <v>8</v>
      </c>
      <c r="J216" s="3">
        <v>32</v>
      </c>
      <c r="K216" s="3">
        <f>+Treinamentos[[#This Row],[Alunos]]*Treinamentos[[#This Row],[Valor]]</f>
        <v>256</v>
      </c>
    </row>
    <row r="217" spans="1:11" x14ac:dyDescent="0.25">
      <c r="A217">
        <v>4570</v>
      </c>
      <c r="B217" s="1" t="s">
        <v>14</v>
      </c>
      <c r="C217" s="1" t="s">
        <v>49</v>
      </c>
      <c r="D217" s="2">
        <v>42534.791666666664</v>
      </c>
      <c r="E217" s="2">
        <v>42545.958333333336</v>
      </c>
      <c r="F217" s="1" t="s">
        <v>12</v>
      </c>
      <c r="G217" s="1" t="s">
        <v>36</v>
      </c>
      <c r="H217">
        <v>2</v>
      </c>
      <c r="I217">
        <v>9</v>
      </c>
      <c r="J217" s="3">
        <v>53</v>
      </c>
      <c r="K217" s="3">
        <f>+Treinamentos[[#This Row],[Alunos]]*Treinamentos[[#This Row],[Valor]]</f>
        <v>477</v>
      </c>
    </row>
    <row r="218" spans="1:11" x14ac:dyDescent="0.25">
      <c r="A218">
        <v>4571</v>
      </c>
      <c r="B218" s="1" t="s">
        <v>28</v>
      </c>
      <c r="C218" s="1" t="s">
        <v>55</v>
      </c>
      <c r="D218" s="2">
        <v>42534.791666666664</v>
      </c>
      <c r="E218" s="2">
        <v>42545.958333333336</v>
      </c>
      <c r="F218" s="1" t="s">
        <v>12</v>
      </c>
      <c r="G218" s="1" t="s">
        <v>36</v>
      </c>
      <c r="H218">
        <v>2</v>
      </c>
      <c r="I218">
        <v>8</v>
      </c>
      <c r="J218" s="3">
        <v>75</v>
      </c>
      <c r="K218" s="3">
        <f>+Treinamentos[[#This Row],[Alunos]]*Treinamentos[[#This Row],[Valor]]</f>
        <v>600</v>
      </c>
    </row>
    <row r="219" spans="1:11" x14ac:dyDescent="0.25">
      <c r="A219">
        <v>4572</v>
      </c>
      <c r="B219" s="1" t="s">
        <v>28</v>
      </c>
      <c r="C219" s="1" t="s">
        <v>51</v>
      </c>
      <c r="D219" s="2">
        <v>42535.791666666664</v>
      </c>
      <c r="E219" s="2">
        <v>42548.958333333336</v>
      </c>
      <c r="F219" s="1" t="s">
        <v>21</v>
      </c>
      <c r="G219" s="1" t="s">
        <v>32</v>
      </c>
      <c r="H219">
        <v>4</v>
      </c>
      <c r="I219">
        <v>10</v>
      </c>
      <c r="J219" s="3">
        <v>62</v>
      </c>
      <c r="K219" s="3">
        <f>+Treinamentos[[#This Row],[Alunos]]*Treinamentos[[#This Row],[Valor]]</f>
        <v>620</v>
      </c>
    </row>
    <row r="220" spans="1:11" x14ac:dyDescent="0.25">
      <c r="A220">
        <v>4573</v>
      </c>
      <c r="B220" s="1" t="s">
        <v>30</v>
      </c>
      <c r="C220" s="1" t="s">
        <v>56</v>
      </c>
      <c r="D220" s="2">
        <v>42536.583333333336</v>
      </c>
      <c r="E220" s="2">
        <v>42549.75</v>
      </c>
      <c r="F220" s="1" t="s">
        <v>21</v>
      </c>
      <c r="G220" s="1" t="s">
        <v>24</v>
      </c>
      <c r="H220">
        <v>4</v>
      </c>
      <c r="I220">
        <v>11</v>
      </c>
      <c r="J220" s="3">
        <v>63</v>
      </c>
      <c r="K220" s="3">
        <f>+Treinamentos[[#This Row],[Alunos]]*Treinamentos[[#This Row],[Valor]]</f>
        <v>693</v>
      </c>
    </row>
    <row r="221" spans="1:11" x14ac:dyDescent="0.25">
      <c r="A221">
        <v>4574</v>
      </c>
      <c r="B221" s="1" t="s">
        <v>14</v>
      </c>
      <c r="C221" s="1" t="s">
        <v>29</v>
      </c>
      <c r="D221" s="2">
        <v>42537.375</v>
      </c>
      <c r="E221" s="2">
        <v>42543.75</v>
      </c>
      <c r="F221" s="1" t="s">
        <v>12</v>
      </c>
      <c r="G221" s="1" t="s">
        <v>38</v>
      </c>
      <c r="H221">
        <v>2</v>
      </c>
      <c r="I221">
        <v>8</v>
      </c>
      <c r="J221" s="3">
        <v>42</v>
      </c>
      <c r="K221" s="3">
        <f>+Treinamentos[[#This Row],[Alunos]]*Treinamentos[[#This Row],[Valor]]</f>
        <v>336</v>
      </c>
    </row>
    <row r="222" spans="1:11" x14ac:dyDescent="0.25">
      <c r="A222">
        <v>4575</v>
      </c>
      <c r="B222" s="1" t="s">
        <v>30</v>
      </c>
      <c r="C222" s="1" t="s">
        <v>51</v>
      </c>
      <c r="D222" s="2">
        <v>42538.333333333336</v>
      </c>
      <c r="E222" s="2">
        <v>42551.5</v>
      </c>
      <c r="F222" s="1" t="s">
        <v>12</v>
      </c>
      <c r="G222" s="1" t="s">
        <v>24</v>
      </c>
      <c r="H222">
        <v>3</v>
      </c>
      <c r="I222">
        <v>8</v>
      </c>
      <c r="J222" s="3">
        <v>62</v>
      </c>
      <c r="K222" s="3">
        <f>+Treinamentos[[#This Row],[Alunos]]*Treinamentos[[#This Row],[Valor]]</f>
        <v>496</v>
      </c>
    </row>
    <row r="223" spans="1:11" x14ac:dyDescent="0.25">
      <c r="A223">
        <v>4576</v>
      </c>
      <c r="B223" s="1" t="s">
        <v>17</v>
      </c>
      <c r="C223" s="1" t="s">
        <v>54</v>
      </c>
      <c r="D223" s="2">
        <v>42539.375</v>
      </c>
      <c r="E223" s="2">
        <v>42544.75</v>
      </c>
      <c r="F223" s="1" t="s">
        <v>21</v>
      </c>
      <c r="G223" s="1" t="s">
        <v>24</v>
      </c>
      <c r="H223">
        <v>4</v>
      </c>
      <c r="I223">
        <v>9</v>
      </c>
      <c r="J223" s="3">
        <v>43</v>
      </c>
      <c r="K223" s="3">
        <f>+Treinamentos[[#This Row],[Alunos]]*Treinamentos[[#This Row],[Valor]]</f>
        <v>387</v>
      </c>
    </row>
    <row r="224" spans="1:11" x14ac:dyDescent="0.25">
      <c r="A224">
        <v>4577</v>
      </c>
      <c r="B224" s="1" t="s">
        <v>16</v>
      </c>
      <c r="C224" s="1" t="s">
        <v>53</v>
      </c>
      <c r="D224" s="2">
        <v>42541.791666666664</v>
      </c>
      <c r="E224" s="2">
        <v>42552.958333333336</v>
      </c>
      <c r="F224" s="1" t="s">
        <v>12</v>
      </c>
      <c r="G224" s="1" t="s">
        <v>19</v>
      </c>
      <c r="I224">
        <v>11</v>
      </c>
      <c r="J224" s="3">
        <v>32</v>
      </c>
      <c r="K224" s="3">
        <f>+Treinamentos[[#This Row],[Alunos]]*Treinamentos[[#This Row],[Valor]]</f>
        <v>352</v>
      </c>
    </row>
    <row r="225" spans="1:11" x14ac:dyDescent="0.25">
      <c r="A225">
        <v>4578</v>
      </c>
      <c r="B225" s="1" t="s">
        <v>28</v>
      </c>
      <c r="C225" s="1" t="s">
        <v>50</v>
      </c>
      <c r="D225" s="2">
        <v>42541.791666666664</v>
      </c>
      <c r="E225" s="2">
        <v>42552.958333333336</v>
      </c>
      <c r="F225" s="1" t="s">
        <v>12</v>
      </c>
      <c r="G225" s="1" t="s">
        <v>44</v>
      </c>
      <c r="H225">
        <v>2</v>
      </c>
      <c r="I225">
        <v>11</v>
      </c>
      <c r="J225" s="3">
        <v>35</v>
      </c>
      <c r="K225" s="3">
        <f>+Treinamentos[[#This Row],[Alunos]]*Treinamentos[[#This Row],[Valor]]</f>
        <v>385</v>
      </c>
    </row>
    <row r="226" spans="1:11" x14ac:dyDescent="0.25">
      <c r="A226">
        <v>4579</v>
      </c>
      <c r="B226" s="1" t="s">
        <v>16</v>
      </c>
      <c r="C226" s="1" t="s">
        <v>49</v>
      </c>
      <c r="D226" s="2">
        <v>42542.791666666664</v>
      </c>
      <c r="E226" s="2">
        <v>42555.958333333336</v>
      </c>
      <c r="F226" s="1" t="s">
        <v>21</v>
      </c>
      <c r="G226" s="1" t="s">
        <v>47</v>
      </c>
      <c r="H226">
        <v>5</v>
      </c>
      <c r="I226">
        <v>12</v>
      </c>
      <c r="J226" s="3">
        <v>53</v>
      </c>
      <c r="K226" s="3">
        <f>+Treinamentos[[#This Row],[Alunos]]*Treinamentos[[#This Row],[Valor]]</f>
        <v>636</v>
      </c>
    </row>
    <row r="227" spans="1:11" x14ac:dyDescent="0.25">
      <c r="A227">
        <v>4580</v>
      </c>
      <c r="B227" s="1" t="s">
        <v>25</v>
      </c>
      <c r="C227" s="1" t="s">
        <v>54</v>
      </c>
      <c r="D227" s="2">
        <v>42543.583333333336</v>
      </c>
      <c r="E227" s="2">
        <v>42556.75</v>
      </c>
      <c r="F227" s="1" t="s">
        <v>21</v>
      </c>
      <c r="G227" s="1" t="s">
        <v>34</v>
      </c>
      <c r="H227">
        <v>2</v>
      </c>
      <c r="I227">
        <v>11</v>
      </c>
      <c r="J227" s="3">
        <v>43</v>
      </c>
      <c r="K227" s="3">
        <f>+Treinamentos[[#This Row],[Alunos]]*Treinamentos[[#This Row],[Valor]]</f>
        <v>473</v>
      </c>
    </row>
    <row r="228" spans="1:11" x14ac:dyDescent="0.25">
      <c r="A228">
        <v>4581</v>
      </c>
      <c r="B228" s="1" t="s">
        <v>16</v>
      </c>
      <c r="C228" s="1" t="s">
        <v>60</v>
      </c>
      <c r="D228" s="2">
        <v>42544.375</v>
      </c>
      <c r="E228" s="2">
        <v>42550.75</v>
      </c>
      <c r="F228" s="1" t="s">
        <v>12</v>
      </c>
      <c r="G228" s="1" t="s">
        <v>33</v>
      </c>
      <c r="H228">
        <v>5</v>
      </c>
      <c r="I228">
        <v>12</v>
      </c>
      <c r="J228" s="3">
        <v>42</v>
      </c>
      <c r="K228" s="3">
        <f>+Treinamentos[[#This Row],[Alunos]]*Treinamentos[[#This Row],[Valor]]</f>
        <v>504</v>
      </c>
    </row>
    <row r="229" spans="1:11" x14ac:dyDescent="0.25">
      <c r="A229">
        <v>4582</v>
      </c>
      <c r="B229" s="1" t="s">
        <v>37</v>
      </c>
      <c r="C229" s="1" t="s">
        <v>60</v>
      </c>
      <c r="D229" s="2">
        <v>42545.333333333336</v>
      </c>
      <c r="E229" s="2">
        <v>42558.5</v>
      </c>
      <c r="F229" s="1" t="s">
        <v>21</v>
      </c>
      <c r="G229" s="1" t="s">
        <v>34</v>
      </c>
      <c r="H229">
        <v>2</v>
      </c>
      <c r="I229">
        <v>12</v>
      </c>
      <c r="J229" s="3">
        <v>42</v>
      </c>
      <c r="K229" s="3">
        <f>+Treinamentos[[#This Row],[Alunos]]*Treinamentos[[#This Row],[Valor]]</f>
        <v>504</v>
      </c>
    </row>
    <row r="230" spans="1:11" x14ac:dyDescent="0.25">
      <c r="A230">
        <v>4583</v>
      </c>
      <c r="B230" s="1" t="s">
        <v>30</v>
      </c>
      <c r="C230" s="1" t="s">
        <v>59</v>
      </c>
      <c r="D230" s="2">
        <v>42546.375</v>
      </c>
      <c r="E230" s="2">
        <v>42551.75</v>
      </c>
      <c r="F230" s="1" t="s">
        <v>21</v>
      </c>
      <c r="G230" s="1" t="s">
        <v>34</v>
      </c>
      <c r="H230">
        <v>5</v>
      </c>
      <c r="I230">
        <v>8</v>
      </c>
      <c r="J230" s="3">
        <v>48</v>
      </c>
      <c r="K230" s="3">
        <f>+Treinamentos[[#This Row],[Alunos]]*Treinamentos[[#This Row],[Valor]]</f>
        <v>384</v>
      </c>
    </row>
    <row r="231" spans="1:11" x14ac:dyDescent="0.25">
      <c r="A231">
        <v>4584</v>
      </c>
      <c r="B231" s="1" t="s">
        <v>37</v>
      </c>
      <c r="C231" s="1" t="s">
        <v>52</v>
      </c>
      <c r="D231" s="2">
        <v>42548.791666666664</v>
      </c>
      <c r="E231" s="2">
        <v>42559.958333333336</v>
      </c>
      <c r="F231" s="1" t="s">
        <v>12</v>
      </c>
      <c r="G231" s="1" t="s">
        <v>32</v>
      </c>
      <c r="H231">
        <v>4</v>
      </c>
      <c r="I231">
        <v>8</v>
      </c>
      <c r="J231" s="3">
        <v>48</v>
      </c>
      <c r="K231" s="3">
        <f>+Treinamentos[[#This Row],[Alunos]]*Treinamentos[[#This Row],[Valor]]</f>
        <v>384</v>
      </c>
    </row>
    <row r="232" spans="1:11" x14ac:dyDescent="0.25">
      <c r="A232">
        <v>4585</v>
      </c>
      <c r="B232" s="1" t="s">
        <v>28</v>
      </c>
      <c r="C232" s="1" t="s">
        <v>49</v>
      </c>
      <c r="D232" s="2">
        <v>42548.791666666664</v>
      </c>
      <c r="E232" s="2">
        <v>42559.958333333336</v>
      </c>
      <c r="F232" s="1" t="s">
        <v>21</v>
      </c>
      <c r="G232" s="1" t="s">
        <v>33</v>
      </c>
      <c r="H232">
        <v>4</v>
      </c>
      <c r="I232">
        <v>9</v>
      </c>
      <c r="J232" s="3">
        <v>53</v>
      </c>
      <c r="K232" s="3">
        <f>+Treinamentos[[#This Row],[Alunos]]*Treinamentos[[#This Row],[Valor]]</f>
        <v>477</v>
      </c>
    </row>
    <row r="233" spans="1:11" x14ac:dyDescent="0.25">
      <c r="A233">
        <v>4586</v>
      </c>
      <c r="B233" s="1" t="s">
        <v>14</v>
      </c>
      <c r="C233" s="1" t="s">
        <v>53</v>
      </c>
      <c r="D233" s="2">
        <v>42549.791666666664</v>
      </c>
      <c r="E233" s="2">
        <v>42562.958333333336</v>
      </c>
      <c r="F233" s="1" t="s">
        <v>12</v>
      </c>
      <c r="G233" s="1" t="s">
        <v>22</v>
      </c>
      <c r="H233">
        <v>2</v>
      </c>
      <c r="I233">
        <v>8</v>
      </c>
      <c r="J233" s="3">
        <v>32</v>
      </c>
      <c r="K233" s="3">
        <f>+Treinamentos[[#This Row],[Alunos]]*Treinamentos[[#This Row],[Valor]]</f>
        <v>256</v>
      </c>
    </row>
    <row r="234" spans="1:11" x14ac:dyDescent="0.25">
      <c r="A234">
        <v>4587</v>
      </c>
      <c r="B234" s="1" t="s">
        <v>14</v>
      </c>
      <c r="C234" s="1" t="s">
        <v>53</v>
      </c>
      <c r="D234" s="2">
        <v>42550.583333333336</v>
      </c>
      <c r="E234" s="2">
        <v>42563.75</v>
      </c>
      <c r="F234" s="1" t="s">
        <v>12</v>
      </c>
      <c r="G234" s="1" t="s">
        <v>24</v>
      </c>
      <c r="H234">
        <v>3</v>
      </c>
      <c r="I234">
        <v>11</v>
      </c>
      <c r="J234" s="3">
        <v>32</v>
      </c>
      <c r="K234" s="3">
        <f>+Treinamentos[[#This Row],[Alunos]]*Treinamentos[[#This Row],[Valor]]</f>
        <v>352</v>
      </c>
    </row>
    <row r="235" spans="1:11" x14ac:dyDescent="0.25">
      <c r="A235">
        <v>4588</v>
      </c>
      <c r="B235" s="1" t="s">
        <v>30</v>
      </c>
      <c r="C235" s="1" t="s">
        <v>50</v>
      </c>
      <c r="D235" s="2">
        <v>42551.375</v>
      </c>
      <c r="E235" s="2">
        <v>42557.75</v>
      </c>
      <c r="F235" s="1" t="s">
        <v>21</v>
      </c>
      <c r="G235" s="1" t="s">
        <v>33</v>
      </c>
      <c r="H235">
        <v>2</v>
      </c>
      <c r="I235">
        <v>12</v>
      </c>
      <c r="J235" s="3">
        <v>35</v>
      </c>
      <c r="K235" s="3">
        <f>+Treinamentos[[#This Row],[Alunos]]*Treinamentos[[#This Row],[Valor]]</f>
        <v>420</v>
      </c>
    </row>
    <row r="236" spans="1:11" x14ac:dyDescent="0.25">
      <c r="A236">
        <v>4589</v>
      </c>
      <c r="B236" s="1" t="s">
        <v>30</v>
      </c>
      <c r="C236" s="1" t="s">
        <v>56</v>
      </c>
      <c r="D236" s="2">
        <v>42552.333333333336</v>
      </c>
      <c r="E236" s="2">
        <v>42565.5</v>
      </c>
      <c r="F236" s="1" t="s">
        <v>21</v>
      </c>
      <c r="G236" s="1" t="s">
        <v>38</v>
      </c>
      <c r="H236">
        <v>3</v>
      </c>
      <c r="I236">
        <v>9</v>
      </c>
      <c r="J236" s="3">
        <v>63</v>
      </c>
      <c r="K236" s="3">
        <f>+Treinamentos[[#This Row],[Alunos]]*Treinamentos[[#This Row],[Valor]]</f>
        <v>567</v>
      </c>
    </row>
    <row r="237" spans="1:11" x14ac:dyDescent="0.25">
      <c r="A237">
        <v>4590</v>
      </c>
      <c r="B237" s="1" t="s">
        <v>16</v>
      </c>
      <c r="C237" s="1" t="s">
        <v>56</v>
      </c>
      <c r="D237" s="2">
        <v>42553.375</v>
      </c>
      <c r="E237" s="2">
        <v>42558.75</v>
      </c>
      <c r="F237" s="1" t="s">
        <v>21</v>
      </c>
      <c r="G237" s="1" t="s">
        <v>19</v>
      </c>
      <c r="H237">
        <v>5</v>
      </c>
      <c r="I237">
        <v>8</v>
      </c>
      <c r="J237" s="3">
        <v>63</v>
      </c>
      <c r="K237" s="3">
        <f>+Treinamentos[[#This Row],[Alunos]]*Treinamentos[[#This Row],[Valor]]</f>
        <v>504</v>
      </c>
    </row>
    <row r="238" spans="1:11" x14ac:dyDescent="0.25">
      <c r="A238">
        <v>4591</v>
      </c>
      <c r="B238" s="1" t="s">
        <v>14</v>
      </c>
      <c r="C238" s="1" t="s">
        <v>50</v>
      </c>
      <c r="D238" s="2">
        <v>42555.791666666664</v>
      </c>
      <c r="E238" s="2">
        <v>42566.958333333336</v>
      </c>
      <c r="F238" s="1" t="s">
        <v>12</v>
      </c>
      <c r="G238" s="1" t="s">
        <v>33</v>
      </c>
      <c r="H238">
        <v>5</v>
      </c>
      <c r="I238">
        <v>9</v>
      </c>
      <c r="J238" s="3">
        <v>35</v>
      </c>
      <c r="K238" s="3">
        <f>+Treinamentos[[#This Row],[Alunos]]*Treinamentos[[#This Row],[Valor]]</f>
        <v>315</v>
      </c>
    </row>
    <row r="239" spans="1:11" x14ac:dyDescent="0.25">
      <c r="A239">
        <v>4592</v>
      </c>
      <c r="B239" s="1" t="s">
        <v>41</v>
      </c>
      <c r="C239" s="1" t="s">
        <v>60</v>
      </c>
      <c r="D239" s="2">
        <v>42555.791666666664</v>
      </c>
      <c r="E239" s="2">
        <v>42566.958333333336</v>
      </c>
      <c r="F239" s="1" t="s">
        <v>21</v>
      </c>
      <c r="G239" s="1" t="s">
        <v>34</v>
      </c>
      <c r="H239">
        <v>3</v>
      </c>
      <c r="I239">
        <v>12</v>
      </c>
      <c r="J239" s="3">
        <v>42</v>
      </c>
      <c r="K239" s="3">
        <f>+Treinamentos[[#This Row],[Alunos]]*Treinamentos[[#This Row],[Valor]]</f>
        <v>504</v>
      </c>
    </row>
    <row r="240" spans="1:11" x14ac:dyDescent="0.25">
      <c r="A240">
        <v>4593</v>
      </c>
      <c r="B240" s="1" t="s">
        <v>41</v>
      </c>
      <c r="C240" s="1" t="s">
        <v>53</v>
      </c>
      <c r="D240" s="2">
        <v>42556.791666666664</v>
      </c>
      <c r="E240" s="2">
        <v>42569.958333333336</v>
      </c>
      <c r="F240" s="1" t="s">
        <v>12</v>
      </c>
      <c r="G240" s="1" t="s">
        <v>47</v>
      </c>
      <c r="H240">
        <v>3</v>
      </c>
      <c r="I240">
        <v>11</v>
      </c>
      <c r="J240" s="3">
        <v>32</v>
      </c>
      <c r="K240" s="3">
        <f>+Treinamentos[[#This Row],[Alunos]]*Treinamentos[[#This Row],[Valor]]</f>
        <v>352</v>
      </c>
    </row>
    <row r="241" spans="1:11" x14ac:dyDescent="0.25">
      <c r="A241">
        <v>4594</v>
      </c>
      <c r="B241" s="1" t="s">
        <v>41</v>
      </c>
      <c r="C241" s="1" t="s">
        <v>49</v>
      </c>
      <c r="D241" s="2">
        <v>42557.583333333336</v>
      </c>
      <c r="E241" s="2">
        <v>42570.75</v>
      </c>
      <c r="F241" s="1" t="s">
        <v>21</v>
      </c>
      <c r="G241" s="1" t="s">
        <v>32</v>
      </c>
      <c r="H241">
        <v>2</v>
      </c>
      <c r="I241">
        <v>12</v>
      </c>
      <c r="J241" s="3">
        <v>53</v>
      </c>
      <c r="K241" s="3">
        <f>+Treinamentos[[#This Row],[Alunos]]*Treinamentos[[#This Row],[Valor]]</f>
        <v>636</v>
      </c>
    </row>
    <row r="242" spans="1:11" x14ac:dyDescent="0.25">
      <c r="A242">
        <v>4595</v>
      </c>
      <c r="B242" s="1" t="s">
        <v>25</v>
      </c>
      <c r="C242" s="1" t="s">
        <v>54</v>
      </c>
      <c r="D242" s="2">
        <v>42558.375</v>
      </c>
      <c r="E242" s="2">
        <v>42564.75</v>
      </c>
      <c r="F242" s="1" t="s">
        <v>12</v>
      </c>
      <c r="G242" s="1" t="s">
        <v>19</v>
      </c>
      <c r="H242">
        <v>3</v>
      </c>
      <c r="I242">
        <v>9</v>
      </c>
      <c r="J242" s="3">
        <v>43</v>
      </c>
      <c r="K242" s="3">
        <f>+Treinamentos[[#This Row],[Alunos]]*Treinamentos[[#This Row],[Valor]]</f>
        <v>387</v>
      </c>
    </row>
    <row r="243" spans="1:11" x14ac:dyDescent="0.25">
      <c r="A243">
        <v>4596</v>
      </c>
      <c r="B243" s="1" t="s">
        <v>10</v>
      </c>
      <c r="C243" s="1" t="s">
        <v>58</v>
      </c>
      <c r="D243" s="2">
        <v>42559.333333333336</v>
      </c>
      <c r="E243" s="2">
        <v>42572.5</v>
      </c>
      <c r="F243" s="1" t="s">
        <v>21</v>
      </c>
      <c r="G243" s="1" t="s">
        <v>34</v>
      </c>
      <c r="H243">
        <v>4</v>
      </c>
      <c r="I243">
        <v>12</v>
      </c>
      <c r="J243" s="3">
        <v>48</v>
      </c>
      <c r="K243" s="3">
        <f>+Treinamentos[[#This Row],[Alunos]]*Treinamentos[[#This Row],[Valor]]</f>
        <v>576</v>
      </c>
    </row>
    <row r="244" spans="1:11" x14ac:dyDescent="0.25">
      <c r="A244">
        <v>4597</v>
      </c>
      <c r="B244" s="1" t="s">
        <v>30</v>
      </c>
      <c r="C244" s="1" t="s">
        <v>53</v>
      </c>
      <c r="D244" s="2">
        <v>42560.375</v>
      </c>
      <c r="E244" s="2">
        <v>42565.75</v>
      </c>
      <c r="F244" s="1" t="s">
        <v>21</v>
      </c>
      <c r="G244" s="1" t="s">
        <v>19</v>
      </c>
      <c r="H244">
        <v>4</v>
      </c>
      <c r="I244">
        <v>12</v>
      </c>
      <c r="J244" s="3">
        <v>32</v>
      </c>
      <c r="K244" s="3">
        <f>+Treinamentos[[#This Row],[Alunos]]*Treinamentos[[#This Row],[Valor]]</f>
        <v>384</v>
      </c>
    </row>
    <row r="245" spans="1:11" x14ac:dyDescent="0.25">
      <c r="A245">
        <v>4598</v>
      </c>
      <c r="B245" s="1" t="s">
        <v>10</v>
      </c>
      <c r="C245" s="1" t="s">
        <v>52</v>
      </c>
      <c r="D245" s="2">
        <v>42562.791666666664</v>
      </c>
      <c r="E245" s="2">
        <v>42573.958333333336</v>
      </c>
      <c r="F245" s="1" t="s">
        <v>12</v>
      </c>
      <c r="G245" s="1" t="s">
        <v>24</v>
      </c>
      <c r="H245">
        <v>5</v>
      </c>
      <c r="I245">
        <v>8</v>
      </c>
      <c r="J245" s="3">
        <v>48</v>
      </c>
      <c r="K245" s="3">
        <f>+Treinamentos[[#This Row],[Alunos]]*Treinamentos[[#This Row],[Valor]]</f>
        <v>384</v>
      </c>
    </row>
    <row r="246" spans="1:11" x14ac:dyDescent="0.25">
      <c r="A246">
        <v>4599</v>
      </c>
      <c r="B246" s="1" t="s">
        <v>41</v>
      </c>
      <c r="C246" s="1" t="s">
        <v>51</v>
      </c>
      <c r="D246" s="2">
        <v>42562.791666666664</v>
      </c>
      <c r="E246" s="2">
        <v>42573.958333333336</v>
      </c>
      <c r="F246" s="1" t="s">
        <v>12</v>
      </c>
      <c r="G246" s="1" t="s">
        <v>19</v>
      </c>
      <c r="H246">
        <v>2</v>
      </c>
      <c r="I246">
        <v>8</v>
      </c>
      <c r="J246" s="3">
        <v>62</v>
      </c>
      <c r="K246" s="3">
        <f>+Treinamentos[[#This Row],[Alunos]]*Treinamentos[[#This Row],[Valor]]</f>
        <v>496</v>
      </c>
    </row>
    <row r="247" spans="1:11" x14ac:dyDescent="0.25">
      <c r="A247">
        <v>4600</v>
      </c>
      <c r="B247" s="1" t="s">
        <v>17</v>
      </c>
      <c r="C247" s="1" t="s">
        <v>56</v>
      </c>
      <c r="D247" s="2">
        <v>42563.791666666664</v>
      </c>
      <c r="E247" s="2">
        <v>42576.958333333336</v>
      </c>
      <c r="F247" s="1" t="s">
        <v>21</v>
      </c>
      <c r="G247" s="1" t="s">
        <v>36</v>
      </c>
      <c r="H247">
        <v>3</v>
      </c>
      <c r="I247">
        <v>8</v>
      </c>
      <c r="J247" s="3">
        <v>63</v>
      </c>
      <c r="K247" s="3">
        <f>+Treinamentos[[#This Row],[Alunos]]*Treinamentos[[#This Row],[Valor]]</f>
        <v>504</v>
      </c>
    </row>
    <row r="248" spans="1:11" x14ac:dyDescent="0.25">
      <c r="A248">
        <v>4601</v>
      </c>
      <c r="B248" s="1" t="s">
        <v>17</v>
      </c>
      <c r="C248" s="1" t="s">
        <v>53</v>
      </c>
      <c r="D248" s="2">
        <v>42564.583333333336</v>
      </c>
      <c r="E248" s="2">
        <v>42577.75</v>
      </c>
      <c r="F248" s="1" t="s">
        <v>12</v>
      </c>
      <c r="G248" s="1" t="s">
        <v>16</v>
      </c>
      <c r="H248">
        <v>2</v>
      </c>
      <c r="I248">
        <v>10</v>
      </c>
      <c r="J248" s="3">
        <v>32</v>
      </c>
      <c r="K248" s="3">
        <f>+Treinamentos[[#This Row],[Alunos]]*Treinamentos[[#This Row],[Valor]]</f>
        <v>320</v>
      </c>
    </row>
    <row r="249" spans="1:11" x14ac:dyDescent="0.25">
      <c r="A249">
        <v>4602</v>
      </c>
      <c r="B249" s="1" t="s">
        <v>14</v>
      </c>
      <c r="C249" s="1" t="s">
        <v>54</v>
      </c>
      <c r="D249" s="2">
        <v>42565.375</v>
      </c>
      <c r="E249" s="2">
        <v>42571.75</v>
      </c>
      <c r="F249" s="1" t="s">
        <v>21</v>
      </c>
      <c r="G249" s="1" t="s">
        <v>24</v>
      </c>
      <c r="H249">
        <v>2</v>
      </c>
      <c r="I249">
        <v>10</v>
      </c>
      <c r="J249" s="3">
        <v>43</v>
      </c>
      <c r="K249" s="3">
        <f>+Treinamentos[[#This Row],[Alunos]]*Treinamentos[[#This Row],[Valor]]</f>
        <v>430</v>
      </c>
    </row>
    <row r="250" spans="1:11" x14ac:dyDescent="0.25">
      <c r="A250">
        <v>4603</v>
      </c>
      <c r="B250" s="1" t="s">
        <v>30</v>
      </c>
      <c r="C250" s="1" t="s">
        <v>53</v>
      </c>
      <c r="D250" s="2">
        <v>42566.333333333336</v>
      </c>
      <c r="E250" s="2">
        <v>42579.5</v>
      </c>
      <c r="F250" s="1" t="s">
        <v>12</v>
      </c>
      <c r="G250" s="1" t="s">
        <v>24</v>
      </c>
      <c r="H250">
        <v>3</v>
      </c>
      <c r="I250">
        <v>11</v>
      </c>
      <c r="J250" s="3">
        <v>32</v>
      </c>
      <c r="K250" s="3">
        <f>+Treinamentos[[#This Row],[Alunos]]*Treinamentos[[#This Row],[Valor]]</f>
        <v>352</v>
      </c>
    </row>
    <row r="251" spans="1:11" x14ac:dyDescent="0.25">
      <c r="A251">
        <v>4604</v>
      </c>
      <c r="B251" s="1" t="s">
        <v>17</v>
      </c>
      <c r="C251" s="1" t="s">
        <v>53</v>
      </c>
      <c r="D251" s="2">
        <v>42567.375</v>
      </c>
      <c r="E251" s="2">
        <v>42572.75</v>
      </c>
      <c r="F251" s="1" t="s">
        <v>21</v>
      </c>
      <c r="G251" s="1" t="s">
        <v>16</v>
      </c>
      <c r="H251">
        <v>4</v>
      </c>
      <c r="I251">
        <v>8</v>
      </c>
      <c r="J251" s="3">
        <v>32</v>
      </c>
      <c r="K251" s="3">
        <f>+Treinamentos[[#This Row],[Alunos]]*Treinamentos[[#This Row],[Valor]]</f>
        <v>256</v>
      </c>
    </row>
    <row r="252" spans="1:11" x14ac:dyDescent="0.25">
      <c r="A252">
        <v>4605</v>
      </c>
      <c r="B252" s="1" t="s">
        <v>25</v>
      </c>
      <c r="C252" s="1" t="s">
        <v>53</v>
      </c>
      <c r="D252" s="2">
        <v>42569.791666666664</v>
      </c>
      <c r="E252" s="2">
        <v>42580.958333333336</v>
      </c>
      <c r="F252" s="1" t="s">
        <v>12</v>
      </c>
      <c r="G252" s="1" t="s">
        <v>13</v>
      </c>
      <c r="H252">
        <v>2</v>
      </c>
      <c r="I252">
        <v>9</v>
      </c>
      <c r="J252" s="3">
        <v>32</v>
      </c>
      <c r="K252" s="3">
        <f>+Treinamentos[[#This Row],[Alunos]]*Treinamentos[[#This Row],[Valor]]</f>
        <v>288</v>
      </c>
    </row>
    <row r="253" spans="1:11" x14ac:dyDescent="0.25">
      <c r="A253">
        <v>4606</v>
      </c>
      <c r="B253" s="1" t="s">
        <v>25</v>
      </c>
      <c r="C253" s="1" t="s">
        <v>53</v>
      </c>
      <c r="D253" s="2">
        <v>42569.791666666664</v>
      </c>
      <c r="E253" s="2">
        <v>42580.958333333336</v>
      </c>
      <c r="F253" s="1" t="s">
        <v>12</v>
      </c>
      <c r="G253" s="1" t="s">
        <v>33</v>
      </c>
      <c r="H253">
        <v>5</v>
      </c>
      <c r="I253">
        <v>10</v>
      </c>
      <c r="J253" s="3">
        <v>32</v>
      </c>
      <c r="K253" s="3">
        <f>+Treinamentos[[#This Row],[Alunos]]*Treinamentos[[#This Row],[Valor]]</f>
        <v>320</v>
      </c>
    </row>
    <row r="254" spans="1:11" x14ac:dyDescent="0.25">
      <c r="A254">
        <v>4607</v>
      </c>
      <c r="B254" s="1" t="s">
        <v>17</v>
      </c>
      <c r="C254" s="1" t="s">
        <v>58</v>
      </c>
      <c r="D254" s="2">
        <v>42570.791666666664</v>
      </c>
      <c r="E254" s="2">
        <v>42583.958333333336</v>
      </c>
      <c r="F254" s="1" t="s">
        <v>12</v>
      </c>
      <c r="G254" s="1" t="s">
        <v>48</v>
      </c>
      <c r="H254">
        <v>4</v>
      </c>
      <c r="I254">
        <v>9</v>
      </c>
      <c r="J254" s="3">
        <v>48</v>
      </c>
      <c r="K254" s="3">
        <f>+Treinamentos[[#This Row],[Alunos]]*Treinamentos[[#This Row],[Valor]]</f>
        <v>432</v>
      </c>
    </row>
    <row r="255" spans="1:11" x14ac:dyDescent="0.25">
      <c r="A255">
        <v>4608</v>
      </c>
      <c r="B255" s="1" t="s">
        <v>10</v>
      </c>
      <c r="C255" s="1" t="s">
        <v>58</v>
      </c>
      <c r="D255" s="2">
        <v>42571.583333333336</v>
      </c>
      <c r="E255" s="2">
        <v>42584.75</v>
      </c>
      <c r="F255" s="1" t="s">
        <v>12</v>
      </c>
      <c r="G255" s="1" t="s">
        <v>24</v>
      </c>
      <c r="H255">
        <v>4</v>
      </c>
      <c r="I255">
        <v>12</v>
      </c>
      <c r="J255" s="3">
        <v>48</v>
      </c>
      <c r="K255" s="3">
        <f>+Treinamentos[[#This Row],[Alunos]]*Treinamentos[[#This Row],[Valor]]</f>
        <v>576</v>
      </c>
    </row>
    <row r="256" spans="1:11" x14ac:dyDescent="0.25">
      <c r="A256">
        <v>4609</v>
      </c>
      <c r="B256" s="1" t="s">
        <v>10</v>
      </c>
      <c r="C256" s="1" t="s">
        <v>58</v>
      </c>
      <c r="D256" s="2">
        <v>42572.375</v>
      </c>
      <c r="E256" s="2">
        <v>42578.75</v>
      </c>
      <c r="F256" s="1" t="s">
        <v>12</v>
      </c>
      <c r="G256" s="1" t="s">
        <v>38</v>
      </c>
      <c r="H256">
        <v>2</v>
      </c>
      <c r="I256">
        <v>10</v>
      </c>
      <c r="J256" s="3">
        <v>48</v>
      </c>
      <c r="K256" s="3">
        <f>+Treinamentos[[#This Row],[Alunos]]*Treinamentos[[#This Row],[Valor]]</f>
        <v>480</v>
      </c>
    </row>
    <row r="257" spans="1:11" x14ac:dyDescent="0.25">
      <c r="A257">
        <v>4610</v>
      </c>
      <c r="B257" s="1" t="s">
        <v>41</v>
      </c>
      <c r="C257" s="1" t="s">
        <v>50</v>
      </c>
      <c r="D257" s="2">
        <v>42573.333333333336</v>
      </c>
      <c r="E257" s="2">
        <v>42586.5</v>
      </c>
      <c r="F257" s="1" t="s">
        <v>12</v>
      </c>
      <c r="G257" s="1" t="s">
        <v>38</v>
      </c>
      <c r="H257">
        <v>2</v>
      </c>
      <c r="I257">
        <v>12</v>
      </c>
      <c r="J257" s="3">
        <v>35</v>
      </c>
      <c r="K257" s="3">
        <f>+Treinamentos[[#This Row],[Alunos]]*Treinamentos[[#This Row],[Valor]]</f>
        <v>420</v>
      </c>
    </row>
    <row r="258" spans="1:11" x14ac:dyDescent="0.25">
      <c r="A258">
        <v>4611</v>
      </c>
      <c r="B258" s="1" t="s">
        <v>10</v>
      </c>
      <c r="C258" s="1" t="s">
        <v>55</v>
      </c>
      <c r="D258" s="2">
        <v>42574.375</v>
      </c>
      <c r="E258" s="2">
        <v>42579.75</v>
      </c>
      <c r="F258" s="1" t="s">
        <v>12</v>
      </c>
      <c r="G258" s="1" t="s">
        <v>48</v>
      </c>
      <c r="H258">
        <v>2</v>
      </c>
      <c r="I258">
        <v>11</v>
      </c>
      <c r="J258" s="3">
        <v>75</v>
      </c>
      <c r="K258" s="3">
        <f>+Treinamentos[[#This Row],[Alunos]]*Treinamentos[[#This Row],[Valor]]</f>
        <v>825</v>
      </c>
    </row>
    <row r="259" spans="1:11" x14ac:dyDescent="0.25">
      <c r="A259">
        <v>4612</v>
      </c>
      <c r="B259" s="1" t="s">
        <v>10</v>
      </c>
      <c r="C259" s="1" t="s">
        <v>60</v>
      </c>
      <c r="D259" s="2">
        <v>42576.791666666664</v>
      </c>
      <c r="E259" s="2">
        <v>42587.958333333336</v>
      </c>
      <c r="F259" s="1" t="s">
        <v>21</v>
      </c>
      <c r="G259" s="1" t="s">
        <v>33</v>
      </c>
      <c r="H259">
        <v>2</v>
      </c>
      <c r="I259">
        <v>10</v>
      </c>
      <c r="J259" s="3">
        <v>42</v>
      </c>
      <c r="K259" s="3">
        <f>+Treinamentos[[#This Row],[Alunos]]*Treinamentos[[#This Row],[Valor]]</f>
        <v>420</v>
      </c>
    </row>
    <row r="260" spans="1:11" x14ac:dyDescent="0.25">
      <c r="A260">
        <v>4613</v>
      </c>
      <c r="B260" s="1" t="s">
        <v>28</v>
      </c>
      <c r="C260" s="1" t="s">
        <v>53</v>
      </c>
      <c r="D260" s="2">
        <v>42576.791666666664</v>
      </c>
      <c r="E260" s="2">
        <v>42587.958333333336</v>
      </c>
      <c r="F260" s="1" t="s">
        <v>12</v>
      </c>
      <c r="G260" s="1" t="s">
        <v>24</v>
      </c>
      <c r="H260">
        <v>3</v>
      </c>
      <c r="I260">
        <v>11</v>
      </c>
      <c r="J260" s="3">
        <v>32</v>
      </c>
      <c r="K260" s="3">
        <f>+Treinamentos[[#This Row],[Alunos]]*Treinamentos[[#This Row],[Valor]]</f>
        <v>352</v>
      </c>
    </row>
    <row r="261" spans="1:11" x14ac:dyDescent="0.25">
      <c r="A261">
        <v>4614</v>
      </c>
      <c r="B261" s="1" t="s">
        <v>30</v>
      </c>
      <c r="C261" s="1" t="s">
        <v>52</v>
      </c>
      <c r="D261" s="2">
        <v>42577.791666666664</v>
      </c>
      <c r="E261" s="2">
        <v>42590.958333333336</v>
      </c>
      <c r="F261" s="1" t="s">
        <v>12</v>
      </c>
      <c r="G261" s="1" t="s">
        <v>47</v>
      </c>
      <c r="H261">
        <v>5</v>
      </c>
      <c r="I261">
        <v>8</v>
      </c>
      <c r="J261" s="3">
        <v>48</v>
      </c>
      <c r="K261" s="3">
        <f>+Treinamentos[[#This Row],[Alunos]]*Treinamentos[[#This Row],[Valor]]</f>
        <v>384</v>
      </c>
    </row>
    <row r="262" spans="1:11" x14ac:dyDescent="0.25">
      <c r="A262">
        <v>4615</v>
      </c>
      <c r="B262" s="1" t="s">
        <v>14</v>
      </c>
      <c r="C262" s="1" t="s">
        <v>55</v>
      </c>
      <c r="D262" s="2">
        <v>42578.583333333336</v>
      </c>
      <c r="E262" s="2">
        <v>42591.75</v>
      </c>
      <c r="F262" s="1" t="s">
        <v>12</v>
      </c>
      <c r="G262" s="1" t="s">
        <v>22</v>
      </c>
      <c r="H262">
        <v>4</v>
      </c>
      <c r="I262">
        <v>10</v>
      </c>
      <c r="J262" s="3">
        <v>75</v>
      </c>
      <c r="K262" s="3">
        <f>+Treinamentos[[#This Row],[Alunos]]*Treinamentos[[#This Row],[Valor]]</f>
        <v>750</v>
      </c>
    </row>
    <row r="263" spans="1:11" x14ac:dyDescent="0.25">
      <c r="A263">
        <v>4616</v>
      </c>
      <c r="B263" s="1" t="s">
        <v>41</v>
      </c>
      <c r="C263" s="1" t="s">
        <v>61</v>
      </c>
      <c r="D263" s="2">
        <v>42579.375</v>
      </c>
      <c r="E263" s="2">
        <v>42585.75</v>
      </c>
      <c r="F263" s="1" t="s">
        <v>12</v>
      </c>
      <c r="G263" s="1" t="s">
        <v>24</v>
      </c>
      <c r="H263">
        <v>3</v>
      </c>
      <c r="I263">
        <v>11</v>
      </c>
      <c r="J263" s="3">
        <v>62</v>
      </c>
      <c r="K263" s="3">
        <f>+Treinamentos[[#This Row],[Alunos]]*Treinamentos[[#This Row],[Valor]]</f>
        <v>682</v>
      </c>
    </row>
    <row r="264" spans="1:11" x14ac:dyDescent="0.25">
      <c r="A264">
        <v>4617</v>
      </c>
      <c r="B264" s="1" t="s">
        <v>37</v>
      </c>
      <c r="C264" s="1" t="s">
        <v>50</v>
      </c>
      <c r="D264" s="2">
        <v>42580.333333333336</v>
      </c>
      <c r="E264" s="2">
        <v>42593.5</v>
      </c>
      <c r="F264" s="1" t="s">
        <v>21</v>
      </c>
      <c r="G264" s="1" t="s">
        <v>34</v>
      </c>
      <c r="H264">
        <v>4</v>
      </c>
      <c r="I264">
        <v>9</v>
      </c>
      <c r="J264" s="3">
        <v>35</v>
      </c>
      <c r="K264" s="3">
        <f>+Treinamentos[[#This Row],[Alunos]]*Treinamentos[[#This Row],[Valor]]</f>
        <v>315</v>
      </c>
    </row>
    <row r="265" spans="1:11" x14ac:dyDescent="0.25">
      <c r="A265">
        <v>4618</v>
      </c>
      <c r="B265" s="1" t="s">
        <v>30</v>
      </c>
      <c r="C265" s="1" t="s">
        <v>57</v>
      </c>
      <c r="D265" s="2">
        <v>42581.375</v>
      </c>
      <c r="E265" s="2">
        <v>42586.75</v>
      </c>
      <c r="F265" s="1" t="s">
        <v>12</v>
      </c>
      <c r="G265" s="1" t="s">
        <v>48</v>
      </c>
      <c r="H265">
        <v>5</v>
      </c>
      <c r="I265">
        <v>12</v>
      </c>
      <c r="J265" s="3">
        <v>52</v>
      </c>
      <c r="K265" s="3">
        <f>+Treinamentos[[#This Row],[Alunos]]*Treinamentos[[#This Row],[Valor]]</f>
        <v>624</v>
      </c>
    </row>
    <row r="266" spans="1:11" x14ac:dyDescent="0.25">
      <c r="A266">
        <v>4619</v>
      </c>
      <c r="B266" s="1" t="s">
        <v>14</v>
      </c>
      <c r="C266" s="1" t="s">
        <v>58</v>
      </c>
      <c r="D266" s="2">
        <v>42583.791666666664</v>
      </c>
      <c r="E266" s="2">
        <v>42594.958333333336</v>
      </c>
      <c r="F266" s="1" t="s">
        <v>21</v>
      </c>
      <c r="G266" s="1" t="s">
        <v>34</v>
      </c>
      <c r="H266">
        <v>4</v>
      </c>
      <c r="I266">
        <v>8</v>
      </c>
      <c r="J266" s="3">
        <v>48</v>
      </c>
      <c r="K266" s="3">
        <f>+Treinamentos[[#This Row],[Alunos]]*Treinamentos[[#This Row],[Valor]]</f>
        <v>384</v>
      </c>
    </row>
    <row r="267" spans="1:11" x14ac:dyDescent="0.25">
      <c r="A267">
        <v>4620</v>
      </c>
      <c r="B267" s="1" t="s">
        <v>28</v>
      </c>
      <c r="C267" s="1" t="s">
        <v>57</v>
      </c>
      <c r="D267" s="2">
        <v>42583.791666666664</v>
      </c>
      <c r="E267" s="2">
        <v>42594.958333333336</v>
      </c>
      <c r="F267" s="1" t="s">
        <v>12</v>
      </c>
      <c r="G267" s="1" t="s">
        <v>24</v>
      </c>
      <c r="H267">
        <v>2</v>
      </c>
      <c r="I267">
        <v>12</v>
      </c>
      <c r="J267" s="3">
        <v>52</v>
      </c>
      <c r="K267" s="3">
        <f>+Treinamentos[[#This Row],[Alunos]]*Treinamentos[[#This Row],[Valor]]</f>
        <v>624</v>
      </c>
    </row>
    <row r="268" spans="1:11" x14ac:dyDescent="0.25">
      <c r="A268">
        <v>4621</v>
      </c>
      <c r="B268" s="1" t="s">
        <v>14</v>
      </c>
      <c r="C268" s="1" t="s">
        <v>50</v>
      </c>
      <c r="D268" s="2">
        <v>42584.791666666664</v>
      </c>
      <c r="E268" s="2">
        <v>42597.958333333336</v>
      </c>
      <c r="F268" s="1" t="s">
        <v>21</v>
      </c>
      <c r="G268" s="1" t="s">
        <v>44</v>
      </c>
      <c r="H268">
        <v>3</v>
      </c>
      <c r="I268">
        <v>8</v>
      </c>
      <c r="J268" s="3">
        <v>35</v>
      </c>
      <c r="K268" s="3">
        <f>+Treinamentos[[#This Row],[Alunos]]*Treinamentos[[#This Row],[Valor]]</f>
        <v>280</v>
      </c>
    </row>
    <row r="269" spans="1:11" x14ac:dyDescent="0.25">
      <c r="A269">
        <v>4622</v>
      </c>
      <c r="B269" s="1" t="s">
        <v>28</v>
      </c>
      <c r="C269" s="1" t="s">
        <v>53</v>
      </c>
      <c r="D269" s="2">
        <v>42585.583333333336</v>
      </c>
      <c r="E269" s="2">
        <v>42598.75</v>
      </c>
      <c r="F269" s="1" t="s">
        <v>12</v>
      </c>
      <c r="G269" s="1" t="s">
        <v>34</v>
      </c>
      <c r="H269">
        <v>3</v>
      </c>
      <c r="I269">
        <v>10</v>
      </c>
      <c r="J269" s="3">
        <v>32</v>
      </c>
      <c r="K269" s="3">
        <f>+Treinamentos[[#This Row],[Alunos]]*Treinamentos[[#This Row],[Valor]]</f>
        <v>320</v>
      </c>
    </row>
    <row r="270" spans="1:11" x14ac:dyDescent="0.25">
      <c r="A270">
        <v>4623</v>
      </c>
      <c r="B270" s="1" t="s">
        <v>30</v>
      </c>
      <c r="C270" s="1" t="s">
        <v>59</v>
      </c>
      <c r="D270" s="2">
        <v>42586.375</v>
      </c>
      <c r="E270" s="2">
        <v>42592.75</v>
      </c>
      <c r="F270" s="1" t="s">
        <v>21</v>
      </c>
      <c r="G270" s="1" t="s">
        <v>19</v>
      </c>
      <c r="I270">
        <v>12</v>
      </c>
      <c r="J270" s="3">
        <v>48</v>
      </c>
      <c r="K270" s="3">
        <f>+Treinamentos[[#This Row],[Alunos]]*Treinamentos[[#This Row],[Valor]]</f>
        <v>576</v>
      </c>
    </row>
    <row r="271" spans="1:11" x14ac:dyDescent="0.25">
      <c r="A271">
        <v>4624</v>
      </c>
      <c r="B271" s="1" t="s">
        <v>37</v>
      </c>
      <c r="C271" s="1" t="s">
        <v>58</v>
      </c>
      <c r="D271" s="2">
        <v>42587.333333333336</v>
      </c>
      <c r="E271" s="2">
        <v>42600.5</v>
      </c>
      <c r="F271" s="1" t="s">
        <v>21</v>
      </c>
      <c r="G271" s="1" t="s">
        <v>13</v>
      </c>
      <c r="H271">
        <v>5</v>
      </c>
      <c r="I271">
        <v>9</v>
      </c>
      <c r="J271" s="3">
        <v>48</v>
      </c>
      <c r="K271" s="3">
        <f>+Treinamentos[[#This Row],[Alunos]]*Treinamentos[[#This Row],[Valor]]</f>
        <v>432</v>
      </c>
    </row>
    <row r="272" spans="1:11" x14ac:dyDescent="0.25">
      <c r="A272">
        <v>4625</v>
      </c>
      <c r="B272" s="1" t="s">
        <v>28</v>
      </c>
      <c r="C272" s="1" t="s">
        <v>59</v>
      </c>
      <c r="D272" s="2">
        <v>42588.375</v>
      </c>
      <c r="E272" s="2">
        <v>42593.75</v>
      </c>
      <c r="F272" s="1" t="s">
        <v>21</v>
      </c>
      <c r="G272" s="1" t="s">
        <v>19</v>
      </c>
      <c r="H272">
        <v>5</v>
      </c>
      <c r="I272">
        <v>12</v>
      </c>
      <c r="J272" s="3">
        <v>48</v>
      </c>
      <c r="K272" s="3">
        <f>+Treinamentos[[#This Row],[Alunos]]*Treinamentos[[#This Row],[Valor]]</f>
        <v>576</v>
      </c>
    </row>
    <row r="273" spans="1:11" x14ac:dyDescent="0.25">
      <c r="A273">
        <v>4626</v>
      </c>
      <c r="B273" s="1" t="s">
        <v>17</v>
      </c>
      <c r="C273" s="1" t="s">
        <v>60</v>
      </c>
      <c r="D273" s="2">
        <v>42590.791666666664</v>
      </c>
      <c r="E273" s="2">
        <v>42601.958333333336</v>
      </c>
      <c r="F273" s="1" t="s">
        <v>12</v>
      </c>
      <c r="G273" s="1" t="s">
        <v>32</v>
      </c>
      <c r="H273">
        <v>5</v>
      </c>
      <c r="I273">
        <v>9</v>
      </c>
      <c r="J273" s="3">
        <v>42</v>
      </c>
      <c r="K273" s="3">
        <f>+Treinamentos[[#This Row],[Alunos]]*Treinamentos[[#This Row],[Valor]]</f>
        <v>378</v>
      </c>
    </row>
    <row r="274" spans="1:11" x14ac:dyDescent="0.25">
      <c r="A274">
        <v>4627</v>
      </c>
      <c r="B274" s="1" t="s">
        <v>10</v>
      </c>
      <c r="C274" s="1" t="s">
        <v>60</v>
      </c>
      <c r="D274" s="2">
        <v>42590.791666666664</v>
      </c>
      <c r="E274" s="2">
        <v>42601.958333333336</v>
      </c>
      <c r="F274" s="1" t="s">
        <v>21</v>
      </c>
      <c r="G274" s="1" t="s">
        <v>48</v>
      </c>
      <c r="H274">
        <v>4</v>
      </c>
      <c r="I274">
        <v>12</v>
      </c>
      <c r="J274" s="3">
        <v>42</v>
      </c>
      <c r="K274" s="3">
        <f>+Treinamentos[[#This Row],[Alunos]]*Treinamentos[[#This Row],[Valor]]</f>
        <v>504</v>
      </c>
    </row>
    <row r="275" spans="1:11" x14ac:dyDescent="0.25">
      <c r="A275">
        <v>4628</v>
      </c>
      <c r="B275" s="1" t="s">
        <v>30</v>
      </c>
      <c r="C275" s="1" t="s">
        <v>56</v>
      </c>
      <c r="D275" s="2">
        <v>42591.791666666664</v>
      </c>
      <c r="E275" s="2">
        <v>42604.958333333336</v>
      </c>
      <c r="F275" s="1" t="s">
        <v>21</v>
      </c>
      <c r="G275" s="1" t="s">
        <v>44</v>
      </c>
      <c r="H275">
        <v>2</v>
      </c>
      <c r="I275">
        <v>9</v>
      </c>
      <c r="J275" s="3">
        <v>63</v>
      </c>
      <c r="K275" s="3">
        <f>+Treinamentos[[#This Row],[Alunos]]*Treinamentos[[#This Row],[Valor]]</f>
        <v>567</v>
      </c>
    </row>
    <row r="276" spans="1:11" x14ac:dyDescent="0.25">
      <c r="A276">
        <v>4629</v>
      </c>
      <c r="B276" s="1" t="s">
        <v>41</v>
      </c>
      <c r="C276" s="1" t="s">
        <v>52</v>
      </c>
      <c r="D276" s="2">
        <v>42592.583333333336</v>
      </c>
      <c r="E276" s="2">
        <v>42605.75</v>
      </c>
      <c r="F276" s="1" t="s">
        <v>12</v>
      </c>
      <c r="G276" s="1" t="s">
        <v>19</v>
      </c>
      <c r="H276">
        <v>4</v>
      </c>
      <c r="I276">
        <v>9</v>
      </c>
      <c r="J276" s="3">
        <v>48</v>
      </c>
      <c r="K276" s="3">
        <f>+Treinamentos[[#This Row],[Alunos]]*Treinamentos[[#This Row],[Valor]]</f>
        <v>432</v>
      </c>
    </row>
    <row r="277" spans="1:11" x14ac:dyDescent="0.25">
      <c r="A277">
        <v>4630</v>
      </c>
      <c r="B277" s="1" t="s">
        <v>16</v>
      </c>
      <c r="C277" s="1" t="s">
        <v>54</v>
      </c>
      <c r="D277" s="2">
        <v>42593.375</v>
      </c>
      <c r="E277" s="2">
        <v>42599.75</v>
      </c>
      <c r="F277" s="1" t="s">
        <v>12</v>
      </c>
      <c r="G277" s="1" t="s">
        <v>36</v>
      </c>
      <c r="H277">
        <v>3</v>
      </c>
      <c r="I277">
        <v>9</v>
      </c>
      <c r="J277" s="3">
        <v>43</v>
      </c>
      <c r="K277" s="3">
        <f>+Treinamentos[[#This Row],[Alunos]]*Treinamentos[[#This Row],[Valor]]</f>
        <v>387</v>
      </c>
    </row>
    <row r="278" spans="1:11" x14ac:dyDescent="0.25">
      <c r="A278">
        <v>4631</v>
      </c>
      <c r="B278" s="1" t="s">
        <v>28</v>
      </c>
      <c r="C278" s="1" t="s">
        <v>53</v>
      </c>
      <c r="D278" s="2">
        <v>42594.333333333336</v>
      </c>
      <c r="E278" s="2">
        <v>42607.5</v>
      </c>
      <c r="F278" s="1" t="s">
        <v>12</v>
      </c>
      <c r="G278" s="1" t="s">
        <v>16</v>
      </c>
      <c r="H278">
        <v>2</v>
      </c>
      <c r="I278">
        <v>8</v>
      </c>
      <c r="J278" s="3">
        <v>32</v>
      </c>
      <c r="K278" s="3">
        <f>+Treinamentos[[#This Row],[Alunos]]*Treinamentos[[#This Row],[Valor]]</f>
        <v>256</v>
      </c>
    </row>
    <row r="279" spans="1:11" x14ac:dyDescent="0.25">
      <c r="A279">
        <v>4632</v>
      </c>
      <c r="B279" s="1" t="s">
        <v>30</v>
      </c>
      <c r="C279" s="1" t="s">
        <v>57</v>
      </c>
      <c r="D279" s="2">
        <v>42595.375</v>
      </c>
      <c r="E279" s="2">
        <v>42600.75</v>
      </c>
      <c r="F279" s="1" t="s">
        <v>12</v>
      </c>
      <c r="G279" s="1" t="s">
        <v>38</v>
      </c>
      <c r="H279">
        <v>4</v>
      </c>
      <c r="I279">
        <v>11</v>
      </c>
      <c r="J279" s="3">
        <v>52</v>
      </c>
      <c r="K279" s="3">
        <f>+Treinamentos[[#This Row],[Alunos]]*Treinamentos[[#This Row],[Valor]]</f>
        <v>572</v>
      </c>
    </row>
    <row r="280" spans="1:11" x14ac:dyDescent="0.25">
      <c r="A280">
        <v>4633</v>
      </c>
      <c r="B280" s="1" t="s">
        <v>25</v>
      </c>
      <c r="C280" s="1" t="s">
        <v>53</v>
      </c>
      <c r="D280" s="2">
        <v>42597.791666666664</v>
      </c>
      <c r="E280" s="2">
        <v>42608.958333333336</v>
      </c>
      <c r="F280" s="1" t="s">
        <v>21</v>
      </c>
      <c r="G280" s="1" t="s">
        <v>46</v>
      </c>
      <c r="H280">
        <v>5</v>
      </c>
      <c r="I280">
        <v>12</v>
      </c>
      <c r="J280" s="3">
        <v>32</v>
      </c>
      <c r="K280" s="3">
        <f>+Treinamentos[[#This Row],[Alunos]]*Treinamentos[[#This Row],[Valor]]</f>
        <v>384</v>
      </c>
    </row>
    <row r="281" spans="1:11" x14ac:dyDescent="0.25">
      <c r="A281">
        <v>4634</v>
      </c>
      <c r="B281" s="1" t="s">
        <v>14</v>
      </c>
      <c r="C281" s="1" t="s">
        <v>50</v>
      </c>
      <c r="D281" s="2">
        <v>42597.791666666664</v>
      </c>
      <c r="E281" s="2">
        <v>42608.958333333336</v>
      </c>
      <c r="F281" s="1" t="s">
        <v>21</v>
      </c>
      <c r="G281" s="1" t="s">
        <v>24</v>
      </c>
      <c r="H281">
        <v>5</v>
      </c>
      <c r="I281">
        <v>12</v>
      </c>
      <c r="J281" s="3">
        <v>35</v>
      </c>
      <c r="K281" s="3">
        <f>+Treinamentos[[#This Row],[Alunos]]*Treinamentos[[#This Row],[Valor]]</f>
        <v>420</v>
      </c>
    </row>
    <row r="282" spans="1:11" x14ac:dyDescent="0.25">
      <c r="A282">
        <v>4635</v>
      </c>
      <c r="B282" s="1" t="s">
        <v>25</v>
      </c>
      <c r="C282" s="1" t="s">
        <v>53</v>
      </c>
      <c r="D282" s="2">
        <v>42598.791666666664</v>
      </c>
      <c r="E282" s="2">
        <v>42611.958333333336</v>
      </c>
      <c r="F282" s="1" t="s">
        <v>12</v>
      </c>
      <c r="G282" s="1" t="s">
        <v>46</v>
      </c>
      <c r="H282">
        <v>3</v>
      </c>
      <c r="I282">
        <v>12</v>
      </c>
      <c r="J282" s="3">
        <v>32</v>
      </c>
      <c r="K282" s="3">
        <f>+Treinamentos[[#This Row],[Alunos]]*Treinamentos[[#This Row],[Valor]]</f>
        <v>384</v>
      </c>
    </row>
    <row r="283" spans="1:11" x14ac:dyDescent="0.25">
      <c r="A283">
        <v>4636</v>
      </c>
      <c r="B283" s="1" t="s">
        <v>30</v>
      </c>
      <c r="C283" s="1" t="s">
        <v>61</v>
      </c>
      <c r="D283" s="2">
        <v>42599.583333333336</v>
      </c>
      <c r="E283" s="2">
        <v>42612.75</v>
      </c>
      <c r="F283" s="1" t="s">
        <v>12</v>
      </c>
      <c r="G283" s="1" t="s">
        <v>24</v>
      </c>
      <c r="H283">
        <v>3</v>
      </c>
      <c r="I283">
        <v>8</v>
      </c>
      <c r="J283" s="3">
        <v>62</v>
      </c>
      <c r="K283" s="3">
        <f>+Treinamentos[[#This Row],[Alunos]]*Treinamentos[[#This Row],[Valor]]</f>
        <v>496</v>
      </c>
    </row>
    <row r="284" spans="1:11" x14ac:dyDescent="0.25">
      <c r="A284">
        <v>4637</v>
      </c>
      <c r="B284" s="1" t="s">
        <v>37</v>
      </c>
      <c r="C284" s="1" t="s">
        <v>54</v>
      </c>
      <c r="D284" s="2">
        <v>42600.375</v>
      </c>
      <c r="E284" s="2">
        <v>42606.75</v>
      </c>
      <c r="F284" s="1" t="s">
        <v>12</v>
      </c>
      <c r="G284" s="1" t="s">
        <v>48</v>
      </c>
      <c r="H284">
        <v>4</v>
      </c>
      <c r="I284">
        <v>9</v>
      </c>
      <c r="J284" s="3">
        <v>43</v>
      </c>
      <c r="K284" s="3">
        <f>+Treinamentos[[#This Row],[Alunos]]*Treinamentos[[#This Row],[Valor]]</f>
        <v>387</v>
      </c>
    </row>
    <row r="285" spans="1:11" x14ac:dyDescent="0.25">
      <c r="A285">
        <v>4638</v>
      </c>
      <c r="B285" s="1" t="s">
        <v>16</v>
      </c>
      <c r="C285" s="1" t="s">
        <v>60</v>
      </c>
      <c r="D285" s="2">
        <v>42601.333333333336</v>
      </c>
      <c r="E285" s="2">
        <v>42614.5</v>
      </c>
      <c r="F285" s="1" t="s">
        <v>21</v>
      </c>
      <c r="G285" s="1" t="s">
        <v>19</v>
      </c>
      <c r="H285">
        <v>2</v>
      </c>
      <c r="I285">
        <v>8</v>
      </c>
      <c r="J285" s="3">
        <v>42</v>
      </c>
      <c r="K285" s="3">
        <f>+Treinamentos[[#This Row],[Alunos]]*Treinamentos[[#This Row],[Valor]]</f>
        <v>336</v>
      </c>
    </row>
    <row r="286" spans="1:11" x14ac:dyDescent="0.25">
      <c r="A286">
        <v>4639</v>
      </c>
      <c r="B286" s="1" t="s">
        <v>28</v>
      </c>
      <c r="C286" s="1" t="s">
        <v>58</v>
      </c>
      <c r="D286" s="2">
        <v>42602.375</v>
      </c>
      <c r="E286" s="2">
        <v>42607.75</v>
      </c>
      <c r="F286" s="1" t="s">
        <v>21</v>
      </c>
      <c r="G286" s="1" t="s">
        <v>48</v>
      </c>
      <c r="H286">
        <v>4</v>
      </c>
      <c r="I286">
        <v>9</v>
      </c>
      <c r="J286" s="3">
        <v>48</v>
      </c>
      <c r="K286" s="3">
        <f>+Treinamentos[[#This Row],[Alunos]]*Treinamentos[[#This Row],[Valor]]</f>
        <v>432</v>
      </c>
    </row>
    <row r="287" spans="1:11" x14ac:dyDescent="0.25">
      <c r="A287">
        <v>4640</v>
      </c>
      <c r="B287" s="1" t="s">
        <v>17</v>
      </c>
      <c r="C287" s="1" t="s">
        <v>60</v>
      </c>
      <c r="D287" s="2">
        <v>42604.791666666664</v>
      </c>
      <c r="E287" s="2">
        <v>42615.958333333336</v>
      </c>
      <c r="F287" s="1" t="s">
        <v>21</v>
      </c>
      <c r="G287" s="1" t="s">
        <v>24</v>
      </c>
      <c r="H287">
        <v>3</v>
      </c>
      <c r="I287">
        <v>11</v>
      </c>
      <c r="J287" s="3">
        <v>42</v>
      </c>
      <c r="K287" s="3">
        <f>+Treinamentos[[#This Row],[Alunos]]*Treinamentos[[#This Row],[Valor]]</f>
        <v>462</v>
      </c>
    </row>
    <row r="288" spans="1:11" x14ac:dyDescent="0.25">
      <c r="A288">
        <v>4641</v>
      </c>
      <c r="B288" s="1" t="s">
        <v>28</v>
      </c>
      <c r="C288" s="1" t="s">
        <v>50</v>
      </c>
      <c r="D288" s="2">
        <v>42604.791666666664</v>
      </c>
      <c r="E288" s="2">
        <v>42615.958333333336</v>
      </c>
      <c r="F288" s="1" t="s">
        <v>21</v>
      </c>
      <c r="G288" s="1" t="s">
        <v>32</v>
      </c>
      <c r="H288">
        <v>4</v>
      </c>
      <c r="I288">
        <v>11</v>
      </c>
      <c r="J288" s="3">
        <v>35</v>
      </c>
      <c r="K288" s="3">
        <f>+Treinamentos[[#This Row],[Alunos]]*Treinamentos[[#This Row],[Valor]]</f>
        <v>385</v>
      </c>
    </row>
    <row r="289" spans="1:11" x14ac:dyDescent="0.25">
      <c r="A289">
        <v>4642</v>
      </c>
      <c r="B289" s="1" t="s">
        <v>41</v>
      </c>
      <c r="C289" s="1" t="s">
        <v>49</v>
      </c>
      <c r="D289" s="2">
        <v>42605.791666666664</v>
      </c>
      <c r="E289" s="2">
        <v>42618.958333333336</v>
      </c>
      <c r="F289" s="1" t="s">
        <v>21</v>
      </c>
      <c r="G289" s="1" t="s">
        <v>44</v>
      </c>
      <c r="H289">
        <v>5</v>
      </c>
      <c r="I289">
        <v>8</v>
      </c>
      <c r="J289" s="3">
        <v>53</v>
      </c>
      <c r="K289" s="3">
        <f>+Treinamentos[[#This Row],[Alunos]]*Treinamentos[[#This Row],[Valor]]</f>
        <v>424</v>
      </c>
    </row>
    <row r="290" spans="1:11" x14ac:dyDescent="0.25">
      <c r="A290">
        <v>4643</v>
      </c>
      <c r="B290" s="1" t="s">
        <v>37</v>
      </c>
      <c r="C290" s="1" t="s">
        <v>52</v>
      </c>
      <c r="D290" s="2">
        <v>42606.583333333336</v>
      </c>
      <c r="E290" s="2">
        <v>42619.75</v>
      </c>
      <c r="F290" s="1" t="s">
        <v>12</v>
      </c>
      <c r="G290" s="1" t="s">
        <v>47</v>
      </c>
      <c r="H290">
        <v>4</v>
      </c>
      <c r="I290">
        <v>9</v>
      </c>
      <c r="J290" s="3">
        <v>48</v>
      </c>
      <c r="K290" s="3">
        <f>+Treinamentos[[#This Row],[Alunos]]*Treinamentos[[#This Row],[Valor]]</f>
        <v>432</v>
      </c>
    </row>
    <row r="291" spans="1:11" x14ac:dyDescent="0.25">
      <c r="A291">
        <v>4644</v>
      </c>
      <c r="B291" s="1" t="s">
        <v>37</v>
      </c>
      <c r="C291" s="1" t="s">
        <v>51</v>
      </c>
      <c r="D291" s="2">
        <v>42607.375</v>
      </c>
      <c r="E291" s="2">
        <v>42613.75</v>
      </c>
      <c r="F291" s="1" t="s">
        <v>21</v>
      </c>
      <c r="G291" s="1" t="s">
        <v>42</v>
      </c>
      <c r="H291">
        <v>2</v>
      </c>
      <c r="I291">
        <v>10</v>
      </c>
      <c r="J291" s="3">
        <v>62</v>
      </c>
      <c r="K291" s="3">
        <f>+Treinamentos[[#This Row],[Alunos]]*Treinamentos[[#This Row],[Valor]]</f>
        <v>620</v>
      </c>
    </row>
    <row r="292" spans="1:11" x14ac:dyDescent="0.25">
      <c r="A292">
        <v>4645</v>
      </c>
      <c r="B292" s="1" t="s">
        <v>10</v>
      </c>
      <c r="C292" s="1" t="s">
        <v>53</v>
      </c>
      <c r="D292" s="2">
        <v>42608.333333333336</v>
      </c>
      <c r="E292" s="2">
        <v>42621.5</v>
      </c>
      <c r="F292" s="1" t="s">
        <v>12</v>
      </c>
      <c r="G292" s="1" t="s">
        <v>42</v>
      </c>
      <c r="H292">
        <v>5</v>
      </c>
      <c r="I292">
        <v>10</v>
      </c>
      <c r="J292" s="3">
        <v>32</v>
      </c>
      <c r="K292" s="3">
        <f>+Treinamentos[[#This Row],[Alunos]]*Treinamentos[[#This Row],[Valor]]</f>
        <v>320</v>
      </c>
    </row>
    <row r="293" spans="1:11" x14ac:dyDescent="0.25">
      <c r="A293">
        <v>4646</v>
      </c>
      <c r="B293" s="1" t="s">
        <v>25</v>
      </c>
      <c r="C293" s="1" t="s">
        <v>56</v>
      </c>
      <c r="D293" s="2">
        <v>42609.375</v>
      </c>
      <c r="E293" s="2">
        <v>42614.75</v>
      </c>
      <c r="F293" s="1" t="s">
        <v>21</v>
      </c>
      <c r="G293" s="1" t="s">
        <v>34</v>
      </c>
      <c r="H293">
        <v>3</v>
      </c>
      <c r="I293">
        <v>8</v>
      </c>
      <c r="J293" s="3">
        <v>63</v>
      </c>
      <c r="K293" s="3">
        <f>+Treinamentos[[#This Row],[Alunos]]*Treinamentos[[#This Row],[Valor]]</f>
        <v>504</v>
      </c>
    </row>
    <row r="294" spans="1:11" x14ac:dyDescent="0.25">
      <c r="A294">
        <v>4647</v>
      </c>
      <c r="B294" s="1" t="s">
        <v>10</v>
      </c>
      <c r="C294" s="1" t="s">
        <v>54</v>
      </c>
      <c r="D294" s="2">
        <v>42611.791666666664</v>
      </c>
      <c r="E294" s="2">
        <v>42622.958333333336</v>
      </c>
      <c r="F294" s="1" t="s">
        <v>12</v>
      </c>
      <c r="G294" s="1" t="s">
        <v>19</v>
      </c>
      <c r="H294">
        <v>3</v>
      </c>
      <c r="I294">
        <v>8</v>
      </c>
      <c r="J294" s="3">
        <v>43</v>
      </c>
      <c r="K294" s="3">
        <f>+Treinamentos[[#This Row],[Alunos]]*Treinamentos[[#This Row],[Valor]]</f>
        <v>344</v>
      </c>
    </row>
    <row r="295" spans="1:11" x14ac:dyDescent="0.25">
      <c r="A295">
        <v>4648</v>
      </c>
      <c r="B295" s="1" t="s">
        <v>25</v>
      </c>
      <c r="C295" s="1" t="s">
        <v>52</v>
      </c>
      <c r="D295" s="2">
        <v>42611.791666666664</v>
      </c>
      <c r="E295" s="2">
        <v>42622.958333333336</v>
      </c>
      <c r="F295" s="1" t="s">
        <v>12</v>
      </c>
      <c r="G295" s="1" t="s">
        <v>16</v>
      </c>
      <c r="H295">
        <v>5</v>
      </c>
      <c r="I295">
        <v>10</v>
      </c>
      <c r="J295" s="3">
        <v>48</v>
      </c>
      <c r="K295" s="3">
        <f>+Treinamentos[[#This Row],[Alunos]]*Treinamentos[[#This Row],[Valor]]</f>
        <v>480</v>
      </c>
    </row>
    <row r="296" spans="1:11" x14ac:dyDescent="0.25">
      <c r="A296">
        <v>4649</v>
      </c>
      <c r="B296" s="1" t="s">
        <v>28</v>
      </c>
      <c r="C296" s="1" t="s">
        <v>61</v>
      </c>
      <c r="D296" s="2">
        <v>42612.791666666664</v>
      </c>
      <c r="E296" s="2">
        <v>42625.958333333336</v>
      </c>
      <c r="F296" s="1" t="s">
        <v>12</v>
      </c>
      <c r="G296" s="1" t="s">
        <v>33</v>
      </c>
      <c r="H296">
        <v>4</v>
      </c>
      <c r="I296">
        <v>9</v>
      </c>
      <c r="J296" s="3">
        <v>62</v>
      </c>
      <c r="K296" s="3">
        <f>+Treinamentos[[#This Row],[Alunos]]*Treinamentos[[#This Row],[Valor]]</f>
        <v>558</v>
      </c>
    </row>
    <row r="297" spans="1:11" x14ac:dyDescent="0.25">
      <c r="A297">
        <v>4650</v>
      </c>
      <c r="B297" s="1" t="s">
        <v>16</v>
      </c>
      <c r="C297" s="1" t="s">
        <v>57</v>
      </c>
      <c r="D297" s="2">
        <v>42613.583333333336</v>
      </c>
      <c r="E297" s="2">
        <v>42626.75</v>
      </c>
      <c r="F297" s="1" t="s">
        <v>12</v>
      </c>
      <c r="G297" s="1" t="s">
        <v>22</v>
      </c>
      <c r="H297">
        <v>3</v>
      </c>
      <c r="I297">
        <v>11</v>
      </c>
      <c r="J297" s="3">
        <v>52</v>
      </c>
      <c r="K297" s="3">
        <f>+Treinamentos[[#This Row],[Alunos]]*Treinamentos[[#This Row],[Valor]]</f>
        <v>572</v>
      </c>
    </row>
    <row r="298" spans="1:11" x14ac:dyDescent="0.25">
      <c r="A298">
        <v>4651</v>
      </c>
      <c r="B298" s="1" t="s">
        <v>10</v>
      </c>
      <c r="C298" s="1" t="s">
        <v>52</v>
      </c>
      <c r="D298" s="2">
        <v>42614.375</v>
      </c>
      <c r="E298" s="2">
        <v>42620.75</v>
      </c>
      <c r="F298" s="1" t="s">
        <v>12</v>
      </c>
      <c r="G298" s="1" t="s">
        <v>36</v>
      </c>
      <c r="H298">
        <v>3</v>
      </c>
      <c r="I298">
        <v>8</v>
      </c>
      <c r="J298" s="3">
        <v>48</v>
      </c>
      <c r="K298" s="3">
        <f>+Treinamentos[[#This Row],[Alunos]]*Treinamentos[[#This Row],[Valor]]</f>
        <v>384</v>
      </c>
    </row>
    <row r="299" spans="1:11" x14ac:dyDescent="0.25">
      <c r="A299">
        <v>4652</v>
      </c>
      <c r="B299" s="1" t="s">
        <v>10</v>
      </c>
      <c r="C299" s="1" t="s">
        <v>53</v>
      </c>
      <c r="D299" s="2">
        <v>42615.333333333336</v>
      </c>
      <c r="E299" s="2">
        <v>42628.5</v>
      </c>
      <c r="F299" s="1" t="s">
        <v>21</v>
      </c>
      <c r="G299" s="1" t="s">
        <v>33</v>
      </c>
      <c r="H299">
        <v>2</v>
      </c>
      <c r="I299">
        <v>9</v>
      </c>
      <c r="J299" s="3">
        <v>32</v>
      </c>
      <c r="K299" s="3">
        <f>+Treinamentos[[#This Row],[Alunos]]*Treinamentos[[#This Row],[Valor]]</f>
        <v>288</v>
      </c>
    </row>
    <row r="300" spans="1:11" x14ac:dyDescent="0.25">
      <c r="A300">
        <v>4653</v>
      </c>
      <c r="B300" s="1" t="s">
        <v>10</v>
      </c>
      <c r="C300" s="1" t="s">
        <v>58</v>
      </c>
      <c r="D300" s="2">
        <v>42616.375</v>
      </c>
      <c r="E300" s="2">
        <v>42621.75</v>
      </c>
      <c r="F300" s="1" t="s">
        <v>12</v>
      </c>
      <c r="G300" s="1" t="s">
        <v>34</v>
      </c>
      <c r="H300">
        <v>2</v>
      </c>
      <c r="I300">
        <v>9</v>
      </c>
      <c r="J300" s="3">
        <v>48</v>
      </c>
      <c r="K300" s="3">
        <f>+Treinamentos[[#This Row],[Alunos]]*Treinamentos[[#This Row],[Valor]]</f>
        <v>432</v>
      </c>
    </row>
    <row r="301" spans="1:11" x14ac:dyDescent="0.25">
      <c r="A301">
        <v>4654</v>
      </c>
      <c r="B301" s="1" t="s">
        <v>37</v>
      </c>
      <c r="C301" s="1" t="s">
        <v>57</v>
      </c>
      <c r="D301" s="2">
        <v>42618.791666666664</v>
      </c>
      <c r="E301" s="2">
        <v>42629.958333333336</v>
      </c>
      <c r="F301" s="1" t="s">
        <v>12</v>
      </c>
      <c r="G301" s="1" t="s">
        <v>33</v>
      </c>
      <c r="H301">
        <v>3</v>
      </c>
      <c r="I301">
        <v>11</v>
      </c>
      <c r="J301" s="3">
        <v>52</v>
      </c>
      <c r="K301" s="3">
        <f>+Treinamentos[[#This Row],[Alunos]]*Treinamentos[[#This Row],[Valor]]</f>
        <v>572</v>
      </c>
    </row>
    <row r="302" spans="1:11" x14ac:dyDescent="0.25">
      <c r="A302">
        <v>4655</v>
      </c>
      <c r="B302" s="1" t="s">
        <v>37</v>
      </c>
      <c r="C302" s="1" t="s">
        <v>60</v>
      </c>
      <c r="D302" s="2">
        <v>42618.791666666664</v>
      </c>
      <c r="E302" s="2">
        <v>42629.958333333336</v>
      </c>
      <c r="F302" s="1" t="s">
        <v>12</v>
      </c>
      <c r="G302" s="1" t="s">
        <v>19</v>
      </c>
      <c r="H302">
        <v>5</v>
      </c>
      <c r="I302">
        <v>12</v>
      </c>
      <c r="J302" s="3">
        <v>42</v>
      </c>
      <c r="K302" s="3">
        <f>+Treinamentos[[#This Row],[Alunos]]*Treinamentos[[#This Row],[Valor]]</f>
        <v>504</v>
      </c>
    </row>
    <row r="303" spans="1:11" x14ac:dyDescent="0.25">
      <c r="A303">
        <v>4656</v>
      </c>
      <c r="B303" s="1" t="s">
        <v>10</v>
      </c>
      <c r="C303" s="1" t="s">
        <v>51</v>
      </c>
      <c r="D303" s="2">
        <v>42619.791666666664</v>
      </c>
      <c r="E303" s="2">
        <v>42632.958333333336</v>
      </c>
      <c r="F303" s="1" t="s">
        <v>21</v>
      </c>
      <c r="G303" s="1" t="s">
        <v>24</v>
      </c>
      <c r="H303">
        <v>2</v>
      </c>
      <c r="I303">
        <v>10</v>
      </c>
      <c r="J303" s="3">
        <v>62</v>
      </c>
      <c r="K303" s="3">
        <f>+Treinamentos[[#This Row],[Alunos]]*Treinamentos[[#This Row],[Valor]]</f>
        <v>620</v>
      </c>
    </row>
    <row r="304" spans="1:11" x14ac:dyDescent="0.25">
      <c r="A304">
        <v>4657</v>
      </c>
      <c r="B304" s="1" t="s">
        <v>16</v>
      </c>
      <c r="C304" s="1" t="s">
        <v>54</v>
      </c>
      <c r="D304" s="2">
        <v>42620.583333333336</v>
      </c>
      <c r="E304" s="2">
        <v>42633.75</v>
      </c>
      <c r="F304" s="1" t="s">
        <v>21</v>
      </c>
      <c r="G304" s="1" t="s">
        <v>24</v>
      </c>
      <c r="H304">
        <v>2</v>
      </c>
      <c r="I304">
        <v>10</v>
      </c>
      <c r="J304" s="3">
        <v>43</v>
      </c>
      <c r="K304" s="3">
        <f>+Treinamentos[[#This Row],[Alunos]]*Treinamentos[[#This Row],[Valor]]</f>
        <v>430</v>
      </c>
    </row>
    <row r="305" spans="1:11" x14ac:dyDescent="0.25">
      <c r="A305">
        <v>4658</v>
      </c>
      <c r="B305" s="1" t="s">
        <v>25</v>
      </c>
      <c r="C305" s="1" t="s">
        <v>52</v>
      </c>
      <c r="D305" s="2">
        <v>42621.375</v>
      </c>
      <c r="E305" s="2">
        <v>42627.75</v>
      </c>
      <c r="F305" s="1" t="s">
        <v>21</v>
      </c>
      <c r="G305" s="1" t="s">
        <v>34</v>
      </c>
      <c r="H305">
        <v>2</v>
      </c>
      <c r="I305">
        <v>12</v>
      </c>
      <c r="J305" s="3">
        <v>48</v>
      </c>
      <c r="K305" s="3">
        <f>+Treinamentos[[#This Row],[Alunos]]*Treinamentos[[#This Row],[Valor]]</f>
        <v>576</v>
      </c>
    </row>
    <row r="306" spans="1:11" x14ac:dyDescent="0.25">
      <c r="A306">
        <v>4659</v>
      </c>
      <c r="B306" s="1" t="s">
        <v>16</v>
      </c>
      <c r="C306" s="1" t="s">
        <v>53</v>
      </c>
      <c r="D306" s="2">
        <v>42622.333333333336</v>
      </c>
      <c r="E306" s="2">
        <v>42635.5</v>
      </c>
      <c r="F306" s="1" t="s">
        <v>12</v>
      </c>
      <c r="G306" s="1" t="s">
        <v>44</v>
      </c>
      <c r="H306">
        <v>5</v>
      </c>
      <c r="I306">
        <v>10</v>
      </c>
      <c r="J306" s="3">
        <v>32</v>
      </c>
      <c r="K306" s="3">
        <f>+Treinamentos[[#This Row],[Alunos]]*Treinamentos[[#This Row],[Valor]]</f>
        <v>320</v>
      </c>
    </row>
    <row r="307" spans="1:11" x14ac:dyDescent="0.25">
      <c r="A307">
        <v>4660</v>
      </c>
      <c r="B307" s="1" t="s">
        <v>41</v>
      </c>
      <c r="C307" s="1" t="s">
        <v>50</v>
      </c>
      <c r="D307" s="2">
        <v>42623.375</v>
      </c>
      <c r="E307" s="2">
        <v>42628.75</v>
      </c>
      <c r="F307" s="1" t="s">
        <v>21</v>
      </c>
      <c r="G307" s="1" t="s">
        <v>34</v>
      </c>
      <c r="H307">
        <v>2</v>
      </c>
      <c r="I307">
        <v>11</v>
      </c>
      <c r="J307" s="3">
        <v>35</v>
      </c>
      <c r="K307" s="3">
        <f>+Treinamentos[[#This Row],[Alunos]]*Treinamentos[[#This Row],[Valor]]</f>
        <v>385</v>
      </c>
    </row>
    <row r="308" spans="1:11" x14ac:dyDescent="0.25">
      <c r="A308">
        <v>4661</v>
      </c>
      <c r="B308" s="1" t="s">
        <v>30</v>
      </c>
      <c r="C308" s="1" t="s">
        <v>51</v>
      </c>
      <c r="D308" s="2">
        <v>42625.791666666664</v>
      </c>
      <c r="E308" s="2">
        <v>42636.958333333336</v>
      </c>
      <c r="F308" s="1" t="s">
        <v>21</v>
      </c>
      <c r="G308" s="1" t="s">
        <v>24</v>
      </c>
      <c r="H308">
        <v>4</v>
      </c>
      <c r="I308">
        <v>9</v>
      </c>
      <c r="J308" s="3">
        <v>62</v>
      </c>
      <c r="K308" s="3">
        <f>+Treinamentos[[#This Row],[Alunos]]*Treinamentos[[#This Row],[Valor]]</f>
        <v>558</v>
      </c>
    </row>
    <row r="309" spans="1:11" x14ac:dyDescent="0.25">
      <c r="A309">
        <v>4662</v>
      </c>
      <c r="B309" s="1" t="s">
        <v>14</v>
      </c>
      <c r="C309" s="1" t="s">
        <v>49</v>
      </c>
      <c r="D309" s="2">
        <v>42625.791666666664</v>
      </c>
      <c r="E309" s="2">
        <v>42636.958333333336</v>
      </c>
      <c r="F309" s="1" t="s">
        <v>12</v>
      </c>
      <c r="G309" s="1" t="s">
        <v>19</v>
      </c>
      <c r="H309">
        <v>3</v>
      </c>
      <c r="I309">
        <v>10</v>
      </c>
      <c r="J309" s="3">
        <v>53</v>
      </c>
      <c r="K309" s="3">
        <f>+Treinamentos[[#This Row],[Alunos]]*Treinamentos[[#This Row],[Valor]]</f>
        <v>530</v>
      </c>
    </row>
    <row r="310" spans="1:11" x14ac:dyDescent="0.25">
      <c r="A310">
        <v>4663</v>
      </c>
      <c r="B310" s="1" t="s">
        <v>17</v>
      </c>
      <c r="C310" s="1" t="s">
        <v>52</v>
      </c>
      <c r="D310" s="2">
        <v>42626.791666666664</v>
      </c>
      <c r="E310" s="2">
        <v>42639.958333333336</v>
      </c>
      <c r="F310" s="1" t="s">
        <v>12</v>
      </c>
      <c r="G310" s="1" t="s">
        <v>19</v>
      </c>
      <c r="H310">
        <v>4</v>
      </c>
      <c r="I310">
        <v>10</v>
      </c>
      <c r="J310" s="3">
        <v>48</v>
      </c>
      <c r="K310" s="3">
        <f>+Treinamentos[[#This Row],[Alunos]]*Treinamentos[[#This Row],[Valor]]</f>
        <v>480</v>
      </c>
    </row>
    <row r="311" spans="1:11" x14ac:dyDescent="0.25">
      <c r="A311">
        <v>4664</v>
      </c>
      <c r="B311" s="1" t="s">
        <v>14</v>
      </c>
      <c r="C311" s="1" t="s">
        <v>58</v>
      </c>
      <c r="D311" s="2">
        <v>42627.583333333336</v>
      </c>
      <c r="E311" s="2">
        <v>42640.75</v>
      </c>
      <c r="F311" s="1" t="s">
        <v>21</v>
      </c>
      <c r="G311" s="1" t="s">
        <v>27</v>
      </c>
      <c r="H311">
        <v>3</v>
      </c>
      <c r="I311">
        <v>9</v>
      </c>
      <c r="J311" s="3">
        <v>48</v>
      </c>
      <c r="K311" s="3">
        <f>+Treinamentos[[#This Row],[Alunos]]*Treinamentos[[#This Row],[Valor]]</f>
        <v>432</v>
      </c>
    </row>
    <row r="312" spans="1:11" x14ac:dyDescent="0.25">
      <c r="A312">
        <v>4665</v>
      </c>
      <c r="B312" s="1" t="s">
        <v>16</v>
      </c>
      <c r="C312" s="1" t="s">
        <v>58</v>
      </c>
      <c r="D312" s="2">
        <v>42628.375</v>
      </c>
      <c r="E312" s="2">
        <v>42634.75</v>
      </c>
      <c r="F312" s="1" t="s">
        <v>21</v>
      </c>
      <c r="G312" s="1" t="s">
        <v>33</v>
      </c>
      <c r="H312">
        <v>4</v>
      </c>
      <c r="I312">
        <v>11</v>
      </c>
      <c r="J312" s="3">
        <v>48</v>
      </c>
      <c r="K312" s="3">
        <f>+Treinamentos[[#This Row],[Alunos]]*Treinamentos[[#This Row],[Valor]]</f>
        <v>528</v>
      </c>
    </row>
    <row r="313" spans="1:11" x14ac:dyDescent="0.25">
      <c r="A313">
        <v>4666</v>
      </c>
      <c r="B313" s="1" t="s">
        <v>14</v>
      </c>
      <c r="C313" s="1" t="s">
        <v>53</v>
      </c>
      <c r="D313" s="2">
        <v>42629.333333333336</v>
      </c>
      <c r="E313" s="2">
        <v>42642.5</v>
      </c>
      <c r="F313" s="1" t="s">
        <v>12</v>
      </c>
      <c r="G313" s="1" t="s">
        <v>33</v>
      </c>
      <c r="H313">
        <v>2</v>
      </c>
      <c r="I313">
        <v>8</v>
      </c>
      <c r="J313" s="3">
        <v>32</v>
      </c>
      <c r="K313" s="3">
        <f>+Treinamentos[[#This Row],[Alunos]]*Treinamentos[[#This Row],[Valor]]</f>
        <v>256</v>
      </c>
    </row>
    <row r="314" spans="1:11" x14ac:dyDescent="0.25">
      <c r="A314">
        <v>4667</v>
      </c>
      <c r="B314" s="1" t="s">
        <v>17</v>
      </c>
      <c r="C314" s="1" t="s">
        <v>59</v>
      </c>
      <c r="D314" s="2">
        <v>42630.375</v>
      </c>
      <c r="E314" s="2">
        <v>42635.75</v>
      </c>
      <c r="F314" s="1" t="s">
        <v>12</v>
      </c>
      <c r="G314" s="1" t="s">
        <v>47</v>
      </c>
      <c r="H314">
        <v>2</v>
      </c>
      <c r="I314">
        <v>9</v>
      </c>
      <c r="J314" s="3">
        <v>48</v>
      </c>
      <c r="K314" s="3">
        <f>+Treinamentos[[#This Row],[Alunos]]*Treinamentos[[#This Row],[Valor]]</f>
        <v>432</v>
      </c>
    </row>
    <row r="315" spans="1:11" x14ac:dyDescent="0.25">
      <c r="A315">
        <v>4668</v>
      </c>
      <c r="B315" s="1" t="s">
        <v>37</v>
      </c>
      <c r="C315" s="1" t="s">
        <v>54</v>
      </c>
      <c r="D315" s="2">
        <v>42632.791666666664</v>
      </c>
      <c r="E315" s="2">
        <v>42643.958333333336</v>
      </c>
      <c r="F315" s="1" t="s">
        <v>21</v>
      </c>
      <c r="G315" s="1" t="s">
        <v>16</v>
      </c>
      <c r="H315">
        <v>3</v>
      </c>
      <c r="I315">
        <v>11</v>
      </c>
      <c r="J315" s="3">
        <v>43</v>
      </c>
      <c r="K315" s="3">
        <f>+Treinamentos[[#This Row],[Alunos]]*Treinamentos[[#This Row],[Valor]]</f>
        <v>473</v>
      </c>
    </row>
    <row r="316" spans="1:11" x14ac:dyDescent="0.25">
      <c r="A316">
        <v>4669</v>
      </c>
      <c r="B316" s="1" t="s">
        <v>37</v>
      </c>
      <c r="C316" s="1" t="s">
        <v>55</v>
      </c>
      <c r="D316" s="2">
        <v>42632.791666666664</v>
      </c>
      <c r="E316" s="2">
        <v>42643.958333333336</v>
      </c>
      <c r="F316" s="1" t="s">
        <v>12</v>
      </c>
      <c r="G316" s="1" t="s">
        <v>16</v>
      </c>
      <c r="H316">
        <v>2</v>
      </c>
      <c r="I316">
        <v>9</v>
      </c>
      <c r="J316" s="3">
        <v>75</v>
      </c>
      <c r="K316" s="3">
        <f>+Treinamentos[[#This Row],[Alunos]]*Treinamentos[[#This Row],[Valor]]</f>
        <v>675</v>
      </c>
    </row>
    <row r="317" spans="1:11" x14ac:dyDescent="0.25">
      <c r="A317">
        <v>4670</v>
      </c>
      <c r="B317" s="1" t="s">
        <v>25</v>
      </c>
      <c r="C317" s="1" t="s">
        <v>58</v>
      </c>
      <c r="D317" s="2">
        <v>42633.791666666664</v>
      </c>
      <c r="E317" s="2">
        <v>42646.958333333336</v>
      </c>
      <c r="F317" s="1" t="s">
        <v>12</v>
      </c>
      <c r="G317" s="1" t="s">
        <v>24</v>
      </c>
      <c r="H317">
        <v>4</v>
      </c>
      <c r="I317">
        <v>10</v>
      </c>
      <c r="J317" s="3">
        <v>48</v>
      </c>
      <c r="K317" s="3">
        <f>+Treinamentos[[#This Row],[Alunos]]*Treinamentos[[#This Row],[Valor]]</f>
        <v>480</v>
      </c>
    </row>
    <row r="318" spans="1:11" x14ac:dyDescent="0.25">
      <c r="A318">
        <v>4671</v>
      </c>
      <c r="B318" s="1" t="s">
        <v>10</v>
      </c>
      <c r="C318" s="1" t="s">
        <v>51</v>
      </c>
      <c r="D318" s="2">
        <v>42634.583333333336</v>
      </c>
      <c r="E318" s="2">
        <v>42647.75</v>
      </c>
      <c r="F318" s="1" t="s">
        <v>21</v>
      </c>
      <c r="G318" s="1" t="s">
        <v>24</v>
      </c>
      <c r="H318">
        <v>3</v>
      </c>
      <c r="I318">
        <v>9</v>
      </c>
      <c r="J318" s="3">
        <v>62</v>
      </c>
      <c r="K318" s="3">
        <f>+Treinamentos[[#This Row],[Alunos]]*Treinamentos[[#This Row],[Valor]]</f>
        <v>558</v>
      </c>
    </row>
    <row r="319" spans="1:11" x14ac:dyDescent="0.25">
      <c r="A319">
        <v>4672</v>
      </c>
      <c r="B319" s="1" t="s">
        <v>14</v>
      </c>
      <c r="C319" s="1" t="s">
        <v>58</v>
      </c>
      <c r="D319" s="2">
        <v>42635.375</v>
      </c>
      <c r="E319" s="2">
        <v>42641.75</v>
      </c>
      <c r="F319" s="1" t="s">
        <v>12</v>
      </c>
      <c r="G319" s="1" t="s">
        <v>33</v>
      </c>
      <c r="H319">
        <v>5</v>
      </c>
      <c r="I319">
        <v>10</v>
      </c>
      <c r="J319" s="3">
        <v>48</v>
      </c>
      <c r="K319" s="3">
        <f>+Treinamentos[[#This Row],[Alunos]]*Treinamentos[[#This Row],[Valor]]</f>
        <v>480</v>
      </c>
    </row>
    <row r="320" spans="1:11" x14ac:dyDescent="0.25">
      <c r="A320">
        <v>4673</v>
      </c>
      <c r="B320" s="1" t="s">
        <v>17</v>
      </c>
      <c r="C320" s="1" t="s">
        <v>50</v>
      </c>
      <c r="D320" s="2">
        <v>42636.333333333336</v>
      </c>
      <c r="E320" s="2">
        <v>42649.5</v>
      </c>
      <c r="F320" s="1" t="s">
        <v>21</v>
      </c>
      <c r="G320" s="1" t="s">
        <v>34</v>
      </c>
      <c r="H320">
        <v>4</v>
      </c>
      <c r="I320">
        <v>12</v>
      </c>
      <c r="J320" s="3">
        <v>35</v>
      </c>
      <c r="K320" s="3">
        <f>+Treinamentos[[#This Row],[Alunos]]*Treinamentos[[#This Row],[Valor]]</f>
        <v>420</v>
      </c>
    </row>
    <row r="321" spans="1:11" x14ac:dyDescent="0.25">
      <c r="A321">
        <v>4674</v>
      </c>
      <c r="B321" s="1" t="s">
        <v>14</v>
      </c>
      <c r="C321" s="1" t="s">
        <v>59</v>
      </c>
      <c r="D321" s="2">
        <v>42637.375</v>
      </c>
      <c r="E321" s="2">
        <v>42642.75</v>
      </c>
      <c r="F321" s="1" t="s">
        <v>12</v>
      </c>
      <c r="G321" s="1" t="s">
        <v>24</v>
      </c>
      <c r="H321">
        <v>3</v>
      </c>
      <c r="I321">
        <v>11</v>
      </c>
      <c r="J321" s="3">
        <v>48</v>
      </c>
      <c r="K321" s="3">
        <f>+Treinamentos[[#This Row],[Alunos]]*Treinamentos[[#This Row],[Valor]]</f>
        <v>528</v>
      </c>
    </row>
    <row r="322" spans="1:11" x14ac:dyDescent="0.25">
      <c r="A322">
        <v>4675</v>
      </c>
      <c r="B322" s="1" t="s">
        <v>14</v>
      </c>
      <c r="C322" s="1" t="s">
        <v>50</v>
      </c>
      <c r="D322" s="2">
        <v>42639.791666666664</v>
      </c>
      <c r="E322" s="2">
        <v>42650.958333333336</v>
      </c>
      <c r="F322" s="1" t="s">
        <v>21</v>
      </c>
      <c r="G322" s="1" t="s">
        <v>33</v>
      </c>
      <c r="H322">
        <v>5</v>
      </c>
      <c r="I322">
        <v>9</v>
      </c>
      <c r="J322" s="3">
        <v>35</v>
      </c>
      <c r="K322" s="3">
        <f>+Treinamentos[[#This Row],[Alunos]]*Treinamentos[[#This Row],[Valor]]</f>
        <v>315</v>
      </c>
    </row>
    <row r="323" spans="1:11" x14ac:dyDescent="0.25">
      <c r="A323">
        <v>4676</v>
      </c>
      <c r="B323" s="1" t="s">
        <v>37</v>
      </c>
      <c r="C323" s="1" t="s">
        <v>52</v>
      </c>
      <c r="D323" s="2">
        <v>42639.791666666664</v>
      </c>
      <c r="E323" s="2">
        <v>42650.958333333336</v>
      </c>
      <c r="F323" s="1" t="s">
        <v>12</v>
      </c>
      <c r="G323" s="1" t="s">
        <v>24</v>
      </c>
      <c r="H323">
        <v>4</v>
      </c>
      <c r="I323">
        <v>9</v>
      </c>
      <c r="J323" s="3">
        <v>48</v>
      </c>
      <c r="K323" s="3">
        <f>+Treinamentos[[#This Row],[Alunos]]*Treinamentos[[#This Row],[Valor]]</f>
        <v>432</v>
      </c>
    </row>
    <row r="324" spans="1:11" x14ac:dyDescent="0.25">
      <c r="A324">
        <v>4677</v>
      </c>
      <c r="B324" s="1" t="s">
        <v>41</v>
      </c>
      <c r="C324" s="1" t="s">
        <v>55</v>
      </c>
      <c r="D324" s="2">
        <v>42640.791666666664</v>
      </c>
      <c r="E324" s="2">
        <v>42653.958333333336</v>
      </c>
      <c r="F324" s="1" t="s">
        <v>21</v>
      </c>
      <c r="G324" s="1" t="s">
        <v>19</v>
      </c>
      <c r="H324">
        <v>4</v>
      </c>
      <c r="I324">
        <v>8</v>
      </c>
      <c r="J324" s="3">
        <v>75</v>
      </c>
      <c r="K324" s="3">
        <f>+Treinamentos[[#This Row],[Alunos]]*Treinamentos[[#This Row],[Valor]]</f>
        <v>600</v>
      </c>
    </row>
    <row r="325" spans="1:11" x14ac:dyDescent="0.25">
      <c r="A325">
        <v>4678</v>
      </c>
      <c r="B325" s="1" t="s">
        <v>16</v>
      </c>
      <c r="C325" s="1" t="s">
        <v>55</v>
      </c>
      <c r="D325" s="2">
        <v>42641.583333333336</v>
      </c>
      <c r="E325" s="2">
        <v>42654.75</v>
      </c>
      <c r="F325" s="1" t="s">
        <v>12</v>
      </c>
      <c r="G325" s="1" t="s">
        <v>24</v>
      </c>
      <c r="H325">
        <v>3</v>
      </c>
      <c r="I325">
        <v>8</v>
      </c>
      <c r="J325" s="3">
        <v>75</v>
      </c>
      <c r="K325" s="3">
        <f>+Treinamentos[[#This Row],[Alunos]]*Treinamentos[[#This Row],[Valor]]</f>
        <v>600</v>
      </c>
    </row>
    <row r="326" spans="1:11" x14ac:dyDescent="0.25">
      <c r="A326">
        <v>4679</v>
      </c>
      <c r="B326" s="1" t="s">
        <v>14</v>
      </c>
      <c r="C326" s="1" t="s">
        <v>53</v>
      </c>
      <c r="D326" s="2">
        <v>42642.375</v>
      </c>
      <c r="E326" s="2">
        <v>42648.75</v>
      </c>
      <c r="F326" s="1" t="s">
        <v>21</v>
      </c>
      <c r="G326" s="1" t="s">
        <v>24</v>
      </c>
      <c r="H326">
        <v>4</v>
      </c>
      <c r="I326">
        <v>8</v>
      </c>
      <c r="J326" s="3">
        <v>32</v>
      </c>
      <c r="K326" s="3">
        <f>+Treinamentos[[#This Row],[Alunos]]*Treinamentos[[#This Row],[Valor]]</f>
        <v>256</v>
      </c>
    </row>
    <row r="327" spans="1:11" x14ac:dyDescent="0.25">
      <c r="A327">
        <v>4680</v>
      </c>
      <c r="B327" s="1" t="s">
        <v>17</v>
      </c>
      <c r="C327" s="1" t="s">
        <v>58</v>
      </c>
      <c r="D327" s="2">
        <v>42643.333333333336</v>
      </c>
      <c r="E327" s="2">
        <v>42656.5</v>
      </c>
      <c r="F327" s="1" t="s">
        <v>12</v>
      </c>
      <c r="G327" s="1" t="s">
        <v>22</v>
      </c>
      <c r="H327">
        <v>3</v>
      </c>
      <c r="I327">
        <v>12</v>
      </c>
      <c r="J327" s="3">
        <v>48</v>
      </c>
      <c r="K327" s="3">
        <f>+Treinamentos[[#This Row],[Alunos]]*Treinamentos[[#This Row],[Valor]]</f>
        <v>576</v>
      </c>
    </row>
    <row r="328" spans="1:11" x14ac:dyDescent="0.25">
      <c r="A328">
        <v>4681</v>
      </c>
      <c r="B328" s="1" t="s">
        <v>28</v>
      </c>
      <c r="C328" s="1" t="s">
        <v>51</v>
      </c>
      <c r="D328" s="2">
        <v>42644.375</v>
      </c>
      <c r="E328" s="2">
        <v>42649.75</v>
      </c>
      <c r="F328" s="1" t="s">
        <v>21</v>
      </c>
      <c r="G328" s="1" t="s">
        <v>13</v>
      </c>
      <c r="H328">
        <v>5</v>
      </c>
      <c r="I328">
        <v>11</v>
      </c>
      <c r="J328" s="3">
        <v>62</v>
      </c>
      <c r="K328" s="3">
        <f>+Treinamentos[[#This Row],[Alunos]]*Treinamentos[[#This Row],[Valor]]</f>
        <v>682</v>
      </c>
    </row>
    <row r="329" spans="1:11" x14ac:dyDescent="0.25">
      <c r="A329">
        <v>4682</v>
      </c>
      <c r="B329" s="1" t="s">
        <v>16</v>
      </c>
      <c r="C329" s="1" t="s">
        <v>61</v>
      </c>
      <c r="D329" s="2">
        <v>42646.791666666664</v>
      </c>
      <c r="E329" s="2">
        <v>42657.958333333336</v>
      </c>
      <c r="F329" s="1" t="s">
        <v>12</v>
      </c>
      <c r="G329" s="1" t="s">
        <v>19</v>
      </c>
      <c r="I329">
        <v>10</v>
      </c>
      <c r="J329" s="3">
        <v>62</v>
      </c>
      <c r="K329" s="3">
        <f>+Treinamentos[[#This Row],[Alunos]]*Treinamentos[[#This Row],[Valor]]</f>
        <v>620</v>
      </c>
    </row>
    <row r="330" spans="1:11" x14ac:dyDescent="0.25">
      <c r="A330">
        <v>4683</v>
      </c>
      <c r="B330" s="1" t="s">
        <v>17</v>
      </c>
      <c r="C330" s="1" t="s">
        <v>52</v>
      </c>
      <c r="D330" s="2">
        <v>42646.791666666664</v>
      </c>
      <c r="E330" s="2">
        <v>42657.958333333336</v>
      </c>
      <c r="F330" s="1" t="s">
        <v>12</v>
      </c>
      <c r="G330" s="1" t="s">
        <v>32</v>
      </c>
      <c r="H330">
        <v>2</v>
      </c>
      <c r="I330">
        <v>8</v>
      </c>
      <c r="J330" s="3">
        <v>48</v>
      </c>
      <c r="K330" s="3">
        <f>+Treinamentos[[#This Row],[Alunos]]*Treinamentos[[#This Row],[Valor]]</f>
        <v>384</v>
      </c>
    </row>
    <row r="331" spans="1:11" x14ac:dyDescent="0.25">
      <c r="A331">
        <v>4684</v>
      </c>
      <c r="B331" s="1" t="s">
        <v>41</v>
      </c>
      <c r="C331" s="1" t="s">
        <v>61</v>
      </c>
      <c r="D331" s="2">
        <v>42647.791666666664</v>
      </c>
      <c r="E331" s="2">
        <v>42660.958333333336</v>
      </c>
      <c r="F331" s="1" t="s">
        <v>12</v>
      </c>
      <c r="G331" s="1" t="s">
        <v>33</v>
      </c>
      <c r="H331">
        <v>5</v>
      </c>
      <c r="I331">
        <v>10</v>
      </c>
      <c r="J331" s="3">
        <v>62</v>
      </c>
      <c r="K331" s="3">
        <f>+Treinamentos[[#This Row],[Alunos]]*Treinamentos[[#This Row],[Valor]]</f>
        <v>620</v>
      </c>
    </row>
    <row r="332" spans="1:11" x14ac:dyDescent="0.25">
      <c r="A332">
        <v>4685</v>
      </c>
      <c r="B332" s="1" t="s">
        <v>41</v>
      </c>
      <c r="C332" s="1" t="s">
        <v>56</v>
      </c>
      <c r="D332" s="2">
        <v>42648.583333333336</v>
      </c>
      <c r="E332" s="2">
        <v>42661.75</v>
      </c>
      <c r="F332" s="1" t="s">
        <v>21</v>
      </c>
      <c r="G332" s="1" t="s">
        <v>19</v>
      </c>
      <c r="H332">
        <v>2</v>
      </c>
      <c r="I332">
        <v>8</v>
      </c>
      <c r="J332" s="3">
        <v>63</v>
      </c>
      <c r="K332" s="3">
        <f>+Treinamentos[[#This Row],[Alunos]]*Treinamentos[[#This Row],[Valor]]</f>
        <v>504</v>
      </c>
    </row>
    <row r="333" spans="1:11" x14ac:dyDescent="0.25">
      <c r="A333">
        <v>4686</v>
      </c>
      <c r="B333" s="1" t="s">
        <v>25</v>
      </c>
      <c r="C333" s="1" t="s">
        <v>51</v>
      </c>
      <c r="D333" s="2">
        <v>42649.375</v>
      </c>
      <c r="E333" s="2">
        <v>42655.75</v>
      </c>
      <c r="F333" s="1" t="s">
        <v>21</v>
      </c>
      <c r="G333" s="1" t="s">
        <v>38</v>
      </c>
      <c r="H333">
        <v>5</v>
      </c>
      <c r="I333">
        <v>12</v>
      </c>
      <c r="J333" s="3">
        <v>62</v>
      </c>
      <c r="K333" s="3">
        <f>+Treinamentos[[#This Row],[Alunos]]*Treinamentos[[#This Row],[Valor]]</f>
        <v>744</v>
      </c>
    </row>
    <row r="334" spans="1:11" x14ac:dyDescent="0.25">
      <c r="A334">
        <v>4687</v>
      </c>
      <c r="B334" s="1" t="s">
        <v>17</v>
      </c>
      <c r="C334" s="1" t="s">
        <v>52</v>
      </c>
      <c r="D334" s="2">
        <v>42650.333333333336</v>
      </c>
      <c r="E334" s="2">
        <v>42663.5</v>
      </c>
      <c r="F334" s="1" t="s">
        <v>21</v>
      </c>
      <c r="G334" s="1" t="s">
        <v>46</v>
      </c>
      <c r="H334">
        <v>2</v>
      </c>
      <c r="I334">
        <v>10</v>
      </c>
      <c r="J334" s="3">
        <v>48</v>
      </c>
      <c r="K334" s="3">
        <f>+Treinamentos[[#This Row],[Alunos]]*Treinamentos[[#This Row],[Valor]]</f>
        <v>480</v>
      </c>
    </row>
    <row r="335" spans="1:11" x14ac:dyDescent="0.25">
      <c r="A335">
        <v>4688</v>
      </c>
      <c r="B335" s="1" t="s">
        <v>25</v>
      </c>
      <c r="C335" s="1" t="s">
        <v>49</v>
      </c>
      <c r="D335" s="2">
        <v>42651.375</v>
      </c>
      <c r="E335" s="2">
        <v>42656.75</v>
      </c>
      <c r="F335" s="1" t="s">
        <v>21</v>
      </c>
      <c r="G335" s="1" t="s">
        <v>48</v>
      </c>
      <c r="H335">
        <v>3</v>
      </c>
      <c r="I335">
        <v>11</v>
      </c>
      <c r="J335" s="3">
        <v>53</v>
      </c>
      <c r="K335" s="3">
        <f>+Treinamentos[[#This Row],[Alunos]]*Treinamentos[[#This Row],[Valor]]</f>
        <v>583</v>
      </c>
    </row>
    <row r="336" spans="1:11" x14ac:dyDescent="0.25">
      <c r="A336">
        <v>4689</v>
      </c>
      <c r="B336" s="1" t="s">
        <v>17</v>
      </c>
      <c r="C336" s="1" t="s">
        <v>49</v>
      </c>
      <c r="D336" s="2">
        <v>42653.791666666664</v>
      </c>
      <c r="E336" s="2">
        <v>42664.958333333336</v>
      </c>
      <c r="F336" s="1" t="s">
        <v>21</v>
      </c>
      <c r="G336" s="1" t="s">
        <v>48</v>
      </c>
      <c r="H336">
        <v>3</v>
      </c>
      <c r="I336">
        <v>8</v>
      </c>
      <c r="J336" s="3">
        <v>53</v>
      </c>
      <c r="K336" s="3">
        <f>+Treinamentos[[#This Row],[Alunos]]*Treinamentos[[#This Row],[Valor]]</f>
        <v>424</v>
      </c>
    </row>
    <row r="337" spans="1:11" x14ac:dyDescent="0.25">
      <c r="A337">
        <v>4690</v>
      </c>
      <c r="B337" s="1" t="s">
        <v>41</v>
      </c>
      <c r="C337" s="1" t="s">
        <v>52</v>
      </c>
      <c r="D337" s="2">
        <v>42653.791666666664</v>
      </c>
      <c r="E337" s="2">
        <v>42664.958333333336</v>
      </c>
      <c r="F337" s="1" t="s">
        <v>21</v>
      </c>
      <c r="G337" s="1" t="s">
        <v>47</v>
      </c>
      <c r="H337">
        <v>3</v>
      </c>
      <c r="I337">
        <v>8</v>
      </c>
      <c r="J337" s="3">
        <v>48</v>
      </c>
      <c r="K337" s="3">
        <f>+Treinamentos[[#This Row],[Alunos]]*Treinamentos[[#This Row],[Valor]]</f>
        <v>384</v>
      </c>
    </row>
    <row r="338" spans="1:11" x14ac:dyDescent="0.25">
      <c r="A338">
        <v>4691</v>
      </c>
      <c r="B338" s="1" t="s">
        <v>14</v>
      </c>
      <c r="C338" s="1" t="s">
        <v>58</v>
      </c>
      <c r="D338" s="2">
        <v>42654.791666666664</v>
      </c>
      <c r="E338" s="2">
        <v>42667.958333333336</v>
      </c>
      <c r="F338" s="1" t="s">
        <v>12</v>
      </c>
      <c r="G338" s="1" t="s">
        <v>24</v>
      </c>
      <c r="H338">
        <v>2</v>
      </c>
      <c r="I338">
        <v>8</v>
      </c>
      <c r="J338" s="3">
        <v>48</v>
      </c>
      <c r="K338" s="3">
        <f>+Treinamentos[[#This Row],[Alunos]]*Treinamentos[[#This Row],[Valor]]</f>
        <v>384</v>
      </c>
    </row>
    <row r="339" spans="1:11" x14ac:dyDescent="0.25">
      <c r="A339">
        <v>4692</v>
      </c>
      <c r="B339" s="1" t="s">
        <v>30</v>
      </c>
      <c r="C339" s="1" t="s">
        <v>50</v>
      </c>
      <c r="D339" s="2">
        <v>42655.583333333336</v>
      </c>
      <c r="E339" s="2">
        <v>42668.75</v>
      </c>
      <c r="F339" s="1" t="s">
        <v>21</v>
      </c>
      <c r="G339" s="1" t="s">
        <v>44</v>
      </c>
      <c r="H339">
        <v>2</v>
      </c>
      <c r="I339">
        <v>10</v>
      </c>
      <c r="J339" s="3">
        <v>35</v>
      </c>
      <c r="K339" s="3">
        <f>+Treinamentos[[#This Row],[Alunos]]*Treinamentos[[#This Row],[Valor]]</f>
        <v>350</v>
      </c>
    </row>
    <row r="340" spans="1:11" x14ac:dyDescent="0.25">
      <c r="A340">
        <v>4693</v>
      </c>
      <c r="B340" s="1" t="s">
        <v>41</v>
      </c>
      <c r="C340" s="1" t="s">
        <v>61</v>
      </c>
      <c r="D340" s="2">
        <v>42656.375</v>
      </c>
      <c r="E340" s="2">
        <v>42662.75</v>
      </c>
      <c r="F340" s="1" t="s">
        <v>21</v>
      </c>
      <c r="G340" s="1" t="s">
        <v>36</v>
      </c>
      <c r="H340">
        <v>2</v>
      </c>
      <c r="I340">
        <v>11</v>
      </c>
      <c r="J340" s="3">
        <v>62</v>
      </c>
      <c r="K340" s="3">
        <f>+Treinamentos[[#This Row],[Alunos]]*Treinamentos[[#This Row],[Valor]]</f>
        <v>682</v>
      </c>
    </row>
    <row r="341" spans="1:11" x14ac:dyDescent="0.25">
      <c r="A341">
        <v>4694</v>
      </c>
      <c r="B341" s="1" t="s">
        <v>10</v>
      </c>
      <c r="C341" s="1" t="s">
        <v>49</v>
      </c>
      <c r="D341" s="2">
        <v>42657.333333333336</v>
      </c>
      <c r="E341" s="2">
        <v>42670.5</v>
      </c>
      <c r="F341" s="1" t="s">
        <v>21</v>
      </c>
      <c r="G341" s="1" t="s">
        <v>47</v>
      </c>
      <c r="H341">
        <v>2</v>
      </c>
      <c r="I341">
        <v>11</v>
      </c>
      <c r="J341" s="3">
        <v>53</v>
      </c>
      <c r="K341" s="3">
        <f>+Treinamentos[[#This Row],[Alunos]]*Treinamentos[[#This Row],[Valor]]</f>
        <v>583</v>
      </c>
    </row>
    <row r="342" spans="1:11" x14ac:dyDescent="0.25">
      <c r="A342">
        <v>4695</v>
      </c>
      <c r="B342" s="1" t="s">
        <v>28</v>
      </c>
      <c r="C342" s="1" t="s">
        <v>61</v>
      </c>
      <c r="D342" s="2">
        <v>42658.375</v>
      </c>
      <c r="E342" s="2">
        <v>42663.75</v>
      </c>
      <c r="F342" s="1" t="s">
        <v>12</v>
      </c>
      <c r="G342" s="1" t="s">
        <v>48</v>
      </c>
      <c r="H342">
        <v>2</v>
      </c>
      <c r="I342">
        <v>8</v>
      </c>
      <c r="J342" s="3">
        <v>62</v>
      </c>
      <c r="K342" s="3">
        <f>+Treinamentos[[#This Row],[Alunos]]*Treinamentos[[#This Row],[Valor]]</f>
        <v>496</v>
      </c>
    </row>
    <row r="343" spans="1:11" x14ac:dyDescent="0.25">
      <c r="A343">
        <v>4696</v>
      </c>
      <c r="B343" s="1" t="s">
        <v>41</v>
      </c>
      <c r="C343" s="1" t="s">
        <v>60</v>
      </c>
      <c r="D343" s="2">
        <v>42660.791666666664</v>
      </c>
      <c r="E343" s="2">
        <v>42671.958333333336</v>
      </c>
      <c r="F343" s="1" t="s">
        <v>12</v>
      </c>
      <c r="G343" s="1" t="s">
        <v>24</v>
      </c>
      <c r="H343">
        <v>2</v>
      </c>
      <c r="I343">
        <v>9</v>
      </c>
      <c r="J343" s="3">
        <v>42</v>
      </c>
      <c r="K343" s="3">
        <f>+Treinamentos[[#This Row],[Alunos]]*Treinamentos[[#This Row],[Valor]]</f>
        <v>378</v>
      </c>
    </row>
    <row r="344" spans="1:11" x14ac:dyDescent="0.25">
      <c r="A344">
        <v>4697</v>
      </c>
      <c r="B344" s="1" t="s">
        <v>14</v>
      </c>
      <c r="C344" s="1" t="s">
        <v>57</v>
      </c>
      <c r="D344" s="2">
        <v>42660.791666666664</v>
      </c>
      <c r="E344" s="2">
        <v>42671.958333333336</v>
      </c>
      <c r="F344" s="1" t="s">
        <v>21</v>
      </c>
      <c r="G344" s="1" t="s">
        <v>33</v>
      </c>
      <c r="H344">
        <v>3</v>
      </c>
      <c r="I344">
        <v>10</v>
      </c>
      <c r="J344" s="3">
        <v>52</v>
      </c>
      <c r="K344" s="3">
        <f>+Treinamentos[[#This Row],[Alunos]]*Treinamentos[[#This Row],[Valor]]</f>
        <v>520</v>
      </c>
    </row>
    <row r="345" spans="1:11" x14ac:dyDescent="0.25">
      <c r="A345">
        <v>4698</v>
      </c>
      <c r="B345" s="1" t="s">
        <v>28</v>
      </c>
      <c r="C345" s="1" t="s">
        <v>49</v>
      </c>
      <c r="D345" s="2">
        <v>42661.791666666664</v>
      </c>
      <c r="E345" s="2">
        <v>42674.958333333336</v>
      </c>
      <c r="F345" s="1" t="s">
        <v>21</v>
      </c>
      <c r="G345" s="1" t="s">
        <v>32</v>
      </c>
      <c r="H345">
        <v>3</v>
      </c>
      <c r="I345">
        <v>12</v>
      </c>
      <c r="J345" s="3">
        <v>53</v>
      </c>
      <c r="K345" s="3">
        <f>+Treinamentos[[#This Row],[Alunos]]*Treinamentos[[#This Row],[Valor]]</f>
        <v>636</v>
      </c>
    </row>
    <row r="346" spans="1:11" x14ac:dyDescent="0.25">
      <c r="A346">
        <v>4699</v>
      </c>
      <c r="B346" s="1" t="s">
        <v>28</v>
      </c>
      <c r="C346" s="1" t="s">
        <v>50</v>
      </c>
      <c r="D346" s="2">
        <v>42662.583333333336</v>
      </c>
      <c r="E346" s="2">
        <v>42675.75</v>
      </c>
      <c r="F346" s="1" t="s">
        <v>21</v>
      </c>
      <c r="G346" s="1" t="s">
        <v>44</v>
      </c>
      <c r="H346">
        <v>2</v>
      </c>
      <c r="I346">
        <v>11</v>
      </c>
      <c r="J346" s="3">
        <v>35</v>
      </c>
      <c r="K346" s="3">
        <f>+Treinamentos[[#This Row],[Alunos]]*Treinamentos[[#This Row],[Valor]]</f>
        <v>385</v>
      </c>
    </row>
    <row r="347" spans="1:11" x14ac:dyDescent="0.25">
      <c r="A347">
        <v>4700</v>
      </c>
      <c r="B347" s="1" t="s">
        <v>30</v>
      </c>
      <c r="C347" s="1" t="s">
        <v>61</v>
      </c>
      <c r="D347" s="2">
        <v>42663.375</v>
      </c>
      <c r="E347" s="2">
        <v>42669.75</v>
      </c>
      <c r="F347" s="1" t="s">
        <v>12</v>
      </c>
      <c r="G347" s="1" t="s">
        <v>24</v>
      </c>
      <c r="H347">
        <v>3</v>
      </c>
      <c r="I347">
        <v>10</v>
      </c>
      <c r="J347" s="3">
        <v>62</v>
      </c>
      <c r="K347" s="3">
        <f>+Treinamentos[[#This Row],[Alunos]]*Treinamentos[[#This Row],[Valor]]</f>
        <v>620</v>
      </c>
    </row>
    <row r="348" spans="1:11" x14ac:dyDescent="0.25">
      <c r="A348">
        <v>4701</v>
      </c>
      <c r="B348" s="1" t="s">
        <v>17</v>
      </c>
      <c r="C348" s="1" t="s">
        <v>53</v>
      </c>
      <c r="D348" s="2">
        <v>42664.333333333336</v>
      </c>
      <c r="E348" s="2">
        <v>42677.5</v>
      </c>
      <c r="F348" s="1" t="s">
        <v>12</v>
      </c>
      <c r="G348" s="1" t="s">
        <v>33</v>
      </c>
      <c r="H348">
        <v>2</v>
      </c>
      <c r="I348">
        <v>10</v>
      </c>
      <c r="J348" s="3">
        <v>32</v>
      </c>
      <c r="K348" s="3">
        <f>+Treinamentos[[#This Row],[Alunos]]*Treinamentos[[#This Row],[Valor]]</f>
        <v>320</v>
      </c>
    </row>
    <row r="349" spans="1:11" x14ac:dyDescent="0.25">
      <c r="A349">
        <v>4702</v>
      </c>
      <c r="B349" s="1" t="s">
        <v>30</v>
      </c>
      <c r="C349" s="1" t="s">
        <v>53</v>
      </c>
      <c r="D349" s="2">
        <v>42665.375</v>
      </c>
      <c r="E349" s="2">
        <v>42670.75</v>
      </c>
      <c r="F349" s="1" t="s">
        <v>12</v>
      </c>
      <c r="G349" s="1" t="s">
        <v>34</v>
      </c>
      <c r="H349">
        <v>5</v>
      </c>
      <c r="I349">
        <v>11</v>
      </c>
      <c r="J349" s="3">
        <v>32</v>
      </c>
      <c r="K349" s="3">
        <f>+Treinamentos[[#This Row],[Alunos]]*Treinamentos[[#This Row],[Valor]]</f>
        <v>352</v>
      </c>
    </row>
    <row r="350" spans="1:11" x14ac:dyDescent="0.25">
      <c r="A350">
        <v>4703</v>
      </c>
      <c r="B350" s="1" t="s">
        <v>17</v>
      </c>
      <c r="C350" s="1" t="s">
        <v>50</v>
      </c>
      <c r="D350" s="2">
        <v>42667.791666666664</v>
      </c>
      <c r="E350" s="2">
        <v>42678.958333333336</v>
      </c>
      <c r="F350" s="1" t="s">
        <v>21</v>
      </c>
      <c r="G350" s="1" t="s">
        <v>34</v>
      </c>
      <c r="H350">
        <v>2</v>
      </c>
      <c r="I350">
        <v>10</v>
      </c>
      <c r="J350" s="3">
        <v>35</v>
      </c>
      <c r="K350" s="3">
        <f>+Treinamentos[[#This Row],[Alunos]]*Treinamentos[[#This Row],[Valor]]</f>
        <v>350</v>
      </c>
    </row>
    <row r="351" spans="1:11" x14ac:dyDescent="0.25">
      <c r="A351">
        <v>4704</v>
      </c>
      <c r="B351" s="1" t="s">
        <v>25</v>
      </c>
      <c r="C351" s="1" t="s">
        <v>53</v>
      </c>
      <c r="D351" s="2">
        <v>42667.791666666664</v>
      </c>
      <c r="E351" s="2">
        <v>42678.958333333336</v>
      </c>
      <c r="F351" s="1" t="s">
        <v>12</v>
      </c>
      <c r="G351" s="1" t="s">
        <v>22</v>
      </c>
      <c r="H351">
        <v>3</v>
      </c>
      <c r="I351">
        <v>10</v>
      </c>
      <c r="J351" s="3">
        <v>32</v>
      </c>
      <c r="K351" s="3">
        <f>+Treinamentos[[#This Row],[Alunos]]*Treinamentos[[#This Row],[Valor]]</f>
        <v>320</v>
      </c>
    </row>
    <row r="352" spans="1:11" x14ac:dyDescent="0.25">
      <c r="A352">
        <v>4705</v>
      </c>
      <c r="B352" s="1" t="s">
        <v>41</v>
      </c>
      <c r="C352" s="1" t="s">
        <v>54</v>
      </c>
      <c r="D352" s="2">
        <v>42668.791666666664</v>
      </c>
      <c r="E352" s="2">
        <v>42681.958333333336</v>
      </c>
      <c r="F352" s="1" t="s">
        <v>12</v>
      </c>
      <c r="G352" s="1" t="s">
        <v>42</v>
      </c>
      <c r="H352">
        <v>2</v>
      </c>
      <c r="I352">
        <v>11</v>
      </c>
      <c r="J352" s="3">
        <v>43</v>
      </c>
      <c r="K352" s="3">
        <f>+Treinamentos[[#This Row],[Alunos]]*Treinamentos[[#This Row],[Valor]]</f>
        <v>473</v>
      </c>
    </row>
    <row r="353" spans="1:11" x14ac:dyDescent="0.25">
      <c r="A353">
        <v>4706</v>
      </c>
      <c r="B353" s="1" t="s">
        <v>37</v>
      </c>
      <c r="C353" s="1" t="s">
        <v>53</v>
      </c>
      <c r="D353" s="2">
        <v>42669.583333333336</v>
      </c>
      <c r="E353" s="2">
        <v>42682.75</v>
      </c>
      <c r="F353" s="1" t="s">
        <v>12</v>
      </c>
      <c r="G353" s="1" t="s">
        <v>42</v>
      </c>
      <c r="H353">
        <v>2</v>
      </c>
      <c r="I353">
        <v>10</v>
      </c>
      <c r="J353" s="3">
        <v>32</v>
      </c>
      <c r="K353" s="3">
        <f>+Treinamentos[[#This Row],[Alunos]]*Treinamentos[[#This Row],[Valor]]</f>
        <v>320</v>
      </c>
    </row>
    <row r="354" spans="1:11" x14ac:dyDescent="0.25">
      <c r="A354">
        <v>4707</v>
      </c>
      <c r="B354" s="1" t="s">
        <v>41</v>
      </c>
      <c r="C354" s="1" t="s">
        <v>53</v>
      </c>
      <c r="D354" s="2">
        <v>42670.375</v>
      </c>
      <c r="E354" s="2">
        <v>42676.75</v>
      </c>
      <c r="F354" s="1" t="s">
        <v>12</v>
      </c>
      <c r="G354" s="1" t="s">
        <v>47</v>
      </c>
      <c r="H354">
        <v>5</v>
      </c>
      <c r="I354">
        <v>11</v>
      </c>
      <c r="J354" s="3">
        <v>32</v>
      </c>
      <c r="K354" s="3">
        <f>+Treinamentos[[#This Row],[Alunos]]*Treinamentos[[#This Row],[Valor]]</f>
        <v>352</v>
      </c>
    </row>
    <row r="355" spans="1:11" x14ac:dyDescent="0.25">
      <c r="A355">
        <v>4708</v>
      </c>
      <c r="B355" s="1" t="s">
        <v>25</v>
      </c>
      <c r="C355" s="1" t="s">
        <v>51</v>
      </c>
      <c r="D355" s="2">
        <v>42671.333333333336</v>
      </c>
      <c r="E355" s="2">
        <v>42684.5</v>
      </c>
      <c r="F355" s="1" t="s">
        <v>21</v>
      </c>
      <c r="G355" s="1" t="s">
        <v>19</v>
      </c>
      <c r="H355">
        <v>3</v>
      </c>
      <c r="I355">
        <v>9</v>
      </c>
      <c r="J355" s="3">
        <v>62</v>
      </c>
      <c r="K355" s="3">
        <f>+Treinamentos[[#This Row],[Alunos]]*Treinamentos[[#This Row],[Valor]]</f>
        <v>558</v>
      </c>
    </row>
    <row r="356" spans="1:11" x14ac:dyDescent="0.25">
      <c r="A356">
        <v>4709</v>
      </c>
      <c r="B356" s="1" t="s">
        <v>10</v>
      </c>
      <c r="C356" s="1" t="s">
        <v>58</v>
      </c>
      <c r="D356" s="2">
        <v>42672.375</v>
      </c>
      <c r="E356" s="2">
        <v>42677.75</v>
      </c>
      <c r="F356" s="1" t="s">
        <v>21</v>
      </c>
      <c r="G356" s="1" t="s">
        <v>36</v>
      </c>
      <c r="H356">
        <v>5</v>
      </c>
      <c r="I356">
        <v>10</v>
      </c>
      <c r="J356" s="3">
        <v>48</v>
      </c>
      <c r="K356" s="3">
        <f>+Treinamentos[[#This Row],[Alunos]]*Treinamentos[[#This Row],[Valor]]</f>
        <v>480</v>
      </c>
    </row>
    <row r="357" spans="1:11" x14ac:dyDescent="0.25">
      <c r="A357">
        <v>4710</v>
      </c>
      <c r="B357" s="1" t="s">
        <v>30</v>
      </c>
      <c r="C357" s="1" t="s">
        <v>54</v>
      </c>
      <c r="D357" s="2">
        <v>42674.791666666664</v>
      </c>
      <c r="E357" s="2">
        <v>42685.958333333336</v>
      </c>
      <c r="F357" s="1" t="s">
        <v>12</v>
      </c>
      <c r="G357" s="1" t="s">
        <v>24</v>
      </c>
      <c r="H357">
        <v>2</v>
      </c>
      <c r="I357">
        <v>10</v>
      </c>
      <c r="J357" s="3">
        <v>43</v>
      </c>
      <c r="K357" s="3">
        <f>+Treinamentos[[#This Row],[Alunos]]*Treinamentos[[#This Row],[Valor]]</f>
        <v>430</v>
      </c>
    </row>
    <row r="358" spans="1:11" x14ac:dyDescent="0.25">
      <c r="A358">
        <v>4711</v>
      </c>
      <c r="B358" s="1" t="s">
        <v>10</v>
      </c>
      <c r="C358" s="1" t="s">
        <v>51</v>
      </c>
      <c r="D358" s="2">
        <v>42674.791666666664</v>
      </c>
      <c r="E358" s="2">
        <v>42685.958333333336</v>
      </c>
      <c r="F358" s="1" t="s">
        <v>12</v>
      </c>
      <c r="G358" s="1" t="s">
        <v>22</v>
      </c>
      <c r="H358">
        <v>5</v>
      </c>
      <c r="I358">
        <v>12</v>
      </c>
      <c r="J358" s="3">
        <v>62</v>
      </c>
      <c r="K358" s="3">
        <f>+Treinamentos[[#This Row],[Alunos]]*Treinamentos[[#This Row],[Valor]]</f>
        <v>744</v>
      </c>
    </row>
    <row r="359" spans="1:11" x14ac:dyDescent="0.25">
      <c r="A359">
        <v>4712</v>
      </c>
      <c r="B359" s="1" t="s">
        <v>28</v>
      </c>
      <c r="C359" s="1" t="s">
        <v>60</v>
      </c>
      <c r="D359" s="2">
        <v>42675.791666666664</v>
      </c>
      <c r="E359" s="2">
        <v>42688.958333333336</v>
      </c>
      <c r="F359" s="1" t="s">
        <v>21</v>
      </c>
      <c r="G359" s="1" t="s">
        <v>34</v>
      </c>
      <c r="H359">
        <v>3</v>
      </c>
      <c r="I359">
        <v>9</v>
      </c>
      <c r="J359" s="3">
        <v>42</v>
      </c>
      <c r="K359" s="3">
        <f>+Treinamentos[[#This Row],[Alunos]]*Treinamentos[[#This Row],[Valor]]</f>
        <v>378</v>
      </c>
    </row>
    <row r="360" spans="1:11" x14ac:dyDescent="0.25">
      <c r="A360">
        <v>4713</v>
      </c>
      <c r="B360" s="1" t="s">
        <v>37</v>
      </c>
      <c r="C360" s="1" t="s">
        <v>49</v>
      </c>
      <c r="D360" s="2">
        <v>42676.583333333336</v>
      </c>
      <c r="E360" s="2">
        <v>42689.75</v>
      </c>
      <c r="F360" s="1" t="s">
        <v>21</v>
      </c>
      <c r="G360" s="1" t="s">
        <v>16</v>
      </c>
      <c r="H360">
        <v>4</v>
      </c>
      <c r="I360">
        <v>10</v>
      </c>
      <c r="J360" s="3">
        <v>53</v>
      </c>
      <c r="K360" s="3">
        <f>+Treinamentos[[#This Row],[Alunos]]*Treinamentos[[#This Row],[Valor]]</f>
        <v>530</v>
      </c>
    </row>
    <row r="361" spans="1:11" x14ac:dyDescent="0.25">
      <c r="A361">
        <v>4714</v>
      </c>
      <c r="B361" s="1" t="s">
        <v>10</v>
      </c>
      <c r="C361" s="1" t="s">
        <v>52</v>
      </c>
      <c r="D361" s="2">
        <v>42677.375</v>
      </c>
      <c r="E361" s="2">
        <v>42683.75</v>
      </c>
      <c r="F361" s="1" t="s">
        <v>12</v>
      </c>
      <c r="G361" s="1" t="s">
        <v>16</v>
      </c>
      <c r="H361">
        <v>2</v>
      </c>
      <c r="I361">
        <v>12</v>
      </c>
      <c r="J361" s="3">
        <v>48</v>
      </c>
      <c r="K361" s="3">
        <f>+Treinamentos[[#This Row],[Alunos]]*Treinamentos[[#This Row],[Valor]]</f>
        <v>576</v>
      </c>
    </row>
    <row r="362" spans="1:11" x14ac:dyDescent="0.25">
      <c r="A362">
        <v>4715</v>
      </c>
      <c r="B362" s="1" t="s">
        <v>25</v>
      </c>
      <c r="C362" s="1" t="s">
        <v>58</v>
      </c>
      <c r="D362" s="2">
        <v>42678.333333333336</v>
      </c>
      <c r="E362" s="2">
        <v>42691.5</v>
      </c>
      <c r="F362" s="1" t="s">
        <v>12</v>
      </c>
      <c r="G362" s="1" t="s">
        <v>19</v>
      </c>
      <c r="H362">
        <v>4</v>
      </c>
      <c r="I362">
        <v>8</v>
      </c>
      <c r="J362" s="3">
        <v>48</v>
      </c>
      <c r="K362" s="3">
        <f>+Treinamentos[[#This Row],[Alunos]]*Treinamentos[[#This Row],[Valor]]</f>
        <v>384</v>
      </c>
    </row>
    <row r="363" spans="1:11" x14ac:dyDescent="0.25">
      <c r="A363">
        <v>4716</v>
      </c>
      <c r="B363" s="1" t="s">
        <v>41</v>
      </c>
      <c r="C363" s="1" t="s">
        <v>53</v>
      </c>
      <c r="D363" s="2">
        <v>42679.375</v>
      </c>
      <c r="E363" s="2">
        <v>42684.75</v>
      </c>
      <c r="F363" s="1" t="s">
        <v>12</v>
      </c>
      <c r="G363" s="1" t="s">
        <v>34</v>
      </c>
      <c r="H363">
        <v>4</v>
      </c>
      <c r="I363">
        <v>9</v>
      </c>
      <c r="J363" s="3">
        <v>32</v>
      </c>
      <c r="K363" s="3">
        <f>+Treinamentos[[#This Row],[Alunos]]*Treinamentos[[#This Row],[Valor]]</f>
        <v>288</v>
      </c>
    </row>
    <row r="364" spans="1:11" x14ac:dyDescent="0.25">
      <c r="A364">
        <v>4717</v>
      </c>
      <c r="B364" s="1" t="s">
        <v>28</v>
      </c>
      <c r="C364" s="1" t="s">
        <v>53</v>
      </c>
      <c r="D364" s="2">
        <v>42681.791666666664</v>
      </c>
      <c r="E364" s="2">
        <v>42692.958333333336</v>
      </c>
      <c r="F364" s="1" t="s">
        <v>12</v>
      </c>
      <c r="G364" s="1" t="s">
        <v>34</v>
      </c>
      <c r="H364">
        <v>4</v>
      </c>
      <c r="I364">
        <v>12</v>
      </c>
      <c r="J364" s="3">
        <v>32</v>
      </c>
      <c r="K364" s="3">
        <f>+Treinamentos[[#This Row],[Alunos]]*Treinamentos[[#This Row],[Valor]]</f>
        <v>384</v>
      </c>
    </row>
    <row r="365" spans="1:11" x14ac:dyDescent="0.25">
      <c r="A365">
        <v>4718</v>
      </c>
      <c r="B365" s="1" t="s">
        <v>30</v>
      </c>
      <c r="C365" s="1" t="s">
        <v>57</v>
      </c>
      <c r="D365" s="2">
        <v>42681.791666666664</v>
      </c>
      <c r="E365" s="2">
        <v>42692.958333333336</v>
      </c>
      <c r="F365" s="1" t="s">
        <v>12</v>
      </c>
      <c r="G365" s="1" t="s">
        <v>19</v>
      </c>
      <c r="H365">
        <v>2</v>
      </c>
      <c r="I365">
        <v>10</v>
      </c>
      <c r="J365" s="3">
        <v>52</v>
      </c>
      <c r="K365" s="3">
        <f>+Treinamentos[[#This Row],[Alunos]]*Treinamentos[[#This Row],[Valor]]</f>
        <v>520</v>
      </c>
    </row>
    <row r="366" spans="1:11" x14ac:dyDescent="0.25">
      <c r="A366">
        <v>4719</v>
      </c>
      <c r="B366" s="1" t="s">
        <v>37</v>
      </c>
      <c r="C366" s="1" t="s">
        <v>54</v>
      </c>
      <c r="D366" s="2">
        <v>42682.791666666664</v>
      </c>
      <c r="E366" s="2">
        <v>42695.958333333336</v>
      </c>
      <c r="F366" s="1" t="s">
        <v>21</v>
      </c>
      <c r="G366" s="1" t="s">
        <v>32</v>
      </c>
      <c r="H366">
        <v>2</v>
      </c>
      <c r="I366">
        <v>9</v>
      </c>
      <c r="J366" s="3">
        <v>43</v>
      </c>
      <c r="K366" s="3">
        <f>+Treinamentos[[#This Row],[Alunos]]*Treinamentos[[#This Row],[Valor]]</f>
        <v>387</v>
      </c>
    </row>
    <row r="367" spans="1:11" x14ac:dyDescent="0.25">
      <c r="A367">
        <v>4720</v>
      </c>
      <c r="B367" s="1" t="s">
        <v>17</v>
      </c>
      <c r="C367" s="1" t="s">
        <v>61</v>
      </c>
      <c r="D367" s="2">
        <v>42683.583333333336</v>
      </c>
      <c r="E367" s="2">
        <v>42696.75</v>
      </c>
      <c r="F367" s="1" t="s">
        <v>12</v>
      </c>
      <c r="G367" s="1" t="s">
        <v>42</v>
      </c>
      <c r="H367">
        <v>3</v>
      </c>
      <c r="I367">
        <v>11</v>
      </c>
      <c r="J367" s="3">
        <v>62</v>
      </c>
      <c r="K367" s="3">
        <f>+Treinamentos[[#This Row],[Alunos]]*Treinamentos[[#This Row],[Valor]]</f>
        <v>682</v>
      </c>
    </row>
    <row r="368" spans="1:11" x14ac:dyDescent="0.25">
      <c r="A368">
        <v>4721</v>
      </c>
      <c r="B368" s="1" t="s">
        <v>41</v>
      </c>
      <c r="C368" s="1" t="s">
        <v>53</v>
      </c>
      <c r="D368" s="2">
        <v>42684.375</v>
      </c>
      <c r="E368" s="2">
        <v>42690.75</v>
      </c>
      <c r="F368" s="1" t="s">
        <v>21</v>
      </c>
      <c r="G368" s="1" t="s">
        <v>24</v>
      </c>
      <c r="H368">
        <v>3</v>
      </c>
      <c r="I368">
        <v>9</v>
      </c>
      <c r="J368" s="3">
        <v>32</v>
      </c>
      <c r="K368" s="3">
        <f>+Treinamentos[[#This Row],[Alunos]]*Treinamentos[[#This Row],[Valor]]</f>
        <v>288</v>
      </c>
    </row>
    <row r="369" spans="1:11" x14ac:dyDescent="0.25">
      <c r="A369">
        <v>4722</v>
      </c>
      <c r="B369" s="1" t="s">
        <v>28</v>
      </c>
      <c r="C369" s="1" t="s">
        <v>59</v>
      </c>
      <c r="D369" s="2">
        <v>42685.333333333336</v>
      </c>
      <c r="E369" s="2">
        <v>42698.5</v>
      </c>
      <c r="F369" s="1" t="s">
        <v>21</v>
      </c>
      <c r="G369" s="1" t="s">
        <v>24</v>
      </c>
      <c r="H369">
        <v>4</v>
      </c>
      <c r="I369">
        <v>10</v>
      </c>
      <c r="J369" s="3">
        <v>48</v>
      </c>
      <c r="K369" s="3">
        <f>+Treinamentos[[#This Row],[Alunos]]*Treinamentos[[#This Row],[Valor]]</f>
        <v>480</v>
      </c>
    </row>
    <row r="370" spans="1:11" x14ac:dyDescent="0.25">
      <c r="A370">
        <v>4723</v>
      </c>
      <c r="B370" s="1" t="s">
        <v>37</v>
      </c>
      <c r="C370" s="1" t="s">
        <v>53</v>
      </c>
      <c r="D370" s="2">
        <v>42686.375</v>
      </c>
      <c r="E370" s="2">
        <v>42691.75</v>
      </c>
      <c r="F370" s="1" t="s">
        <v>21</v>
      </c>
      <c r="G370" s="1" t="s">
        <v>33</v>
      </c>
      <c r="H370">
        <v>4</v>
      </c>
      <c r="I370">
        <v>12</v>
      </c>
      <c r="J370" s="3">
        <v>32</v>
      </c>
      <c r="K370" s="3">
        <f>+Treinamentos[[#This Row],[Alunos]]*Treinamentos[[#This Row],[Valor]]</f>
        <v>384</v>
      </c>
    </row>
    <row r="371" spans="1:11" x14ac:dyDescent="0.25">
      <c r="A371">
        <v>4724</v>
      </c>
      <c r="B371" s="1" t="s">
        <v>16</v>
      </c>
      <c r="C371" s="1" t="s">
        <v>53</v>
      </c>
      <c r="D371" s="2">
        <v>42688.791666666664</v>
      </c>
      <c r="E371" s="2">
        <v>42699.958333333336</v>
      </c>
      <c r="F371" s="1" t="s">
        <v>21</v>
      </c>
      <c r="G371" s="1" t="s">
        <v>42</v>
      </c>
      <c r="H371">
        <v>4</v>
      </c>
      <c r="I371">
        <v>12</v>
      </c>
      <c r="J371" s="3">
        <v>32</v>
      </c>
      <c r="K371" s="3">
        <f>+Treinamentos[[#This Row],[Alunos]]*Treinamentos[[#This Row],[Valor]]</f>
        <v>384</v>
      </c>
    </row>
    <row r="372" spans="1:11" x14ac:dyDescent="0.25">
      <c r="A372">
        <v>4725</v>
      </c>
      <c r="B372" s="1" t="s">
        <v>37</v>
      </c>
      <c r="C372" s="1" t="s">
        <v>57</v>
      </c>
      <c r="D372" s="2">
        <v>42688.791666666664</v>
      </c>
      <c r="E372" s="2">
        <v>42699.958333333336</v>
      </c>
      <c r="F372" s="1" t="s">
        <v>21</v>
      </c>
      <c r="G372" s="1" t="s">
        <v>19</v>
      </c>
      <c r="H372">
        <v>4</v>
      </c>
      <c r="I372">
        <v>11</v>
      </c>
      <c r="J372" s="3">
        <v>52</v>
      </c>
      <c r="K372" s="3">
        <f>+Treinamentos[[#This Row],[Alunos]]*Treinamentos[[#This Row],[Valor]]</f>
        <v>572</v>
      </c>
    </row>
    <row r="373" spans="1:11" x14ac:dyDescent="0.25">
      <c r="A373">
        <v>4726</v>
      </c>
      <c r="B373" s="1" t="s">
        <v>17</v>
      </c>
      <c r="C373" s="1" t="s">
        <v>61</v>
      </c>
      <c r="D373" s="2">
        <v>42689.791666666664</v>
      </c>
      <c r="E373" s="2">
        <v>42702.958333333336</v>
      </c>
      <c r="F373" s="1" t="s">
        <v>12</v>
      </c>
      <c r="G373" s="1" t="s">
        <v>44</v>
      </c>
      <c r="H373">
        <v>2</v>
      </c>
      <c r="I373">
        <v>9</v>
      </c>
      <c r="J373" s="3">
        <v>62</v>
      </c>
      <c r="K373" s="3">
        <f>+Treinamentos[[#This Row],[Alunos]]*Treinamentos[[#This Row],[Valor]]</f>
        <v>558</v>
      </c>
    </row>
    <row r="374" spans="1:11" x14ac:dyDescent="0.25">
      <c r="A374">
        <v>4727</v>
      </c>
      <c r="B374" s="1" t="s">
        <v>30</v>
      </c>
      <c r="C374" s="1" t="s">
        <v>50</v>
      </c>
      <c r="D374" s="2">
        <v>42690.583333333336</v>
      </c>
      <c r="E374" s="2">
        <v>42703.75</v>
      </c>
      <c r="F374" s="1" t="s">
        <v>21</v>
      </c>
      <c r="G374" s="1" t="s">
        <v>34</v>
      </c>
      <c r="H374">
        <v>3</v>
      </c>
      <c r="I374">
        <v>10</v>
      </c>
      <c r="J374" s="3">
        <v>35</v>
      </c>
      <c r="K374" s="3">
        <f>+Treinamentos[[#This Row],[Alunos]]*Treinamentos[[#This Row],[Valor]]</f>
        <v>350</v>
      </c>
    </row>
    <row r="375" spans="1:11" x14ac:dyDescent="0.25">
      <c r="A375">
        <v>4728</v>
      </c>
      <c r="B375" s="1" t="s">
        <v>25</v>
      </c>
      <c r="C375" s="1" t="s">
        <v>52</v>
      </c>
      <c r="D375" s="2">
        <v>42691.375</v>
      </c>
      <c r="E375" s="2">
        <v>42697.75</v>
      </c>
      <c r="F375" s="1" t="s">
        <v>21</v>
      </c>
      <c r="G375" s="1" t="s">
        <v>36</v>
      </c>
      <c r="H375">
        <v>3</v>
      </c>
      <c r="I375">
        <v>12</v>
      </c>
      <c r="J375" s="3">
        <v>48</v>
      </c>
      <c r="K375" s="3">
        <f>+Treinamentos[[#This Row],[Alunos]]*Treinamentos[[#This Row],[Valor]]</f>
        <v>576</v>
      </c>
    </row>
    <row r="376" spans="1:11" x14ac:dyDescent="0.25">
      <c r="A376">
        <v>4729</v>
      </c>
      <c r="B376" s="1" t="s">
        <v>16</v>
      </c>
      <c r="C376" s="1" t="s">
        <v>53</v>
      </c>
      <c r="D376" s="2">
        <v>42692.333333333336</v>
      </c>
      <c r="E376" s="2">
        <v>42705.5</v>
      </c>
      <c r="F376" s="1" t="s">
        <v>12</v>
      </c>
      <c r="G376" s="1" t="s">
        <v>19</v>
      </c>
      <c r="H376">
        <v>3</v>
      </c>
      <c r="I376">
        <v>11</v>
      </c>
      <c r="J376" s="3">
        <v>32</v>
      </c>
      <c r="K376" s="3">
        <f>+Treinamentos[[#This Row],[Alunos]]*Treinamentos[[#This Row],[Valor]]</f>
        <v>352</v>
      </c>
    </row>
    <row r="377" spans="1:11" x14ac:dyDescent="0.25">
      <c r="A377">
        <v>4730</v>
      </c>
      <c r="B377" s="1" t="s">
        <v>41</v>
      </c>
      <c r="C377" s="1" t="s">
        <v>55</v>
      </c>
      <c r="D377" s="2">
        <v>42693.375</v>
      </c>
      <c r="E377" s="2">
        <v>42698.75</v>
      </c>
      <c r="F377" s="1" t="s">
        <v>12</v>
      </c>
      <c r="G377" s="1" t="s">
        <v>42</v>
      </c>
      <c r="H377">
        <v>5</v>
      </c>
      <c r="I377">
        <v>9</v>
      </c>
      <c r="J377" s="3">
        <v>75</v>
      </c>
      <c r="K377" s="3">
        <f>+Treinamentos[[#This Row],[Alunos]]*Treinamentos[[#This Row],[Valor]]</f>
        <v>675</v>
      </c>
    </row>
    <row r="378" spans="1:11" x14ac:dyDescent="0.25">
      <c r="A378">
        <v>4731</v>
      </c>
      <c r="B378" s="1" t="s">
        <v>25</v>
      </c>
      <c r="C378" s="1" t="s">
        <v>51</v>
      </c>
      <c r="D378" s="2">
        <v>42695.791666666664</v>
      </c>
      <c r="E378" s="2">
        <v>42706.958333333336</v>
      </c>
      <c r="F378" s="1" t="s">
        <v>12</v>
      </c>
      <c r="G378" s="1" t="s">
        <v>24</v>
      </c>
      <c r="H378">
        <v>2</v>
      </c>
      <c r="I378">
        <v>9</v>
      </c>
      <c r="J378" s="3">
        <v>62</v>
      </c>
      <c r="K378" s="3">
        <f>+Treinamentos[[#This Row],[Alunos]]*Treinamentos[[#This Row],[Valor]]</f>
        <v>558</v>
      </c>
    </row>
    <row r="379" spans="1:11" x14ac:dyDescent="0.25">
      <c r="A379">
        <v>4732</v>
      </c>
      <c r="B379" s="1" t="s">
        <v>28</v>
      </c>
      <c r="C379" s="1" t="s">
        <v>52</v>
      </c>
      <c r="D379" s="2">
        <v>42695.791666666664</v>
      </c>
      <c r="E379" s="2">
        <v>42706.958333333336</v>
      </c>
      <c r="F379" s="1" t="s">
        <v>12</v>
      </c>
      <c r="G379" s="1" t="s">
        <v>34</v>
      </c>
      <c r="I379">
        <v>12</v>
      </c>
      <c r="J379" s="3">
        <v>48</v>
      </c>
      <c r="K379" s="3">
        <f>+Treinamentos[[#This Row],[Alunos]]*Treinamentos[[#This Row],[Valor]]</f>
        <v>576</v>
      </c>
    </row>
    <row r="380" spans="1:11" x14ac:dyDescent="0.25">
      <c r="A380">
        <v>4733</v>
      </c>
      <c r="B380" s="1" t="s">
        <v>25</v>
      </c>
      <c r="C380" s="1" t="s">
        <v>55</v>
      </c>
      <c r="D380" s="2">
        <v>42696.791666666664</v>
      </c>
      <c r="E380" s="2">
        <v>42709.958333333336</v>
      </c>
      <c r="F380" s="1" t="s">
        <v>21</v>
      </c>
      <c r="G380" s="1" t="s">
        <v>33</v>
      </c>
      <c r="H380">
        <v>4</v>
      </c>
      <c r="I380">
        <v>8</v>
      </c>
      <c r="J380" s="3">
        <v>75</v>
      </c>
      <c r="K380" s="3">
        <f>+Treinamentos[[#This Row],[Alunos]]*Treinamentos[[#This Row],[Valor]]</f>
        <v>600</v>
      </c>
    </row>
    <row r="381" spans="1:11" x14ac:dyDescent="0.25">
      <c r="A381">
        <v>4734</v>
      </c>
      <c r="B381" s="1" t="s">
        <v>10</v>
      </c>
      <c r="C381" s="1" t="s">
        <v>58</v>
      </c>
      <c r="D381" s="2">
        <v>42697.583333333336</v>
      </c>
      <c r="E381" s="2">
        <v>42710.75</v>
      </c>
      <c r="F381" s="1" t="s">
        <v>12</v>
      </c>
      <c r="G381" s="1" t="s">
        <v>46</v>
      </c>
      <c r="H381">
        <v>4</v>
      </c>
      <c r="I381">
        <v>9</v>
      </c>
      <c r="J381" s="3">
        <v>48</v>
      </c>
      <c r="K381" s="3">
        <f>+Treinamentos[[#This Row],[Alunos]]*Treinamentos[[#This Row],[Valor]]</f>
        <v>432</v>
      </c>
    </row>
    <row r="382" spans="1:11" x14ac:dyDescent="0.25">
      <c r="A382">
        <v>4735</v>
      </c>
      <c r="B382" s="1" t="s">
        <v>14</v>
      </c>
      <c r="C382" s="1" t="s">
        <v>52</v>
      </c>
      <c r="D382" s="2">
        <v>42698.375</v>
      </c>
      <c r="E382" s="2">
        <v>42704.75</v>
      </c>
      <c r="F382" s="1" t="s">
        <v>12</v>
      </c>
      <c r="G382" s="1" t="s">
        <v>33</v>
      </c>
      <c r="H382">
        <v>5</v>
      </c>
      <c r="I382">
        <v>10</v>
      </c>
      <c r="J382" s="3">
        <v>48</v>
      </c>
      <c r="K382" s="3">
        <f>+Treinamentos[[#This Row],[Alunos]]*Treinamentos[[#This Row],[Valor]]</f>
        <v>480</v>
      </c>
    </row>
    <row r="383" spans="1:11" x14ac:dyDescent="0.25">
      <c r="A383">
        <v>4736</v>
      </c>
      <c r="B383" s="1" t="s">
        <v>10</v>
      </c>
      <c r="C383" s="1" t="s">
        <v>59</v>
      </c>
      <c r="D383" s="2">
        <v>42699.333333333336</v>
      </c>
      <c r="E383" s="2">
        <v>42712.5</v>
      </c>
      <c r="F383" s="1" t="s">
        <v>21</v>
      </c>
      <c r="G383" s="1" t="s">
        <v>34</v>
      </c>
      <c r="H383">
        <v>5</v>
      </c>
      <c r="I383">
        <v>8</v>
      </c>
      <c r="J383" s="3">
        <v>48</v>
      </c>
      <c r="K383" s="3">
        <f>+Treinamentos[[#This Row],[Alunos]]*Treinamentos[[#This Row],[Valor]]</f>
        <v>384</v>
      </c>
    </row>
    <row r="384" spans="1:11" x14ac:dyDescent="0.25">
      <c r="A384">
        <v>4737</v>
      </c>
      <c r="B384" s="1" t="s">
        <v>16</v>
      </c>
      <c r="C384" s="1" t="s">
        <v>53</v>
      </c>
      <c r="D384" s="2">
        <v>42700.375</v>
      </c>
      <c r="E384" s="2">
        <v>42705.75</v>
      </c>
      <c r="F384" s="1" t="s">
        <v>12</v>
      </c>
      <c r="G384" s="1" t="s">
        <v>36</v>
      </c>
      <c r="H384">
        <v>4</v>
      </c>
      <c r="I384">
        <v>8</v>
      </c>
      <c r="J384" s="3">
        <v>32</v>
      </c>
      <c r="K384" s="3">
        <f>+Treinamentos[[#This Row],[Alunos]]*Treinamentos[[#This Row],[Valor]]</f>
        <v>256</v>
      </c>
    </row>
    <row r="385" spans="1:11" x14ac:dyDescent="0.25">
      <c r="A385">
        <v>4738</v>
      </c>
      <c r="B385" s="1" t="s">
        <v>16</v>
      </c>
      <c r="C385" s="1" t="s">
        <v>53</v>
      </c>
      <c r="D385" s="2">
        <v>42702.791666666664</v>
      </c>
      <c r="E385" s="2">
        <v>42713.958333333336</v>
      </c>
      <c r="F385" s="1" t="s">
        <v>21</v>
      </c>
      <c r="G385" s="1" t="s">
        <v>48</v>
      </c>
      <c r="H385">
        <v>4</v>
      </c>
      <c r="I385">
        <v>9</v>
      </c>
      <c r="J385" s="3">
        <v>32</v>
      </c>
      <c r="K385" s="3">
        <f>+Treinamentos[[#This Row],[Alunos]]*Treinamentos[[#This Row],[Valor]]</f>
        <v>288</v>
      </c>
    </row>
    <row r="386" spans="1:11" x14ac:dyDescent="0.25">
      <c r="A386">
        <v>4739</v>
      </c>
      <c r="B386" s="1" t="s">
        <v>37</v>
      </c>
      <c r="C386" s="1" t="s">
        <v>58</v>
      </c>
      <c r="D386" s="2">
        <v>42702.791666666664</v>
      </c>
      <c r="E386" s="2">
        <v>42713.958333333336</v>
      </c>
      <c r="F386" s="1" t="s">
        <v>12</v>
      </c>
      <c r="G386" s="1" t="s">
        <v>19</v>
      </c>
      <c r="H386">
        <v>4</v>
      </c>
      <c r="I386">
        <v>12</v>
      </c>
      <c r="J386" s="3">
        <v>48</v>
      </c>
      <c r="K386" s="3">
        <f>+Treinamentos[[#This Row],[Alunos]]*Treinamentos[[#This Row],[Valor]]</f>
        <v>576</v>
      </c>
    </row>
    <row r="387" spans="1:11" x14ac:dyDescent="0.25">
      <c r="A387">
        <v>4740</v>
      </c>
      <c r="B387" s="1" t="s">
        <v>41</v>
      </c>
      <c r="C387" s="1" t="s">
        <v>61</v>
      </c>
      <c r="D387" s="2">
        <v>42703.791666666664</v>
      </c>
      <c r="E387" s="2">
        <v>42716.958333333336</v>
      </c>
      <c r="F387" s="1" t="s">
        <v>12</v>
      </c>
      <c r="G387" s="1" t="s">
        <v>24</v>
      </c>
      <c r="H387">
        <v>3</v>
      </c>
      <c r="I387">
        <v>8</v>
      </c>
      <c r="J387" s="3">
        <v>62</v>
      </c>
      <c r="K387" s="3">
        <f>+Treinamentos[[#This Row],[Alunos]]*Treinamentos[[#This Row],[Valor]]</f>
        <v>496</v>
      </c>
    </row>
    <row r="388" spans="1:11" x14ac:dyDescent="0.25">
      <c r="A388">
        <v>4741</v>
      </c>
      <c r="B388" s="1" t="s">
        <v>17</v>
      </c>
      <c r="C388" s="1" t="s">
        <v>52</v>
      </c>
      <c r="D388" s="2">
        <v>42704.583333333336</v>
      </c>
      <c r="E388" s="2">
        <v>42717.75</v>
      </c>
      <c r="F388" s="1" t="s">
        <v>12</v>
      </c>
      <c r="G388" s="1" t="s">
        <v>24</v>
      </c>
      <c r="H388">
        <v>5</v>
      </c>
      <c r="I388">
        <v>12</v>
      </c>
      <c r="J388" s="3">
        <v>48</v>
      </c>
      <c r="K388" s="3">
        <f>+Treinamentos[[#This Row],[Alunos]]*Treinamentos[[#This Row],[Valor]]</f>
        <v>576</v>
      </c>
    </row>
    <row r="389" spans="1:11" x14ac:dyDescent="0.25">
      <c r="A389">
        <v>4742</v>
      </c>
      <c r="B389" s="1" t="s">
        <v>30</v>
      </c>
      <c r="C389" s="1" t="s">
        <v>53</v>
      </c>
      <c r="D389" s="2">
        <v>42705.375</v>
      </c>
      <c r="E389" s="2">
        <v>42711.75</v>
      </c>
      <c r="F389" s="1" t="s">
        <v>12</v>
      </c>
      <c r="G389" s="1" t="s">
        <v>22</v>
      </c>
      <c r="H389">
        <v>5</v>
      </c>
      <c r="I389">
        <v>10</v>
      </c>
      <c r="J389" s="3">
        <v>32</v>
      </c>
      <c r="K389" s="3">
        <f>+Treinamentos[[#This Row],[Alunos]]*Treinamentos[[#This Row],[Valor]]</f>
        <v>320</v>
      </c>
    </row>
    <row r="390" spans="1:11" x14ac:dyDescent="0.25">
      <c r="A390">
        <v>4743</v>
      </c>
      <c r="B390" s="1" t="s">
        <v>30</v>
      </c>
      <c r="C390" s="1" t="s">
        <v>59</v>
      </c>
      <c r="D390" s="2">
        <v>42706.333333333336</v>
      </c>
      <c r="E390" s="2">
        <v>42719.5</v>
      </c>
      <c r="F390" s="1" t="s">
        <v>21</v>
      </c>
      <c r="G390" s="1" t="s">
        <v>34</v>
      </c>
      <c r="H390">
        <v>3</v>
      </c>
      <c r="I390">
        <v>9</v>
      </c>
      <c r="J390" s="3">
        <v>48</v>
      </c>
      <c r="K390" s="3">
        <f>+Treinamentos[[#This Row],[Alunos]]*Treinamentos[[#This Row],[Valor]]</f>
        <v>432</v>
      </c>
    </row>
    <row r="391" spans="1:11" x14ac:dyDescent="0.25">
      <c r="A391">
        <v>4744</v>
      </c>
      <c r="B391" s="1" t="s">
        <v>14</v>
      </c>
      <c r="C391" s="1" t="s">
        <v>61</v>
      </c>
      <c r="D391" s="2">
        <v>42707.375</v>
      </c>
      <c r="E391" s="2">
        <v>42712.75</v>
      </c>
      <c r="F391" s="1" t="s">
        <v>21</v>
      </c>
      <c r="G391" s="1" t="s">
        <v>19</v>
      </c>
      <c r="H391">
        <v>2</v>
      </c>
      <c r="I391">
        <v>8</v>
      </c>
      <c r="J391" s="3">
        <v>62</v>
      </c>
      <c r="K391" s="3">
        <f>+Treinamentos[[#This Row],[Alunos]]*Treinamentos[[#This Row],[Valor]]</f>
        <v>496</v>
      </c>
    </row>
    <row r="392" spans="1:11" x14ac:dyDescent="0.25">
      <c r="A392">
        <v>4745</v>
      </c>
      <c r="B392" s="1" t="s">
        <v>25</v>
      </c>
      <c r="C392" s="1" t="s">
        <v>53</v>
      </c>
      <c r="D392" s="2">
        <v>42709.791666666664</v>
      </c>
      <c r="E392" s="2">
        <v>42720.958333333336</v>
      </c>
      <c r="F392" s="1" t="s">
        <v>12</v>
      </c>
      <c r="G392" s="1" t="s">
        <v>24</v>
      </c>
      <c r="H392">
        <v>5</v>
      </c>
      <c r="I392">
        <v>8</v>
      </c>
      <c r="J392" s="3">
        <v>32</v>
      </c>
      <c r="K392" s="3">
        <f>+Treinamentos[[#This Row],[Alunos]]*Treinamentos[[#This Row],[Valor]]</f>
        <v>256</v>
      </c>
    </row>
    <row r="393" spans="1:11" x14ac:dyDescent="0.25">
      <c r="A393">
        <v>4746</v>
      </c>
      <c r="B393" s="1" t="s">
        <v>41</v>
      </c>
      <c r="C393" s="1" t="s">
        <v>60</v>
      </c>
      <c r="D393" s="2">
        <v>42709.791666666664</v>
      </c>
      <c r="E393" s="2">
        <v>42720.958333333336</v>
      </c>
      <c r="F393" s="1" t="s">
        <v>12</v>
      </c>
      <c r="G393" s="1" t="s">
        <v>46</v>
      </c>
      <c r="H393">
        <v>5</v>
      </c>
      <c r="I393">
        <v>10</v>
      </c>
      <c r="J393" s="3">
        <v>42</v>
      </c>
      <c r="K393" s="3">
        <f>+Treinamentos[[#This Row],[Alunos]]*Treinamentos[[#This Row],[Valor]]</f>
        <v>420</v>
      </c>
    </row>
    <row r="394" spans="1:11" x14ac:dyDescent="0.25">
      <c r="A394">
        <v>4747</v>
      </c>
      <c r="B394" s="1" t="s">
        <v>28</v>
      </c>
      <c r="C394" s="1" t="s">
        <v>61</v>
      </c>
      <c r="D394" s="2">
        <v>42710.791666666664</v>
      </c>
      <c r="E394" s="2">
        <v>42723.958333333336</v>
      </c>
      <c r="F394" s="1" t="s">
        <v>12</v>
      </c>
      <c r="G394" s="1" t="s">
        <v>19</v>
      </c>
      <c r="H394">
        <v>5</v>
      </c>
      <c r="I394">
        <v>11</v>
      </c>
      <c r="J394" s="3">
        <v>62</v>
      </c>
      <c r="K394" s="3">
        <f>+Treinamentos[[#This Row],[Alunos]]*Treinamentos[[#This Row],[Valor]]</f>
        <v>682</v>
      </c>
    </row>
    <row r="395" spans="1:11" x14ac:dyDescent="0.25">
      <c r="A395">
        <v>4748</v>
      </c>
      <c r="B395" s="1" t="s">
        <v>28</v>
      </c>
      <c r="C395" s="1" t="s">
        <v>58</v>
      </c>
      <c r="D395" s="2">
        <v>42711.583333333336</v>
      </c>
      <c r="E395" s="2">
        <v>42724.75</v>
      </c>
      <c r="F395" s="1" t="s">
        <v>12</v>
      </c>
      <c r="G395" s="1" t="s">
        <v>34</v>
      </c>
      <c r="H395">
        <v>2</v>
      </c>
      <c r="I395">
        <v>8</v>
      </c>
      <c r="J395" s="3">
        <v>48</v>
      </c>
      <c r="K395" s="3">
        <f>+Treinamentos[[#This Row],[Alunos]]*Treinamentos[[#This Row],[Valor]]</f>
        <v>384</v>
      </c>
    </row>
    <row r="396" spans="1:11" x14ac:dyDescent="0.25">
      <c r="A396">
        <v>4749</v>
      </c>
      <c r="B396" s="1" t="s">
        <v>17</v>
      </c>
      <c r="C396" s="1" t="s">
        <v>50</v>
      </c>
      <c r="D396" s="2">
        <v>42712.375</v>
      </c>
      <c r="E396" s="2">
        <v>42718.75</v>
      </c>
      <c r="F396" s="1" t="s">
        <v>12</v>
      </c>
      <c r="G396" s="1" t="s">
        <v>22</v>
      </c>
      <c r="H396">
        <v>3</v>
      </c>
      <c r="I396">
        <v>9</v>
      </c>
      <c r="J396" s="3">
        <v>35</v>
      </c>
      <c r="K396" s="3">
        <f>+Treinamentos[[#This Row],[Alunos]]*Treinamentos[[#This Row],[Valor]]</f>
        <v>315</v>
      </c>
    </row>
    <row r="397" spans="1:11" x14ac:dyDescent="0.25">
      <c r="A397">
        <v>4750</v>
      </c>
      <c r="B397" s="1" t="s">
        <v>25</v>
      </c>
      <c r="C397" s="1" t="s">
        <v>55</v>
      </c>
      <c r="D397" s="2">
        <v>42713.333333333336</v>
      </c>
      <c r="E397" s="2">
        <v>42726.5</v>
      </c>
      <c r="F397" s="1" t="s">
        <v>12</v>
      </c>
      <c r="G397" s="1" t="s">
        <v>32</v>
      </c>
      <c r="H397">
        <v>3</v>
      </c>
      <c r="I397">
        <v>9</v>
      </c>
      <c r="J397" s="3">
        <v>75</v>
      </c>
      <c r="K397" s="3">
        <f>+Treinamentos[[#This Row],[Alunos]]*Treinamentos[[#This Row],[Valor]]</f>
        <v>675</v>
      </c>
    </row>
    <row r="398" spans="1:11" x14ac:dyDescent="0.25">
      <c r="A398">
        <v>4751</v>
      </c>
      <c r="B398" s="1" t="s">
        <v>10</v>
      </c>
      <c r="C398" s="1" t="s">
        <v>52</v>
      </c>
      <c r="D398" s="2">
        <v>42714.375</v>
      </c>
      <c r="E398" s="2">
        <v>42719.75</v>
      </c>
      <c r="F398" s="1" t="s">
        <v>21</v>
      </c>
      <c r="G398" s="1" t="s">
        <v>33</v>
      </c>
      <c r="H398">
        <v>4</v>
      </c>
      <c r="I398">
        <v>8</v>
      </c>
      <c r="J398" s="3">
        <v>48</v>
      </c>
      <c r="K398" s="3">
        <f>+Treinamentos[[#This Row],[Alunos]]*Treinamentos[[#This Row],[Valor]]</f>
        <v>384</v>
      </c>
    </row>
    <row r="399" spans="1:11" x14ac:dyDescent="0.25">
      <c r="A399">
        <v>4752</v>
      </c>
      <c r="B399" s="1" t="s">
        <v>25</v>
      </c>
      <c r="C399" s="1" t="s">
        <v>51</v>
      </c>
      <c r="D399" s="2">
        <v>42716.791666666664</v>
      </c>
      <c r="E399" s="2">
        <v>42727.958333333336</v>
      </c>
      <c r="F399" s="1" t="s">
        <v>21</v>
      </c>
      <c r="G399" s="1" t="s">
        <v>19</v>
      </c>
      <c r="H399">
        <v>3</v>
      </c>
      <c r="I399">
        <v>10</v>
      </c>
      <c r="J399" s="3">
        <v>62</v>
      </c>
      <c r="K399" s="3">
        <f>+Treinamentos[[#This Row],[Alunos]]*Treinamentos[[#This Row],[Valor]]</f>
        <v>620</v>
      </c>
    </row>
    <row r="400" spans="1:11" x14ac:dyDescent="0.25">
      <c r="A400">
        <v>4753</v>
      </c>
      <c r="B400" s="1" t="s">
        <v>10</v>
      </c>
      <c r="C400" s="1" t="s">
        <v>61</v>
      </c>
      <c r="D400" s="2">
        <v>42716.791666666664</v>
      </c>
      <c r="E400" s="2">
        <v>42727.958333333336</v>
      </c>
      <c r="F400" s="1" t="s">
        <v>21</v>
      </c>
      <c r="G400" s="1" t="s">
        <v>46</v>
      </c>
      <c r="H400">
        <v>3</v>
      </c>
      <c r="I400">
        <v>10</v>
      </c>
      <c r="J400" s="3">
        <v>62</v>
      </c>
      <c r="K400" s="3">
        <f>+Treinamentos[[#This Row],[Alunos]]*Treinamentos[[#This Row],[Valor]]</f>
        <v>620</v>
      </c>
    </row>
    <row r="401" spans="1:11" x14ac:dyDescent="0.25">
      <c r="A401">
        <v>4754</v>
      </c>
      <c r="B401" s="1" t="s">
        <v>37</v>
      </c>
      <c r="C401" s="1" t="s">
        <v>59</v>
      </c>
      <c r="D401" s="2">
        <v>42717.791666666664</v>
      </c>
      <c r="E401" s="2">
        <v>42730.958333333336</v>
      </c>
      <c r="F401" s="1" t="s">
        <v>21</v>
      </c>
      <c r="G401" s="1" t="s">
        <v>48</v>
      </c>
      <c r="H401">
        <v>4</v>
      </c>
      <c r="I401">
        <v>12</v>
      </c>
      <c r="J401" s="3">
        <v>48</v>
      </c>
      <c r="K401" s="3">
        <f>+Treinamentos[[#This Row],[Alunos]]*Treinamentos[[#This Row],[Valor]]</f>
        <v>576</v>
      </c>
    </row>
    <row r="402" spans="1:11" x14ac:dyDescent="0.25">
      <c r="A402">
        <v>4755</v>
      </c>
      <c r="B402" s="1" t="s">
        <v>25</v>
      </c>
      <c r="C402" s="1" t="s">
        <v>57</v>
      </c>
      <c r="D402" s="2">
        <v>42718.583333333336</v>
      </c>
      <c r="E402" s="2">
        <v>42731.75</v>
      </c>
      <c r="F402" s="1" t="s">
        <v>12</v>
      </c>
      <c r="G402" s="1" t="s">
        <v>13</v>
      </c>
      <c r="H402">
        <v>3</v>
      </c>
      <c r="I402">
        <v>11</v>
      </c>
      <c r="J402" s="3">
        <v>52</v>
      </c>
      <c r="K402" s="3">
        <f>+Treinamentos[[#This Row],[Alunos]]*Treinamentos[[#This Row],[Valor]]</f>
        <v>572</v>
      </c>
    </row>
    <row r="403" spans="1:11" x14ac:dyDescent="0.25">
      <c r="A403">
        <v>4756</v>
      </c>
      <c r="B403" s="1" t="s">
        <v>28</v>
      </c>
      <c r="C403" s="1" t="s">
        <v>55</v>
      </c>
      <c r="D403" s="2">
        <v>42719.375</v>
      </c>
      <c r="E403" s="2">
        <v>42725.75</v>
      </c>
      <c r="F403" s="1" t="s">
        <v>21</v>
      </c>
      <c r="G403" s="1" t="s">
        <v>33</v>
      </c>
      <c r="H403">
        <v>3</v>
      </c>
      <c r="I403">
        <v>11</v>
      </c>
      <c r="J403" s="3">
        <v>75</v>
      </c>
      <c r="K403" s="3">
        <f>+Treinamentos[[#This Row],[Alunos]]*Treinamentos[[#This Row],[Valor]]</f>
        <v>825</v>
      </c>
    </row>
    <row r="404" spans="1:11" x14ac:dyDescent="0.25">
      <c r="A404">
        <v>4757</v>
      </c>
      <c r="B404" s="1" t="s">
        <v>30</v>
      </c>
      <c r="C404" s="1" t="s">
        <v>57</v>
      </c>
      <c r="D404" s="2">
        <v>42720.333333333336</v>
      </c>
      <c r="E404" s="2">
        <v>42733.5</v>
      </c>
      <c r="F404" s="1" t="s">
        <v>12</v>
      </c>
      <c r="G404" s="1" t="s">
        <v>19</v>
      </c>
      <c r="H404">
        <v>2</v>
      </c>
      <c r="I404">
        <v>11</v>
      </c>
      <c r="J404" s="3">
        <v>52</v>
      </c>
      <c r="K404" s="3">
        <f>+Treinamentos[[#This Row],[Alunos]]*Treinamentos[[#This Row],[Valor]]</f>
        <v>572</v>
      </c>
    </row>
    <row r="405" spans="1:11" x14ac:dyDescent="0.25">
      <c r="A405">
        <v>4758</v>
      </c>
      <c r="B405" s="1" t="s">
        <v>10</v>
      </c>
      <c r="C405" s="1" t="s">
        <v>59</v>
      </c>
      <c r="D405" s="2">
        <v>42721.375</v>
      </c>
      <c r="E405" s="2">
        <v>42726.75</v>
      </c>
      <c r="F405" s="1" t="s">
        <v>21</v>
      </c>
      <c r="G405" s="1" t="s">
        <v>42</v>
      </c>
      <c r="H405">
        <v>2</v>
      </c>
      <c r="I405">
        <v>10</v>
      </c>
      <c r="J405" s="3">
        <v>48</v>
      </c>
      <c r="K405" s="3">
        <f>+Treinamentos[[#This Row],[Alunos]]*Treinamentos[[#This Row],[Valor]]</f>
        <v>480</v>
      </c>
    </row>
    <row r="406" spans="1:11" x14ac:dyDescent="0.25">
      <c r="A406">
        <v>4759</v>
      </c>
      <c r="B406" s="1" t="s">
        <v>14</v>
      </c>
      <c r="C406" s="1" t="s">
        <v>53</v>
      </c>
      <c r="D406" s="2">
        <v>42723.791666666664</v>
      </c>
      <c r="E406" s="2">
        <v>42734.958333333336</v>
      </c>
      <c r="F406" s="1" t="s">
        <v>12</v>
      </c>
      <c r="G406" s="1" t="s">
        <v>34</v>
      </c>
      <c r="H406">
        <v>2</v>
      </c>
      <c r="I406">
        <v>10</v>
      </c>
      <c r="J406" s="3">
        <v>32</v>
      </c>
      <c r="K406" s="3">
        <f>+Treinamentos[[#This Row],[Alunos]]*Treinamentos[[#This Row],[Valor]]</f>
        <v>320</v>
      </c>
    </row>
    <row r="407" spans="1:11" x14ac:dyDescent="0.25">
      <c r="A407">
        <v>4760</v>
      </c>
      <c r="B407" s="1" t="s">
        <v>16</v>
      </c>
      <c r="C407" s="1" t="s">
        <v>50</v>
      </c>
      <c r="D407" s="2">
        <v>42723.791666666664</v>
      </c>
      <c r="E407" s="2">
        <v>42734.958333333336</v>
      </c>
      <c r="F407" s="1" t="s">
        <v>12</v>
      </c>
      <c r="G407" s="1" t="s">
        <v>33</v>
      </c>
      <c r="H407">
        <v>3</v>
      </c>
      <c r="I407">
        <v>11</v>
      </c>
      <c r="J407" s="3">
        <v>35</v>
      </c>
      <c r="K407" s="3">
        <f>+Treinamentos[[#This Row],[Alunos]]*Treinamentos[[#This Row],[Valor]]</f>
        <v>385</v>
      </c>
    </row>
    <row r="408" spans="1:11" x14ac:dyDescent="0.25">
      <c r="A408">
        <v>4761</v>
      </c>
      <c r="B408" s="1" t="s">
        <v>17</v>
      </c>
      <c r="C408" s="1" t="s">
        <v>58</v>
      </c>
      <c r="D408" s="2">
        <v>42724.791666666664</v>
      </c>
      <c r="E408" s="2">
        <v>42737.958333333336</v>
      </c>
      <c r="F408" s="1" t="s">
        <v>12</v>
      </c>
      <c r="G408" s="1" t="s">
        <v>19</v>
      </c>
      <c r="H408">
        <v>5</v>
      </c>
      <c r="I408">
        <v>11</v>
      </c>
      <c r="J408" s="3">
        <v>48</v>
      </c>
      <c r="K408" s="3">
        <f>+Treinamentos[[#This Row],[Alunos]]*Treinamentos[[#This Row],[Valor]]</f>
        <v>528</v>
      </c>
    </row>
    <row r="409" spans="1:11" x14ac:dyDescent="0.25">
      <c r="A409">
        <v>4762</v>
      </c>
      <c r="B409" s="1" t="s">
        <v>10</v>
      </c>
      <c r="C409" s="1" t="s">
        <v>57</v>
      </c>
      <c r="D409" s="2">
        <v>42725.583333333336</v>
      </c>
      <c r="E409" s="2">
        <v>42738.75</v>
      </c>
      <c r="F409" s="1" t="s">
        <v>12</v>
      </c>
      <c r="G409" s="1" t="s">
        <v>34</v>
      </c>
      <c r="H409">
        <v>2</v>
      </c>
      <c r="I409">
        <v>12</v>
      </c>
      <c r="J409" s="3">
        <v>52</v>
      </c>
      <c r="K409" s="3">
        <f>+Treinamentos[[#This Row],[Alunos]]*Treinamentos[[#This Row],[Valor]]</f>
        <v>624</v>
      </c>
    </row>
    <row r="410" spans="1:11" x14ac:dyDescent="0.25">
      <c r="A410">
        <v>4763</v>
      </c>
      <c r="B410" s="1" t="s">
        <v>30</v>
      </c>
      <c r="C410" s="1" t="s">
        <v>52</v>
      </c>
      <c r="D410" s="2">
        <v>42726.375</v>
      </c>
      <c r="E410" s="2">
        <v>42732.75</v>
      </c>
      <c r="F410" s="1" t="s">
        <v>12</v>
      </c>
      <c r="G410" s="1" t="s">
        <v>44</v>
      </c>
      <c r="H410">
        <v>5</v>
      </c>
      <c r="I410">
        <v>8</v>
      </c>
      <c r="J410" s="3">
        <v>48</v>
      </c>
      <c r="K410" s="3">
        <f>+Treinamentos[[#This Row],[Alunos]]*Treinamentos[[#This Row],[Valor]]</f>
        <v>384</v>
      </c>
    </row>
    <row r="411" spans="1:11" x14ac:dyDescent="0.25">
      <c r="A411">
        <v>4764</v>
      </c>
      <c r="B411" s="1" t="s">
        <v>10</v>
      </c>
      <c r="C411" s="1" t="s">
        <v>58</v>
      </c>
      <c r="D411" s="2">
        <v>42727.333333333336</v>
      </c>
      <c r="E411" s="2">
        <v>42740.5</v>
      </c>
      <c r="F411" s="1" t="s">
        <v>21</v>
      </c>
      <c r="G411" s="1" t="s">
        <v>47</v>
      </c>
      <c r="H411">
        <v>5</v>
      </c>
      <c r="I411">
        <v>12</v>
      </c>
      <c r="J411" s="3">
        <v>48</v>
      </c>
      <c r="K411" s="3">
        <f>+Treinamentos[[#This Row],[Alunos]]*Treinamentos[[#This Row],[Valor]]</f>
        <v>576</v>
      </c>
    </row>
    <row r="412" spans="1:11" x14ac:dyDescent="0.25">
      <c r="A412">
        <v>4765</v>
      </c>
      <c r="B412" s="1" t="s">
        <v>28</v>
      </c>
      <c r="C412" s="1" t="s">
        <v>59</v>
      </c>
      <c r="D412" s="2">
        <v>42728.375</v>
      </c>
      <c r="E412" s="2">
        <v>42733.75</v>
      </c>
      <c r="F412" s="1" t="s">
        <v>12</v>
      </c>
      <c r="G412" s="1" t="s">
        <v>24</v>
      </c>
      <c r="H412">
        <v>4</v>
      </c>
      <c r="I412">
        <v>10</v>
      </c>
      <c r="J412" s="3">
        <v>48</v>
      </c>
      <c r="K412" s="3">
        <f>+Treinamentos[[#This Row],[Alunos]]*Treinamentos[[#This Row],[Valor]]</f>
        <v>480</v>
      </c>
    </row>
    <row r="413" spans="1:11" x14ac:dyDescent="0.25">
      <c r="A413">
        <v>4766</v>
      </c>
      <c r="B413" s="1" t="s">
        <v>30</v>
      </c>
      <c r="C413" s="1" t="s">
        <v>55</v>
      </c>
      <c r="D413" s="2">
        <v>42730.791666666664</v>
      </c>
      <c r="E413" s="2">
        <v>42741.958333333336</v>
      </c>
      <c r="F413" s="1" t="s">
        <v>12</v>
      </c>
      <c r="G413" s="1" t="s">
        <v>27</v>
      </c>
      <c r="H413">
        <v>2</v>
      </c>
      <c r="I413">
        <v>8</v>
      </c>
      <c r="J413" s="3">
        <v>75</v>
      </c>
      <c r="K413" s="3">
        <f>+Treinamentos[[#This Row],[Alunos]]*Treinamentos[[#This Row],[Valor]]</f>
        <v>600</v>
      </c>
    </row>
    <row r="414" spans="1:11" x14ac:dyDescent="0.25">
      <c r="A414">
        <v>4767</v>
      </c>
      <c r="B414" s="1" t="s">
        <v>14</v>
      </c>
      <c r="C414" s="1" t="s">
        <v>52</v>
      </c>
      <c r="D414" s="2">
        <v>42730.791666666664</v>
      </c>
      <c r="E414" s="2">
        <v>42741.958333333336</v>
      </c>
      <c r="F414" s="1" t="s">
        <v>12</v>
      </c>
      <c r="G414" s="1" t="s">
        <v>48</v>
      </c>
      <c r="H414">
        <v>3</v>
      </c>
      <c r="I414">
        <v>10</v>
      </c>
      <c r="J414" s="3">
        <v>48</v>
      </c>
      <c r="K414" s="3">
        <f>+Treinamentos[[#This Row],[Alunos]]*Treinamentos[[#This Row],[Valor]]</f>
        <v>480</v>
      </c>
    </row>
    <row r="415" spans="1:11" x14ac:dyDescent="0.25">
      <c r="A415">
        <v>4768</v>
      </c>
      <c r="B415" s="1" t="s">
        <v>25</v>
      </c>
      <c r="C415" s="1" t="s">
        <v>49</v>
      </c>
      <c r="D415" s="2">
        <v>42731.791666666664</v>
      </c>
      <c r="E415" s="2">
        <v>42744.958333333336</v>
      </c>
      <c r="F415" s="1" t="s">
        <v>12</v>
      </c>
      <c r="G415" s="1" t="s">
        <v>42</v>
      </c>
      <c r="H415">
        <v>3</v>
      </c>
      <c r="I415">
        <v>9</v>
      </c>
      <c r="J415" s="3">
        <v>53</v>
      </c>
      <c r="K415" s="3">
        <f>+Treinamentos[[#This Row],[Alunos]]*Treinamentos[[#This Row],[Valor]]</f>
        <v>477</v>
      </c>
    </row>
    <row r="416" spans="1:11" x14ac:dyDescent="0.25">
      <c r="A416">
        <v>4769</v>
      </c>
      <c r="B416" s="1" t="s">
        <v>28</v>
      </c>
      <c r="C416" s="1" t="s">
        <v>54</v>
      </c>
      <c r="D416" s="2">
        <v>42732.583333333336</v>
      </c>
      <c r="E416" s="2">
        <v>42745.75</v>
      </c>
      <c r="F416" s="1" t="s">
        <v>12</v>
      </c>
      <c r="G416" s="1" t="s">
        <v>32</v>
      </c>
      <c r="H416">
        <v>5</v>
      </c>
      <c r="I416">
        <v>12</v>
      </c>
      <c r="J416" s="3">
        <v>43</v>
      </c>
      <c r="K416" s="3">
        <f>+Treinamentos[[#This Row],[Alunos]]*Treinamentos[[#This Row],[Valor]]</f>
        <v>516</v>
      </c>
    </row>
    <row r="417" spans="1:11" x14ac:dyDescent="0.25">
      <c r="A417">
        <v>4770</v>
      </c>
      <c r="B417" s="1" t="s">
        <v>28</v>
      </c>
      <c r="C417" s="1" t="s">
        <v>50</v>
      </c>
      <c r="D417" s="2">
        <v>42733.375</v>
      </c>
      <c r="E417" s="2">
        <v>42739.75</v>
      </c>
      <c r="F417" s="1" t="s">
        <v>12</v>
      </c>
      <c r="G417" s="1" t="s">
        <v>48</v>
      </c>
      <c r="H417">
        <v>2</v>
      </c>
      <c r="I417">
        <v>11</v>
      </c>
      <c r="J417" s="3">
        <v>35</v>
      </c>
      <c r="K417" s="3">
        <f>+Treinamentos[[#This Row],[Alunos]]*Treinamentos[[#This Row],[Valor]]</f>
        <v>385</v>
      </c>
    </row>
    <row r="418" spans="1:11" x14ac:dyDescent="0.25">
      <c r="A418">
        <v>4771</v>
      </c>
      <c r="B418" s="1" t="s">
        <v>41</v>
      </c>
      <c r="C418" s="1" t="s">
        <v>52</v>
      </c>
      <c r="D418" s="2">
        <v>42734.333333333336</v>
      </c>
      <c r="E418" s="2">
        <v>42747.5</v>
      </c>
      <c r="F418" s="1" t="s">
        <v>21</v>
      </c>
      <c r="G418" s="1" t="s">
        <v>22</v>
      </c>
      <c r="I418">
        <v>10</v>
      </c>
      <c r="J418" s="3">
        <v>48</v>
      </c>
      <c r="K418" s="3">
        <f>+Treinamentos[[#This Row],[Alunos]]*Treinamentos[[#This Row],[Valor]]</f>
        <v>480</v>
      </c>
    </row>
    <row r="419" spans="1:11" x14ac:dyDescent="0.25">
      <c r="A419">
        <v>4772</v>
      </c>
      <c r="B419" s="1" t="s">
        <v>25</v>
      </c>
      <c r="C419" s="1" t="s">
        <v>60</v>
      </c>
      <c r="D419" s="2">
        <v>42735.375</v>
      </c>
      <c r="E419" s="2">
        <v>42740.75</v>
      </c>
      <c r="F419" s="1" t="s">
        <v>21</v>
      </c>
      <c r="G419" s="1" t="s">
        <v>24</v>
      </c>
      <c r="H419">
        <v>2</v>
      </c>
      <c r="I419">
        <v>9</v>
      </c>
      <c r="J419" s="3">
        <v>42</v>
      </c>
      <c r="K419" s="3">
        <f>+Treinamentos[[#This Row],[Alunos]]*Treinamentos[[#This Row],[Valor]]</f>
        <v>378</v>
      </c>
    </row>
    <row r="420" spans="1:11" x14ac:dyDescent="0.25">
      <c r="A420">
        <v>4773</v>
      </c>
      <c r="B420" s="1" t="s">
        <v>10</v>
      </c>
      <c r="C420" s="1" t="s">
        <v>54</v>
      </c>
      <c r="D420" s="2">
        <v>42737.791666666664</v>
      </c>
      <c r="E420" s="2">
        <v>42748.958333333336</v>
      </c>
      <c r="F420" s="1" t="s">
        <v>12</v>
      </c>
      <c r="G420" s="1" t="s">
        <v>24</v>
      </c>
      <c r="H420">
        <v>2</v>
      </c>
      <c r="I420">
        <v>8</v>
      </c>
      <c r="J420" s="3">
        <v>43</v>
      </c>
      <c r="K420" s="3">
        <f>+Treinamentos[[#This Row],[Alunos]]*Treinamentos[[#This Row],[Valor]]</f>
        <v>344</v>
      </c>
    </row>
    <row r="421" spans="1:11" x14ac:dyDescent="0.25">
      <c r="A421">
        <v>4774</v>
      </c>
      <c r="B421" s="1" t="s">
        <v>17</v>
      </c>
      <c r="C421" s="1" t="s">
        <v>55</v>
      </c>
      <c r="D421" s="2">
        <v>42737.791666666664</v>
      </c>
      <c r="E421" s="2">
        <v>42748.958333333336</v>
      </c>
      <c r="F421" s="1" t="s">
        <v>12</v>
      </c>
      <c r="G421" s="1" t="s">
        <v>32</v>
      </c>
      <c r="H421">
        <v>4</v>
      </c>
      <c r="I421">
        <v>12</v>
      </c>
      <c r="J421" s="3">
        <v>75</v>
      </c>
      <c r="K421" s="3">
        <f>+Treinamentos[[#This Row],[Alunos]]*Treinamentos[[#This Row],[Valor]]</f>
        <v>900</v>
      </c>
    </row>
    <row r="422" spans="1:11" x14ac:dyDescent="0.25">
      <c r="A422">
        <v>4775</v>
      </c>
      <c r="B422" s="1" t="s">
        <v>17</v>
      </c>
      <c r="C422" s="1" t="s">
        <v>60</v>
      </c>
      <c r="D422" s="2">
        <v>42738.791666666664</v>
      </c>
      <c r="E422" s="2">
        <v>42751.958333333336</v>
      </c>
      <c r="F422" s="1" t="s">
        <v>21</v>
      </c>
      <c r="G422" s="1" t="s">
        <v>22</v>
      </c>
      <c r="H422">
        <v>2</v>
      </c>
      <c r="I422">
        <v>9</v>
      </c>
      <c r="J422" s="3">
        <v>42</v>
      </c>
      <c r="K422" s="3">
        <f>+Treinamentos[[#This Row],[Alunos]]*Treinamentos[[#This Row],[Valor]]</f>
        <v>378</v>
      </c>
    </row>
    <row r="423" spans="1:11" x14ac:dyDescent="0.25">
      <c r="A423">
        <v>4776</v>
      </c>
      <c r="B423" s="1" t="s">
        <v>30</v>
      </c>
      <c r="C423" s="1" t="s">
        <v>50</v>
      </c>
      <c r="D423" s="2">
        <v>42739.583333333336</v>
      </c>
      <c r="E423" s="2">
        <v>42752.75</v>
      </c>
      <c r="F423" s="1" t="s">
        <v>21</v>
      </c>
      <c r="G423" s="1" t="s">
        <v>19</v>
      </c>
      <c r="H423">
        <v>2</v>
      </c>
      <c r="I423">
        <v>10</v>
      </c>
      <c r="J423" s="3">
        <v>35</v>
      </c>
      <c r="K423" s="3">
        <f>+Treinamentos[[#This Row],[Alunos]]*Treinamentos[[#This Row],[Valor]]</f>
        <v>350</v>
      </c>
    </row>
    <row r="424" spans="1:11" x14ac:dyDescent="0.25">
      <c r="A424">
        <v>4777</v>
      </c>
      <c r="B424" s="1" t="s">
        <v>16</v>
      </c>
      <c r="C424" s="1" t="s">
        <v>57</v>
      </c>
      <c r="D424" s="2">
        <v>42740.375</v>
      </c>
      <c r="E424" s="2">
        <v>42746.75</v>
      </c>
      <c r="F424" s="1" t="s">
        <v>12</v>
      </c>
      <c r="G424" s="1" t="s">
        <v>32</v>
      </c>
      <c r="H424">
        <v>4</v>
      </c>
      <c r="I424">
        <v>9</v>
      </c>
      <c r="J424" s="3">
        <v>52</v>
      </c>
      <c r="K424" s="3">
        <f>+Treinamentos[[#This Row],[Alunos]]*Treinamentos[[#This Row],[Valor]]</f>
        <v>468</v>
      </c>
    </row>
    <row r="425" spans="1:11" x14ac:dyDescent="0.25">
      <c r="A425">
        <v>4778</v>
      </c>
      <c r="B425" s="1" t="s">
        <v>16</v>
      </c>
      <c r="C425" s="1" t="s">
        <v>60</v>
      </c>
      <c r="D425" s="2">
        <v>42741.333333333336</v>
      </c>
      <c r="E425" s="2">
        <v>42754.5</v>
      </c>
      <c r="F425" s="1" t="s">
        <v>21</v>
      </c>
      <c r="G425" s="1" t="s">
        <v>32</v>
      </c>
      <c r="H425">
        <v>2</v>
      </c>
      <c r="I425">
        <v>10</v>
      </c>
      <c r="J425" s="3">
        <v>42</v>
      </c>
      <c r="K425" s="3">
        <f>+Treinamentos[[#This Row],[Alunos]]*Treinamentos[[#This Row],[Valor]]</f>
        <v>420</v>
      </c>
    </row>
    <row r="426" spans="1:11" x14ac:dyDescent="0.25">
      <c r="A426">
        <v>4779</v>
      </c>
      <c r="B426" s="1" t="s">
        <v>25</v>
      </c>
      <c r="C426" s="1" t="s">
        <v>60</v>
      </c>
      <c r="D426" s="2">
        <v>42742.375</v>
      </c>
      <c r="E426" s="2">
        <v>42747.75</v>
      </c>
      <c r="F426" s="1" t="s">
        <v>21</v>
      </c>
      <c r="G426" s="1" t="s">
        <v>36</v>
      </c>
      <c r="H426">
        <v>4</v>
      </c>
      <c r="I426">
        <v>9</v>
      </c>
      <c r="J426" s="3">
        <v>42</v>
      </c>
      <c r="K426" s="3">
        <f>+Treinamentos[[#This Row],[Alunos]]*Treinamentos[[#This Row],[Valor]]</f>
        <v>378</v>
      </c>
    </row>
    <row r="427" spans="1:11" x14ac:dyDescent="0.25">
      <c r="A427">
        <v>4780</v>
      </c>
      <c r="B427" s="1" t="s">
        <v>28</v>
      </c>
      <c r="C427" s="1" t="s">
        <v>58</v>
      </c>
      <c r="D427" s="2">
        <v>42744.791666666664</v>
      </c>
      <c r="E427" s="2">
        <v>42755.958333333336</v>
      </c>
      <c r="F427" s="1" t="s">
        <v>12</v>
      </c>
      <c r="G427" s="1" t="s">
        <v>47</v>
      </c>
      <c r="H427">
        <v>4</v>
      </c>
      <c r="I427">
        <v>12</v>
      </c>
      <c r="J427" s="3">
        <v>48</v>
      </c>
      <c r="K427" s="3">
        <f>+Treinamentos[[#This Row],[Alunos]]*Treinamentos[[#This Row],[Valor]]</f>
        <v>576</v>
      </c>
    </row>
    <row r="428" spans="1:11" x14ac:dyDescent="0.25">
      <c r="A428">
        <v>4781</v>
      </c>
      <c r="B428" s="1" t="s">
        <v>10</v>
      </c>
      <c r="C428" s="1" t="s">
        <v>53</v>
      </c>
      <c r="D428" s="2">
        <v>42744.791666666664</v>
      </c>
      <c r="E428" s="2">
        <v>42755.958333333336</v>
      </c>
      <c r="F428" s="1" t="s">
        <v>21</v>
      </c>
      <c r="G428" s="1" t="s">
        <v>32</v>
      </c>
      <c r="H428">
        <v>4</v>
      </c>
      <c r="I428">
        <v>9</v>
      </c>
      <c r="J428" s="3">
        <v>32</v>
      </c>
      <c r="K428" s="3">
        <f>+Treinamentos[[#This Row],[Alunos]]*Treinamentos[[#This Row],[Valor]]</f>
        <v>288</v>
      </c>
    </row>
    <row r="429" spans="1:11" x14ac:dyDescent="0.25">
      <c r="A429">
        <v>4782</v>
      </c>
      <c r="B429" s="1" t="s">
        <v>17</v>
      </c>
      <c r="C429" s="1" t="s">
        <v>49</v>
      </c>
      <c r="D429" s="2">
        <v>42745.791666666664</v>
      </c>
      <c r="E429" s="2">
        <v>42758.958333333336</v>
      </c>
      <c r="F429" s="1" t="s">
        <v>12</v>
      </c>
      <c r="G429" s="1" t="s">
        <v>24</v>
      </c>
      <c r="H429">
        <v>5</v>
      </c>
      <c r="I429">
        <v>9</v>
      </c>
      <c r="J429" s="3">
        <v>53</v>
      </c>
      <c r="K429" s="3">
        <f>+Treinamentos[[#This Row],[Alunos]]*Treinamentos[[#This Row],[Valor]]</f>
        <v>477</v>
      </c>
    </row>
    <row r="430" spans="1:11" x14ac:dyDescent="0.25">
      <c r="A430">
        <v>4783</v>
      </c>
      <c r="B430" s="1" t="s">
        <v>30</v>
      </c>
      <c r="C430" s="1" t="s">
        <v>53</v>
      </c>
      <c r="D430" s="2">
        <v>42746.583333333336</v>
      </c>
      <c r="E430" s="2">
        <v>42759.75</v>
      </c>
      <c r="F430" s="1" t="s">
        <v>12</v>
      </c>
      <c r="G430" s="1" t="s">
        <v>19</v>
      </c>
      <c r="H430">
        <v>3</v>
      </c>
      <c r="I430">
        <v>11</v>
      </c>
      <c r="J430" s="3">
        <v>32</v>
      </c>
      <c r="K430" s="3">
        <f>+Treinamentos[[#This Row],[Alunos]]*Treinamentos[[#This Row],[Valor]]</f>
        <v>352</v>
      </c>
    </row>
    <row r="431" spans="1:11" x14ac:dyDescent="0.25">
      <c r="A431">
        <v>4784</v>
      </c>
      <c r="B431" s="1" t="s">
        <v>16</v>
      </c>
      <c r="C431" s="1" t="s">
        <v>50</v>
      </c>
      <c r="D431" s="2">
        <v>42747.375</v>
      </c>
      <c r="E431" s="2">
        <v>42753.75</v>
      </c>
      <c r="F431" s="1" t="s">
        <v>21</v>
      </c>
      <c r="G431" s="1" t="s">
        <v>36</v>
      </c>
      <c r="H431">
        <v>5</v>
      </c>
      <c r="I431">
        <v>12</v>
      </c>
      <c r="J431" s="3">
        <v>35</v>
      </c>
      <c r="K431" s="3">
        <f>+Treinamentos[[#This Row],[Alunos]]*Treinamentos[[#This Row],[Valor]]</f>
        <v>420</v>
      </c>
    </row>
    <row r="432" spans="1:11" x14ac:dyDescent="0.25">
      <c r="A432">
        <v>4785</v>
      </c>
      <c r="B432" s="1" t="s">
        <v>16</v>
      </c>
      <c r="C432" s="1" t="s">
        <v>53</v>
      </c>
      <c r="D432" s="2">
        <v>42748.333333333336</v>
      </c>
      <c r="E432" s="2">
        <v>42762.5</v>
      </c>
      <c r="F432" s="1" t="s">
        <v>12</v>
      </c>
      <c r="G432" s="1" t="s">
        <v>19</v>
      </c>
      <c r="H432">
        <v>2</v>
      </c>
      <c r="I432">
        <v>10</v>
      </c>
      <c r="J432" s="3">
        <v>32</v>
      </c>
      <c r="K432" s="3">
        <f>+Treinamentos[[#This Row],[Alunos]]*Treinamentos[[#This Row],[Valor]]</f>
        <v>320</v>
      </c>
    </row>
    <row r="433" spans="1:11" x14ac:dyDescent="0.25">
      <c r="A433">
        <v>4786</v>
      </c>
      <c r="B433" s="1" t="s">
        <v>16</v>
      </c>
      <c r="C433" s="1" t="s">
        <v>57</v>
      </c>
      <c r="D433" s="2">
        <v>42749.375</v>
      </c>
      <c r="E433" s="2">
        <v>42754.75</v>
      </c>
      <c r="F433" s="1" t="s">
        <v>12</v>
      </c>
      <c r="G433" s="1" t="s">
        <v>27</v>
      </c>
      <c r="H433">
        <v>5</v>
      </c>
      <c r="I433">
        <v>12</v>
      </c>
      <c r="J433" s="3">
        <v>52</v>
      </c>
      <c r="K433" s="3">
        <f>+Treinamentos[[#This Row],[Alunos]]*Treinamentos[[#This Row],[Valor]]</f>
        <v>624</v>
      </c>
    </row>
    <row r="434" spans="1:11" x14ac:dyDescent="0.25">
      <c r="A434">
        <v>4787</v>
      </c>
      <c r="B434" s="1" t="s">
        <v>41</v>
      </c>
      <c r="C434" s="1" t="s">
        <v>61</v>
      </c>
      <c r="D434" s="2">
        <v>42751.791666666664</v>
      </c>
      <c r="E434" s="2">
        <v>42765.958333333336</v>
      </c>
      <c r="F434" s="1" t="s">
        <v>12</v>
      </c>
      <c r="G434" s="1" t="s">
        <v>38</v>
      </c>
      <c r="H434">
        <v>4</v>
      </c>
      <c r="I434">
        <v>8</v>
      </c>
      <c r="J434" s="3">
        <v>62</v>
      </c>
      <c r="K434" s="3">
        <f>+Treinamentos[[#This Row],[Alunos]]*Treinamentos[[#This Row],[Valor]]</f>
        <v>496</v>
      </c>
    </row>
    <row r="435" spans="1:11" x14ac:dyDescent="0.25">
      <c r="A435">
        <v>4788</v>
      </c>
      <c r="B435" s="1" t="s">
        <v>25</v>
      </c>
      <c r="C435" s="1" t="s">
        <v>51</v>
      </c>
      <c r="D435" s="2">
        <v>42751.791666666664</v>
      </c>
      <c r="E435" s="2">
        <v>42765.958333333336</v>
      </c>
      <c r="F435" s="1" t="s">
        <v>21</v>
      </c>
      <c r="G435" s="1" t="s">
        <v>19</v>
      </c>
      <c r="H435">
        <v>4</v>
      </c>
      <c r="I435">
        <v>10</v>
      </c>
      <c r="J435" s="3">
        <v>62</v>
      </c>
      <c r="K435" s="3">
        <f>+Treinamentos[[#This Row],[Alunos]]*Treinamentos[[#This Row],[Valor]]</f>
        <v>620</v>
      </c>
    </row>
    <row r="436" spans="1:11" x14ac:dyDescent="0.25">
      <c r="A436">
        <v>4789</v>
      </c>
      <c r="B436" s="1" t="s">
        <v>17</v>
      </c>
      <c r="C436" s="1" t="s">
        <v>50</v>
      </c>
      <c r="D436" s="2">
        <v>42752.791666666664</v>
      </c>
      <c r="E436" s="2">
        <v>42766.958333333336</v>
      </c>
      <c r="F436" s="1" t="s">
        <v>12</v>
      </c>
      <c r="G436" s="1" t="s">
        <v>27</v>
      </c>
      <c r="H436">
        <v>5</v>
      </c>
      <c r="I436">
        <v>8</v>
      </c>
      <c r="J436" s="3">
        <v>35</v>
      </c>
      <c r="K436" s="3">
        <f>+Treinamentos[[#This Row],[Alunos]]*Treinamentos[[#This Row],[Valor]]</f>
        <v>280</v>
      </c>
    </row>
    <row r="437" spans="1:11" x14ac:dyDescent="0.25">
      <c r="A437">
        <v>4790</v>
      </c>
      <c r="B437" s="1" t="s">
        <v>14</v>
      </c>
      <c r="C437" s="1" t="s">
        <v>56</v>
      </c>
      <c r="D437" s="2">
        <v>42753.583333333336</v>
      </c>
      <c r="E437" s="2">
        <v>42767.75</v>
      </c>
      <c r="F437" s="1" t="s">
        <v>21</v>
      </c>
      <c r="G437" s="1" t="s">
        <v>42</v>
      </c>
      <c r="H437">
        <v>4</v>
      </c>
      <c r="I437">
        <v>9</v>
      </c>
      <c r="J437" s="3">
        <v>63</v>
      </c>
      <c r="K437" s="3">
        <f>+Treinamentos[[#This Row],[Alunos]]*Treinamentos[[#This Row],[Valor]]</f>
        <v>567</v>
      </c>
    </row>
    <row r="438" spans="1:11" x14ac:dyDescent="0.25">
      <c r="A438">
        <v>4791</v>
      </c>
      <c r="B438" s="1" t="s">
        <v>37</v>
      </c>
      <c r="C438" s="1" t="s">
        <v>49</v>
      </c>
      <c r="D438" s="2">
        <v>42754.375</v>
      </c>
      <c r="E438" s="2">
        <v>42761.75</v>
      </c>
      <c r="F438" s="1" t="s">
        <v>21</v>
      </c>
      <c r="G438" s="1" t="s">
        <v>36</v>
      </c>
      <c r="H438">
        <v>4</v>
      </c>
      <c r="I438">
        <v>8</v>
      </c>
      <c r="J438" s="3">
        <v>53</v>
      </c>
      <c r="K438" s="3">
        <f>+Treinamentos[[#This Row],[Alunos]]*Treinamentos[[#This Row],[Valor]]</f>
        <v>424</v>
      </c>
    </row>
    <row r="439" spans="1:11" x14ac:dyDescent="0.25">
      <c r="A439">
        <v>4792</v>
      </c>
      <c r="B439" s="1" t="s">
        <v>25</v>
      </c>
      <c r="C439" s="1" t="s">
        <v>58</v>
      </c>
      <c r="D439" s="2">
        <v>42755.333333333336</v>
      </c>
      <c r="E439" s="2">
        <v>42769.5</v>
      </c>
      <c r="F439" s="1" t="s">
        <v>12</v>
      </c>
      <c r="G439" s="1" t="s">
        <v>16</v>
      </c>
      <c r="H439">
        <v>4</v>
      </c>
      <c r="I439">
        <v>10</v>
      </c>
      <c r="J439" s="3">
        <v>48</v>
      </c>
      <c r="K439" s="3">
        <f>+Treinamentos[[#This Row],[Alunos]]*Treinamentos[[#This Row],[Valor]]</f>
        <v>480</v>
      </c>
    </row>
    <row r="440" spans="1:11" x14ac:dyDescent="0.25">
      <c r="A440">
        <v>4793</v>
      </c>
      <c r="B440" s="1" t="s">
        <v>37</v>
      </c>
      <c r="C440" s="1" t="s">
        <v>59</v>
      </c>
      <c r="D440" s="2">
        <v>42756.375</v>
      </c>
      <c r="E440" s="2">
        <v>42762.75</v>
      </c>
      <c r="F440" s="1" t="s">
        <v>21</v>
      </c>
      <c r="G440" s="1" t="s">
        <v>33</v>
      </c>
      <c r="H440">
        <v>5</v>
      </c>
      <c r="I440">
        <v>12</v>
      </c>
      <c r="J440" s="3">
        <v>48</v>
      </c>
      <c r="K440" s="3">
        <f>+Treinamentos[[#This Row],[Alunos]]*Treinamentos[[#This Row],[Valor]]</f>
        <v>576</v>
      </c>
    </row>
    <row r="441" spans="1:11" x14ac:dyDescent="0.25">
      <c r="A441">
        <v>4794</v>
      </c>
      <c r="B441" s="1" t="s">
        <v>25</v>
      </c>
      <c r="C441" s="1" t="s">
        <v>60</v>
      </c>
      <c r="D441" s="2">
        <v>42758.791666666664</v>
      </c>
      <c r="E441" s="2">
        <v>42772.958333333336</v>
      </c>
      <c r="F441" s="1" t="s">
        <v>12</v>
      </c>
      <c r="G441" s="1" t="s">
        <v>22</v>
      </c>
      <c r="H441">
        <v>2</v>
      </c>
      <c r="I441">
        <v>11</v>
      </c>
      <c r="J441" s="3">
        <v>42</v>
      </c>
      <c r="K441" s="3">
        <f>+Treinamentos[[#This Row],[Alunos]]*Treinamentos[[#This Row],[Valor]]</f>
        <v>462</v>
      </c>
    </row>
    <row r="442" spans="1:11" x14ac:dyDescent="0.25">
      <c r="A442">
        <v>4795</v>
      </c>
      <c r="B442" s="1" t="s">
        <v>10</v>
      </c>
      <c r="C442" s="1" t="s">
        <v>55</v>
      </c>
      <c r="D442" s="2">
        <v>42758.791666666664</v>
      </c>
      <c r="E442" s="2">
        <v>42772.958333333336</v>
      </c>
      <c r="F442" s="1" t="s">
        <v>12</v>
      </c>
      <c r="G442" s="1" t="s">
        <v>19</v>
      </c>
      <c r="H442">
        <v>4</v>
      </c>
      <c r="I442">
        <v>11</v>
      </c>
      <c r="J442" s="3">
        <v>75</v>
      </c>
      <c r="K442" s="3">
        <f>+Treinamentos[[#This Row],[Alunos]]*Treinamentos[[#This Row],[Valor]]</f>
        <v>825</v>
      </c>
    </row>
    <row r="443" spans="1:11" x14ac:dyDescent="0.25">
      <c r="A443">
        <v>4796</v>
      </c>
      <c r="B443" s="1" t="s">
        <v>37</v>
      </c>
      <c r="C443" s="1" t="s">
        <v>53</v>
      </c>
      <c r="D443" s="2">
        <v>42759.791666666664</v>
      </c>
      <c r="E443" s="2">
        <v>42773.958333333336</v>
      </c>
      <c r="F443" s="1" t="s">
        <v>12</v>
      </c>
      <c r="G443" s="1" t="s">
        <v>24</v>
      </c>
      <c r="H443">
        <v>3</v>
      </c>
      <c r="I443">
        <v>8</v>
      </c>
      <c r="J443" s="3">
        <v>32</v>
      </c>
      <c r="K443" s="3">
        <f>+Treinamentos[[#This Row],[Alunos]]*Treinamentos[[#This Row],[Valor]]</f>
        <v>256</v>
      </c>
    </row>
    <row r="444" spans="1:11" x14ac:dyDescent="0.25">
      <c r="A444">
        <v>4797</v>
      </c>
      <c r="B444" s="1" t="s">
        <v>30</v>
      </c>
      <c r="C444" s="1" t="s">
        <v>56</v>
      </c>
      <c r="D444" s="2">
        <v>42760.583333333336</v>
      </c>
      <c r="E444" s="2">
        <v>42773.75</v>
      </c>
      <c r="F444" s="1" t="s">
        <v>21</v>
      </c>
      <c r="G444" s="1" t="s">
        <v>42</v>
      </c>
      <c r="H444">
        <v>5</v>
      </c>
      <c r="I444">
        <v>10</v>
      </c>
      <c r="J444" s="3">
        <v>63</v>
      </c>
      <c r="K444" s="3">
        <f>+Treinamentos[[#This Row],[Alunos]]*Treinamentos[[#This Row],[Valor]]</f>
        <v>630</v>
      </c>
    </row>
    <row r="445" spans="1:11" x14ac:dyDescent="0.25">
      <c r="A445">
        <v>4798</v>
      </c>
      <c r="B445" s="1" t="s">
        <v>30</v>
      </c>
      <c r="C445" s="1" t="s">
        <v>51</v>
      </c>
      <c r="D445" s="2">
        <v>42761.375</v>
      </c>
      <c r="E445" s="2">
        <v>42767.75</v>
      </c>
      <c r="F445" s="1" t="s">
        <v>21</v>
      </c>
      <c r="G445" s="1" t="s">
        <v>22</v>
      </c>
      <c r="H445">
        <v>2</v>
      </c>
      <c r="I445">
        <v>8</v>
      </c>
      <c r="J445" s="3">
        <v>62</v>
      </c>
      <c r="K445" s="3">
        <f>+Treinamentos[[#This Row],[Alunos]]*Treinamentos[[#This Row],[Valor]]</f>
        <v>496</v>
      </c>
    </row>
    <row r="446" spans="1:11" x14ac:dyDescent="0.25">
      <c r="A446">
        <v>4799</v>
      </c>
      <c r="B446" s="1" t="s">
        <v>25</v>
      </c>
      <c r="C446" s="1" t="s">
        <v>53</v>
      </c>
      <c r="D446" s="2">
        <v>42762.333333333336</v>
      </c>
      <c r="E446" s="2">
        <v>42775.5</v>
      </c>
      <c r="F446" s="1" t="s">
        <v>12</v>
      </c>
      <c r="G446" s="1" t="s">
        <v>13</v>
      </c>
      <c r="H446">
        <v>2</v>
      </c>
      <c r="I446">
        <v>9</v>
      </c>
      <c r="J446" s="3">
        <v>32</v>
      </c>
      <c r="K446" s="3">
        <f>+Treinamentos[[#This Row],[Alunos]]*Treinamentos[[#This Row],[Valor]]</f>
        <v>288</v>
      </c>
    </row>
    <row r="447" spans="1:11" x14ac:dyDescent="0.25">
      <c r="A447">
        <v>4800</v>
      </c>
      <c r="B447" s="1" t="s">
        <v>10</v>
      </c>
      <c r="C447" s="1" t="s">
        <v>57</v>
      </c>
      <c r="D447" s="2">
        <v>42763.375</v>
      </c>
      <c r="E447" s="2">
        <v>42768.75</v>
      </c>
      <c r="F447" s="1" t="s">
        <v>21</v>
      </c>
      <c r="G447" s="1" t="s">
        <v>27</v>
      </c>
      <c r="H447">
        <v>3</v>
      </c>
      <c r="I447">
        <v>9</v>
      </c>
      <c r="J447" s="3">
        <v>52</v>
      </c>
      <c r="K447" s="3">
        <f>+Treinamentos[[#This Row],[Alunos]]*Treinamentos[[#This Row],[Valor]]</f>
        <v>468</v>
      </c>
    </row>
    <row r="448" spans="1:11" x14ac:dyDescent="0.25">
      <c r="A448">
        <v>4801</v>
      </c>
      <c r="B448" s="1" t="s">
        <v>30</v>
      </c>
      <c r="C448" s="1" t="s">
        <v>60</v>
      </c>
      <c r="D448" s="2">
        <v>42765.791666666664</v>
      </c>
      <c r="E448" s="2">
        <v>42776.958333333336</v>
      </c>
      <c r="F448" s="1" t="s">
        <v>21</v>
      </c>
      <c r="G448" s="1" t="s">
        <v>27</v>
      </c>
      <c r="H448">
        <v>5</v>
      </c>
      <c r="I448">
        <v>8</v>
      </c>
      <c r="J448" s="3">
        <v>42</v>
      </c>
      <c r="K448" s="3">
        <f>+Treinamentos[[#This Row],[Alunos]]*Treinamentos[[#This Row],[Valor]]</f>
        <v>336</v>
      </c>
    </row>
    <row r="449" spans="1:11" x14ac:dyDescent="0.25">
      <c r="A449">
        <v>4802</v>
      </c>
      <c r="B449" s="1" t="s">
        <v>25</v>
      </c>
      <c r="C449" s="1" t="s">
        <v>54</v>
      </c>
      <c r="D449" s="2">
        <v>42765.791666666664</v>
      </c>
      <c r="E449" s="2">
        <v>42776.958333333336</v>
      </c>
      <c r="F449" s="1" t="s">
        <v>21</v>
      </c>
      <c r="G449" s="1" t="s">
        <v>47</v>
      </c>
      <c r="H449">
        <v>3</v>
      </c>
      <c r="I449">
        <v>8</v>
      </c>
      <c r="J449" s="3">
        <v>43</v>
      </c>
      <c r="K449" s="3">
        <f>+Treinamentos[[#This Row],[Alunos]]*Treinamentos[[#This Row],[Valor]]</f>
        <v>344</v>
      </c>
    </row>
    <row r="450" spans="1:11" x14ac:dyDescent="0.25">
      <c r="A450">
        <v>4803</v>
      </c>
      <c r="B450" s="1" t="s">
        <v>37</v>
      </c>
      <c r="C450" s="1" t="s">
        <v>53</v>
      </c>
      <c r="D450" s="2">
        <v>42766.791666666664</v>
      </c>
      <c r="E450" s="2">
        <v>42779.958333333336</v>
      </c>
      <c r="F450" s="1" t="s">
        <v>21</v>
      </c>
      <c r="G450" s="1" t="s">
        <v>48</v>
      </c>
      <c r="H450">
        <v>2</v>
      </c>
      <c r="I450">
        <v>12</v>
      </c>
      <c r="J450" s="3">
        <v>32</v>
      </c>
      <c r="K450" s="3">
        <f>+Treinamentos[[#This Row],[Alunos]]*Treinamentos[[#This Row],[Valor]]</f>
        <v>384</v>
      </c>
    </row>
    <row r="451" spans="1:11" x14ac:dyDescent="0.25">
      <c r="A451">
        <v>4804</v>
      </c>
      <c r="B451" s="1" t="s">
        <v>41</v>
      </c>
      <c r="C451" s="1" t="s">
        <v>59</v>
      </c>
      <c r="D451" s="2">
        <v>42767.583333333336</v>
      </c>
      <c r="E451" s="2">
        <v>42780.75</v>
      </c>
      <c r="F451" s="1" t="s">
        <v>21</v>
      </c>
      <c r="G451" s="1" t="s">
        <v>24</v>
      </c>
      <c r="H451">
        <v>5</v>
      </c>
      <c r="I451">
        <v>9</v>
      </c>
      <c r="J451" s="3">
        <v>48</v>
      </c>
      <c r="K451" s="3">
        <f>+Treinamentos[[#This Row],[Alunos]]*Treinamentos[[#This Row],[Valor]]</f>
        <v>432</v>
      </c>
    </row>
    <row r="452" spans="1:11" x14ac:dyDescent="0.25">
      <c r="A452">
        <v>4805</v>
      </c>
      <c r="B452" s="1" t="s">
        <v>30</v>
      </c>
      <c r="C452" s="1" t="s">
        <v>60</v>
      </c>
      <c r="D452" s="2">
        <v>42768.375</v>
      </c>
      <c r="E452" s="2">
        <v>42774.75</v>
      </c>
      <c r="F452" s="1" t="s">
        <v>12</v>
      </c>
      <c r="G452" s="1" t="s">
        <v>38</v>
      </c>
      <c r="H452">
        <v>2</v>
      </c>
      <c r="I452">
        <v>10</v>
      </c>
      <c r="J452" s="3">
        <v>42</v>
      </c>
      <c r="K452" s="3">
        <f>+Treinamentos[[#This Row],[Alunos]]*Treinamentos[[#This Row],[Valor]]</f>
        <v>420</v>
      </c>
    </row>
    <row r="453" spans="1:11" x14ac:dyDescent="0.25">
      <c r="A453">
        <v>4806</v>
      </c>
      <c r="B453" s="1" t="s">
        <v>17</v>
      </c>
      <c r="C453" s="1" t="s">
        <v>55</v>
      </c>
      <c r="D453" s="2">
        <v>42769.333333333336</v>
      </c>
      <c r="E453" s="2">
        <v>42782.5</v>
      </c>
      <c r="F453" s="1" t="s">
        <v>12</v>
      </c>
      <c r="G453" s="1" t="s">
        <v>19</v>
      </c>
      <c r="H453">
        <v>5</v>
      </c>
      <c r="I453">
        <v>11</v>
      </c>
      <c r="J453" s="3">
        <v>75</v>
      </c>
      <c r="K453" s="3">
        <f>+Treinamentos[[#This Row],[Alunos]]*Treinamentos[[#This Row],[Valor]]</f>
        <v>825</v>
      </c>
    </row>
    <row r="454" spans="1:11" x14ac:dyDescent="0.25">
      <c r="A454">
        <v>4807</v>
      </c>
      <c r="B454" s="1" t="s">
        <v>16</v>
      </c>
      <c r="C454" s="1" t="s">
        <v>60</v>
      </c>
      <c r="D454" s="2">
        <v>42770.375</v>
      </c>
      <c r="E454" s="2">
        <v>42775.75</v>
      </c>
      <c r="F454" s="1" t="s">
        <v>21</v>
      </c>
      <c r="G454" s="1" t="s">
        <v>27</v>
      </c>
      <c r="H454">
        <v>3</v>
      </c>
      <c r="I454">
        <v>8</v>
      </c>
      <c r="J454" s="3">
        <v>42</v>
      </c>
      <c r="K454" s="3">
        <f>+Treinamentos[[#This Row],[Alunos]]*Treinamentos[[#This Row],[Valor]]</f>
        <v>336</v>
      </c>
    </row>
    <row r="455" spans="1:11" x14ac:dyDescent="0.25">
      <c r="A455">
        <v>4808</v>
      </c>
      <c r="B455" s="1" t="s">
        <v>30</v>
      </c>
      <c r="C455" s="1" t="s">
        <v>53</v>
      </c>
      <c r="D455" s="2">
        <v>42772.791666666664</v>
      </c>
      <c r="E455" s="2">
        <v>42783.958333333336</v>
      </c>
      <c r="F455" s="1" t="s">
        <v>12</v>
      </c>
      <c r="G455" s="1" t="s">
        <v>22</v>
      </c>
      <c r="H455">
        <v>5</v>
      </c>
      <c r="I455">
        <v>10</v>
      </c>
      <c r="J455" s="3">
        <v>32</v>
      </c>
      <c r="K455" s="3">
        <f>+Treinamentos[[#This Row],[Alunos]]*Treinamentos[[#This Row],[Valor]]</f>
        <v>320</v>
      </c>
    </row>
    <row r="456" spans="1:11" x14ac:dyDescent="0.25">
      <c r="A456">
        <v>4809</v>
      </c>
      <c r="B456" s="1" t="s">
        <v>10</v>
      </c>
      <c r="C456" s="1" t="s">
        <v>56</v>
      </c>
      <c r="D456" s="2">
        <v>42772.791666666664</v>
      </c>
      <c r="E456" s="2">
        <v>42783.958333333336</v>
      </c>
      <c r="F456" s="1" t="s">
        <v>21</v>
      </c>
      <c r="G456" s="1" t="s">
        <v>48</v>
      </c>
      <c r="H456">
        <v>5</v>
      </c>
      <c r="I456">
        <v>11</v>
      </c>
      <c r="J456" s="3">
        <v>63</v>
      </c>
      <c r="K456" s="3">
        <f>+Treinamentos[[#This Row],[Alunos]]*Treinamentos[[#This Row],[Valor]]</f>
        <v>693</v>
      </c>
    </row>
    <row r="457" spans="1:11" x14ac:dyDescent="0.25">
      <c r="A457">
        <v>4810</v>
      </c>
      <c r="B457" s="1" t="s">
        <v>37</v>
      </c>
      <c r="C457" s="1" t="s">
        <v>53</v>
      </c>
      <c r="D457" s="2">
        <v>42773.791666666664</v>
      </c>
      <c r="E457" s="2">
        <v>42786.958333333336</v>
      </c>
      <c r="F457" s="1" t="s">
        <v>12</v>
      </c>
      <c r="G457" s="1" t="s">
        <v>19</v>
      </c>
      <c r="H457">
        <v>2</v>
      </c>
      <c r="I457">
        <v>10</v>
      </c>
      <c r="J457" s="3">
        <v>32</v>
      </c>
      <c r="K457" s="3">
        <f>+Treinamentos[[#This Row],[Alunos]]*Treinamentos[[#This Row],[Valor]]</f>
        <v>320</v>
      </c>
    </row>
    <row r="458" spans="1:11" x14ac:dyDescent="0.25">
      <c r="A458">
        <v>4811</v>
      </c>
      <c r="B458" s="1" t="s">
        <v>37</v>
      </c>
      <c r="C458" s="1" t="s">
        <v>61</v>
      </c>
      <c r="D458" s="2">
        <v>42774.583333333336</v>
      </c>
      <c r="E458" s="2">
        <v>42787.75</v>
      </c>
      <c r="F458" s="1" t="s">
        <v>12</v>
      </c>
      <c r="G458" s="1" t="s">
        <v>19</v>
      </c>
      <c r="H458">
        <v>4</v>
      </c>
      <c r="I458">
        <v>11</v>
      </c>
      <c r="J458" s="3">
        <v>62</v>
      </c>
      <c r="K458" s="3">
        <f>+Treinamentos[[#This Row],[Alunos]]*Treinamentos[[#This Row],[Valor]]</f>
        <v>682</v>
      </c>
    </row>
    <row r="459" spans="1:11" x14ac:dyDescent="0.25">
      <c r="A459">
        <v>4812</v>
      </c>
      <c r="B459" s="1" t="s">
        <v>28</v>
      </c>
      <c r="C459" s="1" t="s">
        <v>55</v>
      </c>
      <c r="D459" s="2">
        <v>42775.375</v>
      </c>
      <c r="E459" s="2">
        <v>42781.75</v>
      </c>
      <c r="F459" s="1" t="s">
        <v>21</v>
      </c>
      <c r="G459" s="1" t="s">
        <v>34</v>
      </c>
      <c r="H459">
        <v>3</v>
      </c>
      <c r="I459">
        <v>10</v>
      </c>
      <c r="J459" s="3">
        <v>75</v>
      </c>
      <c r="K459" s="3">
        <f>+Treinamentos[[#This Row],[Alunos]]*Treinamentos[[#This Row],[Valor]]</f>
        <v>750</v>
      </c>
    </row>
    <row r="460" spans="1:11" x14ac:dyDescent="0.25">
      <c r="A460">
        <v>4813</v>
      </c>
      <c r="B460" s="1" t="s">
        <v>41</v>
      </c>
      <c r="C460" s="1" t="s">
        <v>51</v>
      </c>
      <c r="D460" s="2">
        <v>42776.333333333336</v>
      </c>
      <c r="E460" s="2">
        <v>42789.5</v>
      </c>
      <c r="F460" s="1" t="s">
        <v>12</v>
      </c>
      <c r="G460" s="1" t="s">
        <v>38</v>
      </c>
      <c r="H460">
        <v>5</v>
      </c>
      <c r="I460">
        <v>9</v>
      </c>
      <c r="J460" s="3">
        <v>62</v>
      </c>
      <c r="K460" s="3">
        <f>+Treinamentos[[#This Row],[Alunos]]*Treinamentos[[#This Row],[Valor]]</f>
        <v>558</v>
      </c>
    </row>
    <row r="461" spans="1:11" x14ac:dyDescent="0.25">
      <c r="A461">
        <v>4814</v>
      </c>
      <c r="B461" s="1" t="s">
        <v>14</v>
      </c>
      <c r="C461" s="1" t="s">
        <v>53</v>
      </c>
      <c r="D461" s="2">
        <v>42777.375</v>
      </c>
      <c r="E461" s="2">
        <v>42782.75</v>
      </c>
      <c r="F461" s="1" t="s">
        <v>12</v>
      </c>
      <c r="G461" s="1" t="s">
        <v>44</v>
      </c>
      <c r="H461">
        <v>2</v>
      </c>
      <c r="I461">
        <v>10</v>
      </c>
      <c r="J461" s="3">
        <v>32</v>
      </c>
      <c r="K461" s="3">
        <f>+Treinamentos[[#This Row],[Alunos]]*Treinamentos[[#This Row],[Valor]]</f>
        <v>320</v>
      </c>
    </row>
    <row r="462" spans="1:11" x14ac:dyDescent="0.25">
      <c r="A462">
        <v>4815</v>
      </c>
      <c r="B462" s="1" t="s">
        <v>37</v>
      </c>
      <c r="C462" s="1" t="s">
        <v>55</v>
      </c>
      <c r="D462" s="2">
        <v>42779.791666666664</v>
      </c>
      <c r="E462" s="2">
        <v>42790.958333333336</v>
      </c>
      <c r="F462" s="1" t="s">
        <v>12</v>
      </c>
      <c r="G462" s="1" t="s">
        <v>34</v>
      </c>
      <c r="H462">
        <v>5</v>
      </c>
      <c r="I462">
        <v>9</v>
      </c>
      <c r="J462" s="3">
        <v>75</v>
      </c>
      <c r="K462" s="3">
        <f>+Treinamentos[[#This Row],[Alunos]]*Treinamentos[[#This Row],[Valor]]</f>
        <v>675</v>
      </c>
    </row>
    <row r="463" spans="1:11" x14ac:dyDescent="0.25">
      <c r="A463">
        <v>4816</v>
      </c>
      <c r="B463" s="1" t="s">
        <v>41</v>
      </c>
      <c r="C463" s="1" t="s">
        <v>49</v>
      </c>
      <c r="D463" s="2">
        <v>42779.791666666664</v>
      </c>
      <c r="E463" s="2">
        <v>42790.958333333336</v>
      </c>
      <c r="F463" s="1" t="s">
        <v>21</v>
      </c>
      <c r="G463" s="1" t="s">
        <v>22</v>
      </c>
      <c r="H463">
        <v>4</v>
      </c>
      <c r="I463">
        <v>9</v>
      </c>
      <c r="J463" s="3">
        <v>53</v>
      </c>
      <c r="K463" s="3">
        <f>+Treinamentos[[#This Row],[Alunos]]*Treinamentos[[#This Row],[Valor]]</f>
        <v>477</v>
      </c>
    </row>
    <row r="464" spans="1:11" x14ac:dyDescent="0.25">
      <c r="A464">
        <v>4817</v>
      </c>
      <c r="B464" s="1" t="s">
        <v>25</v>
      </c>
      <c r="C464" s="1" t="s">
        <v>61</v>
      </c>
      <c r="D464" s="2">
        <v>42780.791666666664</v>
      </c>
      <c r="E464" s="2">
        <v>42795.958333333336</v>
      </c>
      <c r="F464" s="1" t="s">
        <v>12</v>
      </c>
      <c r="G464" s="1" t="s">
        <v>22</v>
      </c>
      <c r="H464">
        <v>3</v>
      </c>
      <c r="I464">
        <v>8</v>
      </c>
      <c r="J464" s="3">
        <v>62</v>
      </c>
      <c r="K464" s="3">
        <f>+Treinamentos[[#This Row],[Alunos]]*Treinamentos[[#This Row],[Valor]]</f>
        <v>496</v>
      </c>
    </row>
    <row r="465" spans="1:11" x14ac:dyDescent="0.25">
      <c r="A465">
        <v>4818</v>
      </c>
      <c r="B465" s="1" t="s">
        <v>16</v>
      </c>
      <c r="C465" s="1" t="s">
        <v>49</v>
      </c>
      <c r="D465" s="2">
        <v>42781.583333333336</v>
      </c>
      <c r="E465" s="2">
        <v>42796.75</v>
      </c>
      <c r="F465" s="1" t="s">
        <v>21</v>
      </c>
      <c r="G465" s="1" t="s">
        <v>44</v>
      </c>
      <c r="H465">
        <v>3</v>
      </c>
      <c r="I465">
        <v>9</v>
      </c>
      <c r="J465" s="3">
        <v>53</v>
      </c>
      <c r="K465" s="3">
        <f>+Treinamentos[[#This Row],[Alunos]]*Treinamentos[[#This Row],[Valor]]</f>
        <v>477</v>
      </c>
    </row>
    <row r="466" spans="1:11" x14ac:dyDescent="0.25">
      <c r="A466">
        <v>4819</v>
      </c>
      <c r="B466" s="1" t="s">
        <v>37</v>
      </c>
      <c r="C466" s="1" t="s">
        <v>57</v>
      </c>
      <c r="D466" s="2">
        <v>42782.375</v>
      </c>
      <c r="E466" s="2">
        <v>42788.75</v>
      </c>
      <c r="F466" s="1" t="s">
        <v>21</v>
      </c>
      <c r="G466" s="1" t="s">
        <v>24</v>
      </c>
      <c r="H466">
        <v>3</v>
      </c>
      <c r="I466">
        <v>10</v>
      </c>
      <c r="J466" s="3">
        <v>52</v>
      </c>
      <c r="K466" s="3">
        <f>+Treinamentos[[#This Row],[Alunos]]*Treinamentos[[#This Row],[Valor]]</f>
        <v>520</v>
      </c>
    </row>
    <row r="467" spans="1:11" x14ac:dyDescent="0.25">
      <c r="A467">
        <v>4820</v>
      </c>
      <c r="B467" s="1" t="s">
        <v>41</v>
      </c>
      <c r="C467" s="1" t="s">
        <v>53</v>
      </c>
      <c r="D467" s="2">
        <v>42783.333333333336</v>
      </c>
      <c r="E467" s="2">
        <v>42800.5</v>
      </c>
      <c r="F467" s="1" t="s">
        <v>21</v>
      </c>
      <c r="G467" s="1" t="s">
        <v>33</v>
      </c>
      <c r="H467">
        <v>3</v>
      </c>
      <c r="I467">
        <v>10</v>
      </c>
      <c r="J467" s="3">
        <v>32</v>
      </c>
      <c r="K467" s="3">
        <f>+Treinamentos[[#This Row],[Alunos]]*Treinamentos[[#This Row],[Valor]]</f>
        <v>320</v>
      </c>
    </row>
    <row r="468" spans="1:11" x14ac:dyDescent="0.25">
      <c r="A468">
        <v>4821</v>
      </c>
      <c r="B468" s="1" t="s">
        <v>14</v>
      </c>
      <c r="C468" s="1" t="s">
        <v>60</v>
      </c>
      <c r="D468" s="2">
        <v>42784.375</v>
      </c>
      <c r="E468" s="2">
        <v>42789.75</v>
      </c>
      <c r="F468" s="1" t="s">
        <v>21</v>
      </c>
      <c r="G468" s="1" t="s">
        <v>24</v>
      </c>
      <c r="H468">
        <v>5</v>
      </c>
      <c r="I468">
        <v>10</v>
      </c>
      <c r="J468" s="3">
        <v>42</v>
      </c>
      <c r="K468" s="3">
        <f>+Treinamentos[[#This Row],[Alunos]]*Treinamentos[[#This Row],[Valor]]</f>
        <v>420</v>
      </c>
    </row>
    <row r="469" spans="1:11" x14ac:dyDescent="0.25">
      <c r="A469">
        <v>4822</v>
      </c>
      <c r="B469" s="1" t="s">
        <v>37</v>
      </c>
      <c r="C469" s="1" t="s">
        <v>61</v>
      </c>
      <c r="D469" s="2">
        <v>42786.791666666664</v>
      </c>
      <c r="E469" s="2">
        <v>42801.958333333336</v>
      </c>
      <c r="F469" s="1" t="s">
        <v>12</v>
      </c>
      <c r="G469" s="1" t="s">
        <v>34</v>
      </c>
      <c r="H469">
        <v>2</v>
      </c>
      <c r="I469">
        <v>10</v>
      </c>
      <c r="J469" s="3">
        <v>62</v>
      </c>
      <c r="K469" s="3">
        <f>+Treinamentos[[#This Row],[Alunos]]*Treinamentos[[#This Row],[Valor]]</f>
        <v>620</v>
      </c>
    </row>
    <row r="470" spans="1:11" x14ac:dyDescent="0.25">
      <c r="A470">
        <v>4823</v>
      </c>
      <c r="B470" s="1" t="s">
        <v>37</v>
      </c>
      <c r="C470" s="1" t="s">
        <v>58</v>
      </c>
      <c r="D470" s="2">
        <v>42786.791666666664</v>
      </c>
      <c r="E470" s="2">
        <v>42801.958333333336</v>
      </c>
      <c r="F470" s="1" t="s">
        <v>21</v>
      </c>
      <c r="G470" s="1" t="s">
        <v>33</v>
      </c>
      <c r="H470">
        <v>3</v>
      </c>
      <c r="I470">
        <v>8</v>
      </c>
      <c r="J470" s="3">
        <v>48</v>
      </c>
      <c r="K470" s="3">
        <f>+Treinamentos[[#This Row],[Alunos]]*Treinamentos[[#This Row],[Valor]]</f>
        <v>384</v>
      </c>
    </row>
    <row r="471" spans="1:11" x14ac:dyDescent="0.25">
      <c r="A471">
        <v>4824</v>
      </c>
      <c r="B471" s="1" t="s">
        <v>41</v>
      </c>
      <c r="C471" s="1" t="s">
        <v>51</v>
      </c>
      <c r="D471" s="2">
        <v>42787.791666666664</v>
      </c>
      <c r="E471" s="2">
        <v>42802.958333333336</v>
      </c>
      <c r="F471" s="1" t="s">
        <v>12</v>
      </c>
      <c r="G471" s="1" t="s">
        <v>44</v>
      </c>
      <c r="H471">
        <v>5</v>
      </c>
      <c r="I471">
        <v>8</v>
      </c>
      <c r="J471" s="3">
        <v>62</v>
      </c>
      <c r="K471" s="3">
        <f>+Treinamentos[[#This Row],[Alunos]]*Treinamentos[[#This Row],[Valor]]</f>
        <v>496</v>
      </c>
    </row>
    <row r="472" spans="1:11" x14ac:dyDescent="0.25">
      <c r="A472">
        <v>4825</v>
      </c>
      <c r="B472" s="1" t="s">
        <v>28</v>
      </c>
      <c r="C472" s="1" t="s">
        <v>56</v>
      </c>
      <c r="D472" s="2">
        <v>42788.583333333336</v>
      </c>
      <c r="E472" s="2">
        <v>42803.75</v>
      </c>
      <c r="F472" s="1" t="s">
        <v>21</v>
      </c>
      <c r="G472" s="1" t="s">
        <v>42</v>
      </c>
      <c r="H472">
        <v>5</v>
      </c>
      <c r="I472">
        <v>11</v>
      </c>
      <c r="J472" s="3">
        <v>63</v>
      </c>
      <c r="K472" s="3">
        <f>+Treinamentos[[#This Row],[Alunos]]*Treinamentos[[#This Row],[Valor]]</f>
        <v>693</v>
      </c>
    </row>
    <row r="473" spans="1:11" x14ac:dyDescent="0.25">
      <c r="A473">
        <v>4826</v>
      </c>
      <c r="B473" s="1" t="s">
        <v>17</v>
      </c>
      <c r="C473" s="1" t="s">
        <v>50</v>
      </c>
      <c r="D473" s="2">
        <v>42789.375</v>
      </c>
      <c r="E473" s="2">
        <v>42797.75</v>
      </c>
      <c r="F473" s="1" t="s">
        <v>21</v>
      </c>
      <c r="G473" s="1" t="s">
        <v>46</v>
      </c>
      <c r="H473">
        <v>5</v>
      </c>
      <c r="I473">
        <v>11</v>
      </c>
      <c r="J473" s="3">
        <v>35</v>
      </c>
      <c r="K473" s="3">
        <f>+Treinamentos[[#This Row],[Alunos]]*Treinamentos[[#This Row],[Valor]]</f>
        <v>385</v>
      </c>
    </row>
    <row r="474" spans="1:11" x14ac:dyDescent="0.25">
      <c r="A474">
        <v>4827</v>
      </c>
      <c r="B474" s="1" t="s">
        <v>25</v>
      </c>
      <c r="C474" s="1" t="s">
        <v>55</v>
      </c>
      <c r="D474" s="2">
        <v>42790.333333333336</v>
      </c>
      <c r="E474" s="2">
        <v>42807.5</v>
      </c>
      <c r="F474" s="1" t="s">
        <v>12</v>
      </c>
      <c r="G474" s="1" t="s">
        <v>38</v>
      </c>
      <c r="H474">
        <v>4</v>
      </c>
      <c r="I474">
        <v>8</v>
      </c>
      <c r="J474" s="3">
        <v>75</v>
      </c>
      <c r="K474" s="3">
        <f>+Treinamentos[[#This Row],[Alunos]]*Treinamentos[[#This Row],[Valor]]</f>
        <v>600</v>
      </c>
    </row>
    <row r="475" spans="1:11" x14ac:dyDescent="0.25">
      <c r="A475">
        <v>4828</v>
      </c>
      <c r="B475" s="1" t="s">
        <v>37</v>
      </c>
      <c r="C475" s="1" t="s">
        <v>52</v>
      </c>
      <c r="D475" s="2">
        <v>42791.375</v>
      </c>
      <c r="E475" s="2">
        <v>42800.75</v>
      </c>
      <c r="F475" s="1" t="s">
        <v>21</v>
      </c>
      <c r="G475" s="1" t="s">
        <v>47</v>
      </c>
      <c r="H475">
        <v>3</v>
      </c>
      <c r="I475">
        <v>10</v>
      </c>
      <c r="J475" s="3">
        <v>48</v>
      </c>
      <c r="K475" s="3">
        <f>+Treinamentos[[#This Row],[Alunos]]*Treinamentos[[#This Row],[Valor]]</f>
        <v>480</v>
      </c>
    </row>
    <row r="476" spans="1:11" x14ac:dyDescent="0.25">
      <c r="A476">
        <v>4829</v>
      </c>
      <c r="B476" s="1" t="s">
        <v>28</v>
      </c>
      <c r="C476" s="1" t="s">
        <v>56</v>
      </c>
      <c r="D476" s="2">
        <v>42793.791666666664</v>
      </c>
      <c r="E476" s="2">
        <v>42807.958333333336</v>
      </c>
      <c r="F476" s="1" t="s">
        <v>21</v>
      </c>
      <c r="G476" s="1" t="s">
        <v>27</v>
      </c>
      <c r="H476">
        <v>5</v>
      </c>
      <c r="I476">
        <v>11</v>
      </c>
      <c r="J476" s="3">
        <v>63</v>
      </c>
      <c r="K476" s="3">
        <f>+Treinamentos[[#This Row],[Alunos]]*Treinamentos[[#This Row],[Valor]]</f>
        <v>693</v>
      </c>
    </row>
    <row r="477" spans="1:11" x14ac:dyDescent="0.25">
      <c r="A477">
        <v>4830</v>
      </c>
      <c r="B477" s="1" t="s">
        <v>28</v>
      </c>
      <c r="C477" s="1" t="s">
        <v>51</v>
      </c>
      <c r="D477" s="2">
        <v>42793.791666666664</v>
      </c>
      <c r="E477" s="2">
        <v>42807.958333333336</v>
      </c>
      <c r="F477" s="1" t="s">
        <v>21</v>
      </c>
      <c r="G477" s="1" t="s">
        <v>16</v>
      </c>
      <c r="H477">
        <v>2</v>
      </c>
      <c r="I477">
        <v>10</v>
      </c>
      <c r="J477" s="3">
        <v>62</v>
      </c>
      <c r="K477" s="3">
        <f>+Treinamentos[[#This Row],[Alunos]]*Treinamentos[[#This Row],[Valor]]</f>
        <v>620</v>
      </c>
    </row>
    <row r="478" spans="1:11" x14ac:dyDescent="0.25">
      <c r="A478">
        <v>4831</v>
      </c>
      <c r="B478" s="1" t="s">
        <v>37</v>
      </c>
      <c r="C478" s="1" t="s">
        <v>52</v>
      </c>
      <c r="D478" s="2">
        <v>42794.791666666664</v>
      </c>
      <c r="E478" s="2">
        <v>42807.958333333336</v>
      </c>
      <c r="F478" s="1" t="s">
        <v>12</v>
      </c>
      <c r="G478" s="1" t="s">
        <v>24</v>
      </c>
      <c r="H478">
        <v>2</v>
      </c>
      <c r="I478">
        <v>11</v>
      </c>
      <c r="J478" s="3">
        <v>48</v>
      </c>
      <c r="K478" s="3">
        <f>+Treinamentos[[#This Row],[Alunos]]*Treinamentos[[#This Row],[Valor]]</f>
        <v>528</v>
      </c>
    </row>
    <row r="479" spans="1:11" x14ac:dyDescent="0.25">
      <c r="A479">
        <v>4832</v>
      </c>
      <c r="B479" s="1" t="s">
        <v>30</v>
      </c>
      <c r="C479" s="1" t="s">
        <v>54</v>
      </c>
      <c r="D479" s="2">
        <v>42795.583333333336</v>
      </c>
      <c r="E479" s="2">
        <v>42808.75</v>
      </c>
      <c r="F479" s="1" t="s">
        <v>21</v>
      </c>
      <c r="G479" s="1" t="s">
        <v>36</v>
      </c>
      <c r="H479">
        <v>4</v>
      </c>
      <c r="I479">
        <v>8</v>
      </c>
      <c r="J479" s="3">
        <v>43</v>
      </c>
      <c r="K479" s="3">
        <f>+Treinamentos[[#This Row],[Alunos]]*Treinamentos[[#This Row],[Valor]]</f>
        <v>344</v>
      </c>
    </row>
    <row r="480" spans="1:11" x14ac:dyDescent="0.25">
      <c r="A480">
        <v>4833</v>
      </c>
      <c r="B480" s="1" t="s">
        <v>16</v>
      </c>
      <c r="C480" s="1" t="s">
        <v>60</v>
      </c>
      <c r="D480" s="2">
        <v>42796.375</v>
      </c>
      <c r="E480" s="2">
        <v>42802.75</v>
      </c>
      <c r="F480" s="1" t="s">
        <v>21</v>
      </c>
      <c r="G480" s="1" t="s">
        <v>24</v>
      </c>
      <c r="H480">
        <v>2</v>
      </c>
      <c r="I480">
        <v>12</v>
      </c>
      <c r="J480" s="3">
        <v>42</v>
      </c>
      <c r="K480" s="3">
        <f>+Treinamentos[[#This Row],[Alunos]]*Treinamentos[[#This Row],[Valor]]</f>
        <v>504</v>
      </c>
    </row>
    <row r="481" spans="1:11" x14ac:dyDescent="0.25">
      <c r="A481">
        <v>4834</v>
      </c>
      <c r="B481" s="1" t="s">
        <v>16</v>
      </c>
      <c r="C481" s="1" t="s">
        <v>51</v>
      </c>
      <c r="D481" s="2">
        <v>42797.333333333336</v>
      </c>
      <c r="E481" s="2">
        <v>42810.5</v>
      </c>
      <c r="F481" s="1" t="s">
        <v>21</v>
      </c>
      <c r="G481" s="1" t="s">
        <v>24</v>
      </c>
      <c r="H481">
        <v>2</v>
      </c>
      <c r="I481">
        <v>12</v>
      </c>
      <c r="J481" s="3">
        <v>62</v>
      </c>
      <c r="K481" s="3">
        <f>+Treinamentos[[#This Row],[Alunos]]*Treinamentos[[#This Row],[Valor]]</f>
        <v>744</v>
      </c>
    </row>
    <row r="482" spans="1:11" x14ac:dyDescent="0.25">
      <c r="A482">
        <v>4835</v>
      </c>
      <c r="B482" s="1" t="s">
        <v>16</v>
      </c>
      <c r="C482" s="1" t="s">
        <v>57</v>
      </c>
      <c r="D482" s="2">
        <v>42798.375</v>
      </c>
      <c r="E482" s="2">
        <v>42803.75</v>
      </c>
      <c r="F482" s="1" t="s">
        <v>12</v>
      </c>
      <c r="G482" s="1" t="s">
        <v>38</v>
      </c>
      <c r="H482">
        <v>5</v>
      </c>
      <c r="I482">
        <v>9</v>
      </c>
      <c r="J482" s="3">
        <v>52</v>
      </c>
      <c r="K482" s="3">
        <f>+Treinamentos[[#This Row],[Alunos]]*Treinamentos[[#This Row],[Valor]]</f>
        <v>468</v>
      </c>
    </row>
    <row r="483" spans="1:11" x14ac:dyDescent="0.25">
      <c r="A483">
        <v>4836</v>
      </c>
      <c r="B483" s="1" t="s">
        <v>10</v>
      </c>
      <c r="C483" s="1" t="s">
        <v>53</v>
      </c>
      <c r="D483" s="2">
        <v>42800.791666666664</v>
      </c>
      <c r="E483" s="2">
        <v>42811.958333333336</v>
      </c>
      <c r="F483" s="1" t="s">
        <v>12</v>
      </c>
      <c r="G483" s="1" t="s">
        <v>27</v>
      </c>
      <c r="H483">
        <v>5</v>
      </c>
      <c r="I483">
        <v>9</v>
      </c>
      <c r="J483" s="3">
        <v>32</v>
      </c>
      <c r="K483" s="3">
        <f>+Treinamentos[[#This Row],[Alunos]]*Treinamentos[[#This Row],[Valor]]</f>
        <v>288</v>
      </c>
    </row>
    <row r="484" spans="1:11" x14ac:dyDescent="0.25">
      <c r="A484">
        <v>4837</v>
      </c>
      <c r="B484" s="1" t="s">
        <v>10</v>
      </c>
      <c r="C484" s="1" t="s">
        <v>61</v>
      </c>
      <c r="D484" s="2">
        <v>42800.791666666664</v>
      </c>
      <c r="E484" s="2">
        <v>42811.958333333336</v>
      </c>
      <c r="F484" s="1" t="s">
        <v>12</v>
      </c>
      <c r="G484" s="1" t="s">
        <v>42</v>
      </c>
      <c r="H484">
        <v>5</v>
      </c>
      <c r="I484">
        <v>12</v>
      </c>
      <c r="J484" s="3">
        <v>62</v>
      </c>
      <c r="K484" s="3">
        <f>+Treinamentos[[#This Row],[Alunos]]*Treinamentos[[#This Row],[Valor]]</f>
        <v>744</v>
      </c>
    </row>
    <row r="485" spans="1:11" x14ac:dyDescent="0.25">
      <c r="A485">
        <v>4838</v>
      </c>
      <c r="B485" s="1" t="s">
        <v>17</v>
      </c>
      <c r="C485" s="1" t="s">
        <v>49</v>
      </c>
      <c r="D485" s="2">
        <v>42801.791666666664</v>
      </c>
      <c r="E485" s="2">
        <v>42814.958333333336</v>
      </c>
      <c r="F485" s="1" t="s">
        <v>12</v>
      </c>
      <c r="G485" s="1" t="s">
        <v>16</v>
      </c>
      <c r="H485">
        <v>2</v>
      </c>
      <c r="I485">
        <v>11</v>
      </c>
      <c r="J485" s="3">
        <v>53</v>
      </c>
      <c r="K485" s="3">
        <f>+Treinamentos[[#This Row],[Alunos]]*Treinamentos[[#This Row],[Valor]]</f>
        <v>583</v>
      </c>
    </row>
    <row r="486" spans="1:11" x14ac:dyDescent="0.25">
      <c r="A486">
        <v>4839</v>
      </c>
      <c r="B486" s="1" t="s">
        <v>30</v>
      </c>
      <c r="C486" s="1" t="s">
        <v>53</v>
      </c>
      <c r="D486" s="2">
        <v>42802.583333333336</v>
      </c>
      <c r="E486" s="2">
        <v>42815.75</v>
      </c>
      <c r="F486" s="1" t="s">
        <v>12</v>
      </c>
      <c r="G486" s="1" t="s">
        <v>48</v>
      </c>
      <c r="H486">
        <v>2</v>
      </c>
      <c r="I486">
        <v>10</v>
      </c>
      <c r="J486" s="3">
        <v>32</v>
      </c>
      <c r="K486" s="3">
        <f>+Treinamentos[[#This Row],[Alunos]]*Treinamentos[[#This Row],[Valor]]</f>
        <v>320</v>
      </c>
    </row>
    <row r="487" spans="1:11" x14ac:dyDescent="0.25">
      <c r="A487">
        <v>4840</v>
      </c>
      <c r="B487" s="1" t="s">
        <v>25</v>
      </c>
      <c r="C487" s="1" t="s">
        <v>61</v>
      </c>
      <c r="D487" s="2">
        <v>42803.375</v>
      </c>
      <c r="E487" s="2">
        <v>42809.75</v>
      </c>
      <c r="F487" s="1" t="s">
        <v>12</v>
      </c>
      <c r="G487" s="1" t="s">
        <v>33</v>
      </c>
      <c r="H487">
        <v>5</v>
      </c>
      <c r="I487">
        <v>11</v>
      </c>
      <c r="J487" s="3">
        <v>62</v>
      </c>
      <c r="K487" s="3">
        <f>+Treinamentos[[#This Row],[Alunos]]*Treinamentos[[#This Row],[Valor]]</f>
        <v>682</v>
      </c>
    </row>
    <row r="488" spans="1:11" x14ac:dyDescent="0.25">
      <c r="A488">
        <v>4841</v>
      </c>
      <c r="B488" s="1" t="s">
        <v>30</v>
      </c>
      <c r="C488" s="1" t="s">
        <v>53</v>
      </c>
      <c r="D488" s="2">
        <v>42804.333333333336</v>
      </c>
      <c r="E488" s="2">
        <v>42817.5</v>
      </c>
      <c r="F488" s="1" t="s">
        <v>21</v>
      </c>
      <c r="G488" s="1" t="s">
        <v>44</v>
      </c>
      <c r="H488">
        <v>5</v>
      </c>
      <c r="I488">
        <v>12</v>
      </c>
      <c r="J488" s="3">
        <v>32</v>
      </c>
      <c r="K488" s="3">
        <f>+Treinamentos[[#This Row],[Alunos]]*Treinamentos[[#This Row],[Valor]]</f>
        <v>384</v>
      </c>
    </row>
    <row r="489" spans="1:11" x14ac:dyDescent="0.25">
      <c r="A489">
        <v>4842</v>
      </c>
      <c r="B489" s="1" t="s">
        <v>16</v>
      </c>
      <c r="C489" s="1" t="s">
        <v>57</v>
      </c>
      <c r="D489" s="2">
        <v>42805.375</v>
      </c>
      <c r="E489" s="2">
        <v>42810.75</v>
      </c>
      <c r="F489" s="1" t="s">
        <v>12</v>
      </c>
      <c r="G489" s="1" t="s">
        <v>19</v>
      </c>
      <c r="H489">
        <v>3</v>
      </c>
      <c r="I489">
        <v>10</v>
      </c>
      <c r="J489" s="3">
        <v>52</v>
      </c>
      <c r="K489" s="3">
        <f>+Treinamentos[[#This Row],[Alunos]]*Treinamentos[[#This Row],[Valor]]</f>
        <v>520</v>
      </c>
    </row>
    <row r="490" spans="1:11" x14ac:dyDescent="0.25">
      <c r="A490">
        <v>4843</v>
      </c>
      <c r="B490" s="1" t="s">
        <v>14</v>
      </c>
      <c r="C490" s="1" t="s">
        <v>53</v>
      </c>
      <c r="D490" s="2">
        <v>42807.791666666664</v>
      </c>
      <c r="E490" s="2">
        <v>42818.958333333336</v>
      </c>
      <c r="F490" s="1" t="s">
        <v>21</v>
      </c>
      <c r="G490" s="1" t="s">
        <v>34</v>
      </c>
      <c r="H490">
        <v>2</v>
      </c>
      <c r="I490">
        <v>11</v>
      </c>
      <c r="J490" s="3">
        <v>32</v>
      </c>
      <c r="K490" s="3">
        <f>+Treinamentos[[#This Row],[Alunos]]*Treinamentos[[#This Row],[Valor]]</f>
        <v>352</v>
      </c>
    </row>
    <row r="491" spans="1:11" x14ac:dyDescent="0.25">
      <c r="A491">
        <v>4844</v>
      </c>
      <c r="B491" s="1" t="s">
        <v>37</v>
      </c>
      <c r="C491" s="1" t="s">
        <v>60</v>
      </c>
      <c r="D491" s="2">
        <v>42807.791666666664</v>
      </c>
      <c r="E491" s="2">
        <v>42818.958333333336</v>
      </c>
      <c r="F491" s="1" t="s">
        <v>21</v>
      </c>
      <c r="G491" s="1" t="s">
        <v>36</v>
      </c>
      <c r="H491">
        <v>4</v>
      </c>
      <c r="I491">
        <v>9</v>
      </c>
      <c r="J491" s="3">
        <v>42</v>
      </c>
      <c r="K491" s="3">
        <f>+Treinamentos[[#This Row],[Alunos]]*Treinamentos[[#This Row],[Valor]]</f>
        <v>378</v>
      </c>
    </row>
    <row r="492" spans="1:11" x14ac:dyDescent="0.25">
      <c r="A492">
        <v>4845</v>
      </c>
      <c r="B492" s="1" t="s">
        <v>25</v>
      </c>
      <c r="C492" s="1" t="s">
        <v>59</v>
      </c>
      <c r="D492" s="2">
        <v>42808.791666666664</v>
      </c>
      <c r="E492" s="2">
        <v>42821.958333333336</v>
      </c>
      <c r="F492" s="1" t="s">
        <v>21</v>
      </c>
      <c r="G492" s="1" t="s">
        <v>42</v>
      </c>
      <c r="H492">
        <v>5</v>
      </c>
      <c r="I492">
        <v>9</v>
      </c>
      <c r="J492" s="3">
        <v>48</v>
      </c>
      <c r="K492" s="3">
        <f>+Treinamentos[[#This Row],[Alunos]]*Treinamentos[[#This Row],[Valor]]</f>
        <v>432</v>
      </c>
    </row>
    <row r="493" spans="1:11" x14ac:dyDescent="0.25">
      <c r="A493">
        <v>4846</v>
      </c>
      <c r="B493" s="1" t="s">
        <v>41</v>
      </c>
      <c r="C493" s="1" t="s">
        <v>51</v>
      </c>
      <c r="D493" s="2">
        <v>42809.583333333336</v>
      </c>
      <c r="E493" s="2">
        <v>42822.75</v>
      </c>
      <c r="F493" s="1" t="s">
        <v>21</v>
      </c>
      <c r="G493" s="1" t="s">
        <v>48</v>
      </c>
      <c r="H493">
        <v>3</v>
      </c>
      <c r="I493">
        <v>8</v>
      </c>
      <c r="J493" s="3">
        <v>62</v>
      </c>
      <c r="K493" s="3">
        <f>+Treinamentos[[#This Row],[Alunos]]*Treinamentos[[#This Row],[Valor]]</f>
        <v>496</v>
      </c>
    </row>
    <row r="494" spans="1:11" x14ac:dyDescent="0.25">
      <c r="A494">
        <v>4847</v>
      </c>
      <c r="B494" s="1" t="s">
        <v>25</v>
      </c>
      <c r="C494" s="1" t="s">
        <v>57</v>
      </c>
      <c r="D494" s="2">
        <v>42810.375</v>
      </c>
      <c r="E494" s="2">
        <v>42816.75</v>
      </c>
      <c r="F494" s="1" t="s">
        <v>12</v>
      </c>
      <c r="G494" s="1" t="s">
        <v>22</v>
      </c>
      <c r="H494">
        <v>3</v>
      </c>
      <c r="I494">
        <v>9</v>
      </c>
      <c r="J494" s="3">
        <v>52</v>
      </c>
      <c r="K494" s="3">
        <f>+Treinamentos[[#This Row],[Alunos]]*Treinamentos[[#This Row],[Valor]]</f>
        <v>468</v>
      </c>
    </row>
    <row r="495" spans="1:11" x14ac:dyDescent="0.25">
      <c r="A495">
        <v>4848</v>
      </c>
      <c r="B495" s="1" t="s">
        <v>25</v>
      </c>
      <c r="C495" s="1" t="s">
        <v>50</v>
      </c>
      <c r="D495" s="2">
        <v>42811.333333333336</v>
      </c>
      <c r="E495" s="2">
        <v>42824.5</v>
      </c>
      <c r="F495" s="1" t="s">
        <v>21</v>
      </c>
      <c r="G495" s="1" t="s">
        <v>46</v>
      </c>
      <c r="H495">
        <v>2</v>
      </c>
      <c r="I495">
        <v>8</v>
      </c>
      <c r="J495" s="3">
        <v>35</v>
      </c>
      <c r="K495" s="3">
        <f>+Treinamentos[[#This Row],[Alunos]]*Treinamentos[[#This Row],[Valor]]</f>
        <v>280</v>
      </c>
    </row>
    <row r="496" spans="1:11" x14ac:dyDescent="0.25">
      <c r="A496">
        <v>4849</v>
      </c>
      <c r="B496" s="1" t="s">
        <v>37</v>
      </c>
      <c r="C496" s="1" t="s">
        <v>56</v>
      </c>
      <c r="D496" s="2">
        <v>42812.375</v>
      </c>
      <c r="E496" s="2">
        <v>42817.75</v>
      </c>
      <c r="F496" s="1" t="s">
        <v>12</v>
      </c>
      <c r="G496" s="1" t="s">
        <v>27</v>
      </c>
      <c r="H496">
        <v>3</v>
      </c>
      <c r="I496">
        <v>8</v>
      </c>
      <c r="J496" s="3">
        <v>63</v>
      </c>
      <c r="K496" s="3">
        <f>+Treinamentos[[#This Row],[Alunos]]*Treinamentos[[#This Row],[Valor]]</f>
        <v>504</v>
      </c>
    </row>
    <row r="497" spans="1:11" x14ac:dyDescent="0.25">
      <c r="A497">
        <v>4850</v>
      </c>
      <c r="B497" s="1" t="s">
        <v>25</v>
      </c>
      <c r="C497" s="1" t="s">
        <v>58</v>
      </c>
      <c r="D497" s="2">
        <v>42814.791666666664</v>
      </c>
      <c r="E497" s="2">
        <v>42825.958333333336</v>
      </c>
      <c r="F497" s="1" t="s">
        <v>21</v>
      </c>
      <c r="G497" s="1" t="s">
        <v>46</v>
      </c>
      <c r="H497">
        <v>4</v>
      </c>
      <c r="I497">
        <v>9</v>
      </c>
      <c r="J497" s="3">
        <v>48</v>
      </c>
      <c r="K497" s="3">
        <f>+Treinamentos[[#This Row],[Alunos]]*Treinamentos[[#This Row],[Valor]]</f>
        <v>432</v>
      </c>
    </row>
    <row r="498" spans="1:11" x14ac:dyDescent="0.25">
      <c r="A498">
        <v>4851</v>
      </c>
      <c r="B498" s="1" t="s">
        <v>30</v>
      </c>
      <c r="C498" s="1" t="s">
        <v>49</v>
      </c>
      <c r="D498" s="2">
        <v>42814.791666666664</v>
      </c>
      <c r="E498" s="2">
        <v>42825.958333333336</v>
      </c>
      <c r="F498" s="1" t="s">
        <v>21</v>
      </c>
      <c r="G498" s="1" t="s">
        <v>22</v>
      </c>
      <c r="H498">
        <v>3</v>
      </c>
      <c r="I498">
        <v>8</v>
      </c>
      <c r="J498" s="3">
        <v>53</v>
      </c>
      <c r="K498" s="3">
        <f>+Treinamentos[[#This Row],[Alunos]]*Treinamentos[[#This Row],[Valor]]</f>
        <v>424</v>
      </c>
    </row>
    <row r="499" spans="1:11" x14ac:dyDescent="0.25">
      <c r="A499">
        <v>4854</v>
      </c>
      <c r="B499" s="1" t="s">
        <v>28</v>
      </c>
      <c r="C499" s="1" t="s">
        <v>53</v>
      </c>
      <c r="D499" s="2">
        <v>42817.375</v>
      </c>
      <c r="E499" s="2">
        <v>42823.75</v>
      </c>
      <c r="F499" s="1" t="s">
        <v>12</v>
      </c>
      <c r="G499" s="1" t="s">
        <v>24</v>
      </c>
      <c r="H499">
        <v>3</v>
      </c>
      <c r="I499">
        <v>11</v>
      </c>
      <c r="J499" s="3">
        <v>32</v>
      </c>
      <c r="K499" s="3">
        <f>+Treinamentos[[#This Row],[Alunos]]*Treinamentos[[#This Row],[Valor]]</f>
        <v>352</v>
      </c>
    </row>
    <row r="500" spans="1:11" x14ac:dyDescent="0.25">
      <c r="A500">
        <v>4856</v>
      </c>
      <c r="B500" s="1" t="s">
        <v>25</v>
      </c>
      <c r="C500" s="1" t="s">
        <v>49</v>
      </c>
      <c r="D500" s="2">
        <v>42819.375</v>
      </c>
      <c r="E500" s="2">
        <v>42824.75</v>
      </c>
      <c r="F500" s="1" t="s">
        <v>21</v>
      </c>
      <c r="G500" s="1" t="s">
        <v>33</v>
      </c>
      <c r="H500">
        <v>5</v>
      </c>
      <c r="I500">
        <v>8</v>
      </c>
      <c r="J500" s="3">
        <v>53</v>
      </c>
      <c r="K500" s="3">
        <f>+Treinamentos[[#This Row],[Alunos]]*Treinamentos[[#This Row],[Valor]]</f>
        <v>424</v>
      </c>
    </row>
    <row r="501" spans="1:11" x14ac:dyDescent="0.25">
      <c r="A501">
        <v>4852</v>
      </c>
      <c r="B501" s="1" t="s">
        <v>16</v>
      </c>
      <c r="C501" s="1" t="s">
        <v>50</v>
      </c>
      <c r="D501" s="2">
        <v>42815.791666666664</v>
      </c>
      <c r="E501" s="2">
        <v>42828.958333333336</v>
      </c>
      <c r="F501" s="1" t="s">
        <v>21</v>
      </c>
      <c r="G501" s="1" t="s">
        <v>44</v>
      </c>
      <c r="H501">
        <v>4</v>
      </c>
      <c r="I501">
        <v>9</v>
      </c>
      <c r="J501" s="3">
        <v>35</v>
      </c>
      <c r="K501" s="3">
        <f>+Treinamentos[[#This Row],[Alunos]]*Treinamentos[[#This Row],[Valor]]</f>
        <v>315</v>
      </c>
    </row>
    <row r="502" spans="1:11" x14ac:dyDescent="0.25">
      <c r="A502">
        <v>4853</v>
      </c>
      <c r="B502" s="1" t="s">
        <v>30</v>
      </c>
      <c r="C502" s="1" t="s">
        <v>57</v>
      </c>
      <c r="D502" s="2">
        <v>42816.583333333336</v>
      </c>
      <c r="E502" s="2">
        <v>42829.75</v>
      </c>
      <c r="F502" s="1" t="s">
        <v>12</v>
      </c>
      <c r="G502" s="1" t="s">
        <v>44</v>
      </c>
      <c r="H502">
        <v>2</v>
      </c>
      <c r="I502">
        <v>10</v>
      </c>
      <c r="J502" s="3">
        <v>52</v>
      </c>
      <c r="K502" s="3">
        <f>+Treinamentos[[#This Row],[Alunos]]*Treinamentos[[#This Row],[Valor]]</f>
        <v>520</v>
      </c>
    </row>
    <row r="503" spans="1:11" x14ac:dyDescent="0.25">
      <c r="A503">
        <v>4855</v>
      </c>
      <c r="B503" s="1" t="s">
        <v>25</v>
      </c>
      <c r="C503" s="1" t="s">
        <v>61</v>
      </c>
      <c r="D503" s="2">
        <v>42818.333333333336</v>
      </c>
      <c r="E503" s="2">
        <v>42831.5</v>
      </c>
      <c r="F503" s="1" t="s">
        <v>12</v>
      </c>
      <c r="G503" s="1" t="s">
        <v>47</v>
      </c>
      <c r="H503">
        <v>4</v>
      </c>
      <c r="I503">
        <v>12</v>
      </c>
      <c r="J503" s="3">
        <v>62</v>
      </c>
      <c r="K503" s="3">
        <f>+Treinamentos[[#This Row],[Alunos]]*Treinamentos[[#This Row],[Valor]]</f>
        <v>744</v>
      </c>
    </row>
    <row r="504" spans="1:11" x14ac:dyDescent="0.25">
      <c r="A504">
        <v>4857</v>
      </c>
      <c r="B504" s="1" t="s">
        <v>16</v>
      </c>
      <c r="C504" s="1" t="s">
        <v>51</v>
      </c>
      <c r="D504" s="2">
        <v>42821.791666666664</v>
      </c>
      <c r="E504" s="2">
        <v>42832.958333333336</v>
      </c>
      <c r="F504" s="1" t="s">
        <v>21</v>
      </c>
      <c r="G504" s="1" t="s">
        <v>42</v>
      </c>
      <c r="H504">
        <v>3</v>
      </c>
      <c r="I504">
        <v>9</v>
      </c>
      <c r="J504" s="3">
        <v>62</v>
      </c>
      <c r="K504" s="3">
        <f>+Treinamentos[[#This Row],[Alunos]]*Treinamentos[[#This Row],[Valor]]</f>
        <v>558</v>
      </c>
    </row>
    <row r="505" spans="1:11" x14ac:dyDescent="0.25">
      <c r="A505">
        <v>4858</v>
      </c>
      <c r="B505" s="1" t="s">
        <v>16</v>
      </c>
      <c r="C505" s="1" t="s">
        <v>52</v>
      </c>
      <c r="D505" s="2">
        <v>42821.791666666664</v>
      </c>
      <c r="E505" s="2">
        <v>42832.958333333336</v>
      </c>
      <c r="F505" s="1" t="s">
        <v>12</v>
      </c>
      <c r="G505" s="1" t="s">
        <v>19</v>
      </c>
      <c r="H505">
        <v>4</v>
      </c>
      <c r="I505">
        <v>12</v>
      </c>
      <c r="J505" s="3">
        <v>48</v>
      </c>
      <c r="K505" s="3">
        <f>+Treinamentos[[#This Row],[Alunos]]*Treinamentos[[#This Row],[Valor]]</f>
        <v>576</v>
      </c>
    </row>
    <row r="506" spans="1:11" x14ac:dyDescent="0.25">
      <c r="A506">
        <v>4859</v>
      </c>
      <c r="B506" s="1" t="s">
        <v>25</v>
      </c>
      <c r="C506" s="1" t="s">
        <v>56</v>
      </c>
      <c r="D506" s="2">
        <v>42822.791666666664</v>
      </c>
      <c r="E506" s="2">
        <v>42835.958333333336</v>
      </c>
      <c r="F506" s="1" t="s">
        <v>21</v>
      </c>
      <c r="G506" s="1" t="s">
        <v>24</v>
      </c>
      <c r="H506">
        <v>4</v>
      </c>
      <c r="I506">
        <v>8</v>
      </c>
      <c r="J506" s="3">
        <v>63</v>
      </c>
      <c r="K506" s="3">
        <f>+Treinamentos[[#This Row],[Alunos]]*Treinamentos[[#This Row],[Valor]]</f>
        <v>504</v>
      </c>
    </row>
    <row r="507" spans="1:11" x14ac:dyDescent="0.25">
      <c r="A507">
        <v>4860</v>
      </c>
      <c r="B507" s="1" t="s">
        <v>41</v>
      </c>
      <c r="C507" s="1" t="s">
        <v>57</v>
      </c>
      <c r="D507" s="2">
        <v>42823.583333333336</v>
      </c>
      <c r="E507" s="2">
        <v>42836.75</v>
      </c>
      <c r="F507" s="1" t="s">
        <v>12</v>
      </c>
      <c r="G507" s="1" t="s">
        <v>33</v>
      </c>
      <c r="H507">
        <v>5</v>
      </c>
      <c r="I507">
        <v>11</v>
      </c>
      <c r="J507" s="3">
        <v>52</v>
      </c>
      <c r="K507" s="3">
        <f>+Treinamentos[[#This Row],[Alunos]]*Treinamentos[[#This Row],[Valor]]</f>
        <v>572</v>
      </c>
    </row>
    <row r="508" spans="1:11" x14ac:dyDescent="0.25">
      <c r="A508">
        <v>4861</v>
      </c>
      <c r="B508" s="1" t="s">
        <v>14</v>
      </c>
      <c r="C508" s="1" t="s">
        <v>61</v>
      </c>
      <c r="D508" s="2">
        <v>42824.375</v>
      </c>
      <c r="E508" s="2">
        <v>42830.75</v>
      </c>
      <c r="F508" s="1" t="s">
        <v>12</v>
      </c>
      <c r="G508" s="1" t="s">
        <v>34</v>
      </c>
      <c r="H508">
        <v>4</v>
      </c>
      <c r="I508">
        <v>9</v>
      </c>
      <c r="J508" s="3">
        <v>62</v>
      </c>
      <c r="K508" s="3">
        <f>+Treinamentos[[#This Row],[Alunos]]*Treinamentos[[#This Row],[Valor]]</f>
        <v>558</v>
      </c>
    </row>
    <row r="509" spans="1:11" x14ac:dyDescent="0.25">
      <c r="A509">
        <v>4862</v>
      </c>
      <c r="B509" s="1" t="s">
        <v>30</v>
      </c>
      <c r="C509" s="1" t="s">
        <v>55</v>
      </c>
      <c r="D509" s="2">
        <v>42825.333333333336</v>
      </c>
      <c r="E509" s="2">
        <v>42838.5</v>
      </c>
      <c r="F509" s="1" t="s">
        <v>21</v>
      </c>
      <c r="G509" s="1" t="s">
        <v>24</v>
      </c>
      <c r="H509">
        <v>3</v>
      </c>
      <c r="I509">
        <v>12</v>
      </c>
      <c r="J509" s="3">
        <v>75</v>
      </c>
      <c r="K509" s="3">
        <f>+Treinamentos[[#This Row],[Alunos]]*Treinamentos[[#This Row],[Valor]]</f>
        <v>900</v>
      </c>
    </row>
    <row r="510" spans="1:11" x14ac:dyDescent="0.25">
      <c r="A510">
        <v>4863</v>
      </c>
      <c r="B510" s="1" t="s">
        <v>10</v>
      </c>
      <c r="C510" s="1" t="s">
        <v>53</v>
      </c>
      <c r="D510" s="2">
        <v>42826.375</v>
      </c>
      <c r="E510" s="2">
        <v>42831.75</v>
      </c>
      <c r="F510" s="1" t="s">
        <v>12</v>
      </c>
      <c r="G510" s="1" t="s">
        <v>24</v>
      </c>
      <c r="H510">
        <v>5</v>
      </c>
      <c r="I510">
        <v>11</v>
      </c>
      <c r="J510" s="3">
        <v>32</v>
      </c>
      <c r="K510" s="3">
        <f>+Treinamentos[[#This Row],[Alunos]]*Treinamentos[[#This Row],[Valor]]</f>
        <v>352</v>
      </c>
    </row>
    <row r="511" spans="1:11" x14ac:dyDescent="0.25">
      <c r="A511">
        <v>4864</v>
      </c>
      <c r="B511" s="1" t="s">
        <v>14</v>
      </c>
      <c r="C511" s="1" t="s">
        <v>59</v>
      </c>
      <c r="D511" s="2">
        <v>42828.791666666664</v>
      </c>
      <c r="E511" s="2">
        <v>42842.958333333336</v>
      </c>
      <c r="F511" s="1" t="s">
        <v>21</v>
      </c>
      <c r="G511" s="1" t="s">
        <v>46</v>
      </c>
      <c r="H511">
        <v>4</v>
      </c>
      <c r="I511">
        <v>9</v>
      </c>
      <c r="J511" s="3">
        <v>48</v>
      </c>
      <c r="K511" s="3">
        <f>+Treinamentos[[#This Row],[Alunos]]*Treinamentos[[#This Row],[Valor]]</f>
        <v>432</v>
      </c>
    </row>
    <row r="512" spans="1:11" x14ac:dyDescent="0.25">
      <c r="A512">
        <v>4865</v>
      </c>
      <c r="B512" s="1" t="s">
        <v>41</v>
      </c>
      <c r="C512" s="1" t="s">
        <v>61</v>
      </c>
      <c r="D512" s="2">
        <v>42828.791666666664</v>
      </c>
      <c r="E512" s="2">
        <v>42842.958333333336</v>
      </c>
      <c r="F512" s="1" t="s">
        <v>12</v>
      </c>
      <c r="G512" s="1" t="s">
        <v>38</v>
      </c>
      <c r="H512">
        <v>3</v>
      </c>
      <c r="I512">
        <v>12</v>
      </c>
      <c r="J512" s="3">
        <v>62</v>
      </c>
      <c r="K512" s="3">
        <f>+Treinamentos[[#This Row],[Alunos]]*Treinamentos[[#This Row],[Valor]]</f>
        <v>744</v>
      </c>
    </row>
    <row r="513" spans="1:11" x14ac:dyDescent="0.25">
      <c r="A513">
        <v>4866</v>
      </c>
      <c r="B513" s="1" t="s">
        <v>41</v>
      </c>
      <c r="C513" s="1" t="s">
        <v>57</v>
      </c>
      <c r="D513" s="2">
        <v>42829.791666666664</v>
      </c>
      <c r="E513" s="2">
        <v>42843.958333333336</v>
      </c>
      <c r="F513" s="1" t="s">
        <v>21</v>
      </c>
      <c r="G513" s="1" t="s">
        <v>16</v>
      </c>
      <c r="H513">
        <v>2</v>
      </c>
      <c r="I513">
        <v>10</v>
      </c>
      <c r="J513" s="3">
        <v>52</v>
      </c>
      <c r="K513" s="3">
        <f>+Treinamentos[[#This Row],[Alunos]]*Treinamentos[[#This Row],[Valor]]</f>
        <v>520</v>
      </c>
    </row>
    <row r="514" spans="1:11" x14ac:dyDescent="0.25">
      <c r="A514">
        <v>4867</v>
      </c>
      <c r="B514" s="1" t="s">
        <v>30</v>
      </c>
      <c r="C514" s="1" t="s">
        <v>58</v>
      </c>
      <c r="D514" s="2">
        <v>42830.583333333336</v>
      </c>
      <c r="E514" s="2">
        <v>42844.75</v>
      </c>
      <c r="F514" s="1" t="s">
        <v>12</v>
      </c>
      <c r="G514" s="1" t="s">
        <v>34</v>
      </c>
      <c r="H514">
        <v>2</v>
      </c>
      <c r="I514">
        <v>10</v>
      </c>
      <c r="J514" s="3">
        <v>48</v>
      </c>
      <c r="K514" s="3">
        <f>+Treinamentos[[#This Row],[Alunos]]*Treinamentos[[#This Row],[Valor]]</f>
        <v>480</v>
      </c>
    </row>
    <row r="515" spans="1:11" x14ac:dyDescent="0.25">
      <c r="A515">
        <v>4868</v>
      </c>
      <c r="B515" s="1" t="s">
        <v>41</v>
      </c>
      <c r="C515" s="1" t="s">
        <v>54</v>
      </c>
      <c r="D515" s="2">
        <v>42831.375</v>
      </c>
      <c r="E515" s="2">
        <v>42837.75</v>
      </c>
      <c r="F515" s="1" t="s">
        <v>21</v>
      </c>
      <c r="G515" s="1" t="s">
        <v>19</v>
      </c>
      <c r="H515">
        <v>5</v>
      </c>
      <c r="I515">
        <v>9</v>
      </c>
      <c r="J515" s="3">
        <v>43</v>
      </c>
      <c r="K515" s="3">
        <f>+Treinamentos[[#This Row],[Alunos]]*Treinamentos[[#This Row],[Valor]]</f>
        <v>387</v>
      </c>
    </row>
    <row r="516" spans="1:11" x14ac:dyDescent="0.25">
      <c r="A516">
        <v>4869</v>
      </c>
      <c r="B516" s="1" t="s">
        <v>25</v>
      </c>
      <c r="C516" s="1" t="s">
        <v>50</v>
      </c>
      <c r="D516" s="2">
        <v>42832.333333333336</v>
      </c>
      <c r="E516" s="2">
        <v>42849.5</v>
      </c>
      <c r="F516" s="1" t="s">
        <v>21</v>
      </c>
      <c r="G516" s="1" t="s">
        <v>22</v>
      </c>
      <c r="H516">
        <v>3</v>
      </c>
      <c r="I516">
        <v>12</v>
      </c>
      <c r="J516" s="3">
        <v>35</v>
      </c>
      <c r="K516" s="3">
        <f>+Treinamentos[[#This Row],[Alunos]]*Treinamentos[[#This Row],[Valor]]</f>
        <v>420</v>
      </c>
    </row>
    <row r="517" spans="1:11" x14ac:dyDescent="0.25">
      <c r="A517">
        <v>4870</v>
      </c>
      <c r="B517" s="1" t="s">
        <v>17</v>
      </c>
      <c r="C517" s="1" t="s">
        <v>49</v>
      </c>
      <c r="D517" s="2">
        <v>42833.375</v>
      </c>
      <c r="E517" s="2">
        <v>42838.75</v>
      </c>
      <c r="F517" s="1" t="s">
        <v>12</v>
      </c>
      <c r="G517" s="1" t="s">
        <v>33</v>
      </c>
      <c r="H517">
        <v>4</v>
      </c>
      <c r="I517">
        <v>9</v>
      </c>
      <c r="J517" s="3">
        <v>53</v>
      </c>
      <c r="K517" s="3">
        <f>+Treinamentos[[#This Row],[Alunos]]*Treinamentos[[#This Row],[Valor]]</f>
        <v>477</v>
      </c>
    </row>
    <row r="518" spans="1:11" x14ac:dyDescent="0.25">
      <c r="A518">
        <v>4871</v>
      </c>
      <c r="B518" s="1" t="s">
        <v>17</v>
      </c>
      <c r="C518" s="1" t="s">
        <v>52</v>
      </c>
      <c r="D518" s="2">
        <v>42835.791666666664</v>
      </c>
      <c r="E518" s="2">
        <v>42850.958333333336</v>
      </c>
      <c r="F518" s="1" t="s">
        <v>12</v>
      </c>
      <c r="G518" s="1" t="s">
        <v>42</v>
      </c>
      <c r="H518">
        <v>5</v>
      </c>
      <c r="I518">
        <v>8</v>
      </c>
      <c r="J518" s="3">
        <v>48</v>
      </c>
      <c r="K518" s="3">
        <f>+Treinamentos[[#This Row],[Alunos]]*Treinamentos[[#This Row],[Valor]]</f>
        <v>384</v>
      </c>
    </row>
    <row r="519" spans="1:11" x14ac:dyDescent="0.25">
      <c r="A519">
        <v>4872</v>
      </c>
      <c r="B519" s="1" t="s">
        <v>41</v>
      </c>
      <c r="C519" s="1" t="s">
        <v>51</v>
      </c>
      <c r="D519" s="2">
        <v>42835.791666666664</v>
      </c>
      <c r="E519" s="2">
        <v>42850.958333333336</v>
      </c>
      <c r="F519" s="1" t="s">
        <v>21</v>
      </c>
      <c r="G519" s="1" t="s">
        <v>34</v>
      </c>
      <c r="H519">
        <v>4</v>
      </c>
      <c r="I519">
        <v>8</v>
      </c>
      <c r="J519" s="3">
        <v>62</v>
      </c>
      <c r="K519" s="3">
        <f>+Treinamentos[[#This Row],[Alunos]]*Treinamentos[[#This Row],[Valor]]</f>
        <v>496</v>
      </c>
    </row>
    <row r="520" spans="1:11" x14ac:dyDescent="0.25">
      <c r="A520">
        <v>4873</v>
      </c>
      <c r="B520" s="1" t="s">
        <v>41</v>
      </c>
      <c r="C520" s="1" t="s">
        <v>57</v>
      </c>
      <c r="D520" s="2">
        <v>42836.791666666664</v>
      </c>
      <c r="E520" s="2">
        <v>42851.958333333336</v>
      </c>
      <c r="F520" s="1" t="s">
        <v>12</v>
      </c>
      <c r="G520" s="1" t="s">
        <v>19</v>
      </c>
      <c r="H520">
        <v>4</v>
      </c>
      <c r="I520">
        <v>8</v>
      </c>
      <c r="J520" s="3">
        <v>52</v>
      </c>
      <c r="K520" s="3">
        <f>+Treinamentos[[#This Row],[Alunos]]*Treinamentos[[#This Row],[Valor]]</f>
        <v>416</v>
      </c>
    </row>
    <row r="521" spans="1:11" x14ac:dyDescent="0.25">
      <c r="A521">
        <v>4874</v>
      </c>
      <c r="B521" s="1" t="s">
        <v>37</v>
      </c>
      <c r="C521" s="1" t="s">
        <v>53</v>
      </c>
      <c r="D521" s="2">
        <v>42837.583333333336</v>
      </c>
      <c r="E521" s="2">
        <v>42852.75</v>
      </c>
      <c r="F521" s="1" t="s">
        <v>12</v>
      </c>
      <c r="G521" s="1" t="s">
        <v>36</v>
      </c>
      <c r="H521">
        <v>5</v>
      </c>
      <c r="I521">
        <v>12</v>
      </c>
      <c r="J521" s="3">
        <v>32</v>
      </c>
      <c r="K521" s="3">
        <f>+Treinamentos[[#This Row],[Alunos]]*Treinamentos[[#This Row],[Valor]]</f>
        <v>384</v>
      </c>
    </row>
    <row r="522" spans="1:11" x14ac:dyDescent="0.25">
      <c r="A522">
        <v>4875</v>
      </c>
      <c r="B522" s="1" t="s">
        <v>17</v>
      </c>
      <c r="C522" s="1" t="s">
        <v>51</v>
      </c>
      <c r="D522" s="2">
        <v>42838.375</v>
      </c>
      <c r="E522" s="2">
        <v>42845.75</v>
      </c>
      <c r="F522" s="1" t="s">
        <v>12</v>
      </c>
      <c r="G522" s="1" t="s">
        <v>13</v>
      </c>
      <c r="H522">
        <v>2</v>
      </c>
      <c r="I522">
        <v>8</v>
      </c>
      <c r="J522" s="3">
        <v>62</v>
      </c>
      <c r="K522" s="3">
        <f>+Treinamentos[[#This Row],[Alunos]]*Treinamentos[[#This Row],[Valor]]</f>
        <v>496</v>
      </c>
    </row>
    <row r="523" spans="1:11" x14ac:dyDescent="0.25">
      <c r="A523">
        <v>4876</v>
      </c>
      <c r="B523" s="1" t="s">
        <v>30</v>
      </c>
      <c r="C523" s="1" t="s">
        <v>50</v>
      </c>
      <c r="D523" s="2">
        <v>42839.333333333336</v>
      </c>
      <c r="E523" s="2">
        <v>42853.5</v>
      </c>
      <c r="F523" s="1" t="s">
        <v>21</v>
      </c>
      <c r="G523" s="1" t="s">
        <v>16</v>
      </c>
      <c r="H523">
        <v>4</v>
      </c>
      <c r="I523">
        <v>11</v>
      </c>
      <c r="J523" s="3">
        <v>35</v>
      </c>
      <c r="K523" s="3">
        <f>+Treinamentos[[#This Row],[Alunos]]*Treinamentos[[#This Row],[Valor]]</f>
        <v>385</v>
      </c>
    </row>
    <row r="524" spans="1:11" x14ac:dyDescent="0.25">
      <c r="A524">
        <v>4877</v>
      </c>
      <c r="B524" s="1" t="s">
        <v>10</v>
      </c>
      <c r="C524" s="1" t="s">
        <v>51</v>
      </c>
      <c r="D524" s="2">
        <v>42840.375</v>
      </c>
      <c r="E524" s="2">
        <v>42845.75</v>
      </c>
      <c r="F524" s="1" t="s">
        <v>21</v>
      </c>
      <c r="G524" s="1" t="s">
        <v>38</v>
      </c>
      <c r="H524">
        <v>5</v>
      </c>
      <c r="I524">
        <v>12</v>
      </c>
      <c r="J524" s="3">
        <v>62</v>
      </c>
      <c r="K524" s="3">
        <f>+Treinamentos[[#This Row],[Alunos]]*Treinamentos[[#This Row],[Valor]]</f>
        <v>744</v>
      </c>
    </row>
    <row r="525" spans="1:11" x14ac:dyDescent="0.25">
      <c r="A525">
        <v>4878</v>
      </c>
      <c r="B525" s="1" t="s">
        <v>17</v>
      </c>
      <c r="C525" s="1" t="s">
        <v>60</v>
      </c>
      <c r="D525" s="2">
        <v>42842.791666666664</v>
      </c>
      <c r="E525" s="2">
        <v>42857.958333333336</v>
      </c>
      <c r="F525" s="1" t="s">
        <v>12</v>
      </c>
      <c r="G525" s="1" t="s">
        <v>24</v>
      </c>
      <c r="H525">
        <v>3</v>
      </c>
      <c r="I525">
        <v>11</v>
      </c>
      <c r="J525" s="3">
        <v>42</v>
      </c>
      <c r="K525" s="3">
        <f>+Treinamentos[[#This Row],[Alunos]]*Treinamentos[[#This Row],[Valor]]</f>
        <v>462</v>
      </c>
    </row>
    <row r="526" spans="1:11" x14ac:dyDescent="0.25">
      <c r="A526">
        <v>4879</v>
      </c>
      <c r="B526" s="1" t="s">
        <v>25</v>
      </c>
      <c r="C526" s="1" t="s">
        <v>53</v>
      </c>
      <c r="D526" s="2">
        <v>42842.791666666664</v>
      </c>
      <c r="E526" s="2">
        <v>42857.958333333336</v>
      </c>
      <c r="F526" s="1" t="s">
        <v>12</v>
      </c>
      <c r="G526" s="1" t="s">
        <v>19</v>
      </c>
      <c r="H526">
        <v>5</v>
      </c>
      <c r="I526">
        <v>12</v>
      </c>
      <c r="J526" s="3">
        <v>32</v>
      </c>
      <c r="K526" s="3">
        <f>+Treinamentos[[#This Row],[Alunos]]*Treinamentos[[#This Row],[Valor]]</f>
        <v>384</v>
      </c>
    </row>
    <row r="527" spans="1:11" x14ac:dyDescent="0.25">
      <c r="A527">
        <v>4880</v>
      </c>
      <c r="B527" s="1" t="s">
        <v>17</v>
      </c>
      <c r="C527" s="1" t="s">
        <v>57</v>
      </c>
      <c r="D527" s="2">
        <v>42843.791666666664</v>
      </c>
      <c r="E527" s="2">
        <v>42858.958333333336</v>
      </c>
      <c r="F527" s="1" t="s">
        <v>12</v>
      </c>
      <c r="G527" s="1" t="s">
        <v>36</v>
      </c>
      <c r="H527">
        <v>3</v>
      </c>
      <c r="I527">
        <v>12</v>
      </c>
      <c r="J527" s="3">
        <v>52</v>
      </c>
      <c r="K527" s="3">
        <f>+Treinamentos[[#This Row],[Alunos]]*Treinamentos[[#This Row],[Valor]]</f>
        <v>624</v>
      </c>
    </row>
    <row r="528" spans="1:11" x14ac:dyDescent="0.25">
      <c r="A528">
        <v>4881</v>
      </c>
      <c r="B528" s="1" t="s">
        <v>41</v>
      </c>
      <c r="C528" s="1" t="s">
        <v>55</v>
      </c>
      <c r="D528" s="2">
        <v>42844.583333333336</v>
      </c>
      <c r="E528" s="2">
        <v>42859.75</v>
      </c>
      <c r="F528" s="1" t="s">
        <v>12</v>
      </c>
      <c r="G528" s="1" t="s">
        <v>19</v>
      </c>
      <c r="H528">
        <v>3</v>
      </c>
      <c r="I528">
        <v>11</v>
      </c>
      <c r="J528" s="3">
        <v>75</v>
      </c>
      <c r="K528" s="3">
        <f>+Treinamentos[[#This Row],[Alunos]]*Treinamentos[[#This Row],[Valor]]</f>
        <v>825</v>
      </c>
    </row>
    <row r="529" spans="1:11" x14ac:dyDescent="0.25">
      <c r="A529">
        <v>4882</v>
      </c>
      <c r="B529" s="1" t="s">
        <v>25</v>
      </c>
      <c r="C529" s="1" t="s">
        <v>57</v>
      </c>
      <c r="D529" s="2">
        <v>42845.375</v>
      </c>
      <c r="E529" s="2">
        <v>42852.75</v>
      </c>
      <c r="F529" s="1" t="s">
        <v>21</v>
      </c>
      <c r="G529" s="1" t="s">
        <v>19</v>
      </c>
      <c r="H529">
        <v>2</v>
      </c>
      <c r="I529">
        <v>11</v>
      </c>
      <c r="J529" s="3">
        <v>52</v>
      </c>
      <c r="K529" s="3">
        <f>+Treinamentos[[#This Row],[Alunos]]*Treinamentos[[#This Row],[Valor]]</f>
        <v>572</v>
      </c>
    </row>
    <row r="530" spans="1:11" x14ac:dyDescent="0.25">
      <c r="A530">
        <v>4883</v>
      </c>
      <c r="B530" s="1" t="s">
        <v>17</v>
      </c>
      <c r="C530" s="1" t="s">
        <v>60</v>
      </c>
      <c r="D530" s="2">
        <v>42846.333333333336</v>
      </c>
      <c r="E530" s="2">
        <v>42860.5</v>
      </c>
      <c r="F530" s="1" t="s">
        <v>12</v>
      </c>
      <c r="G530" s="1" t="s">
        <v>24</v>
      </c>
      <c r="H530">
        <v>3</v>
      </c>
      <c r="I530">
        <v>11</v>
      </c>
      <c r="J530" s="3">
        <v>42</v>
      </c>
      <c r="K530" s="3">
        <f>+Treinamentos[[#This Row],[Alunos]]*Treinamentos[[#This Row],[Valor]]</f>
        <v>462</v>
      </c>
    </row>
    <row r="531" spans="1:11" x14ac:dyDescent="0.25">
      <c r="A531">
        <v>4884</v>
      </c>
      <c r="B531" s="1" t="s">
        <v>30</v>
      </c>
      <c r="C531" s="1" t="s">
        <v>49</v>
      </c>
      <c r="D531" s="2">
        <v>42847.375</v>
      </c>
      <c r="E531" s="2">
        <v>42852.75</v>
      </c>
      <c r="F531" s="1" t="s">
        <v>21</v>
      </c>
      <c r="G531" s="1" t="s">
        <v>33</v>
      </c>
      <c r="H531">
        <v>4</v>
      </c>
      <c r="I531">
        <v>12</v>
      </c>
      <c r="J531" s="3">
        <v>53</v>
      </c>
      <c r="K531" s="3">
        <f>+Treinamentos[[#This Row],[Alunos]]*Treinamentos[[#This Row],[Valor]]</f>
        <v>636</v>
      </c>
    </row>
    <row r="532" spans="1:11" x14ac:dyDescent="0.25">
      <c r="A532">
        <v>4885</v>
      </c>
      <c r="B532" s="1" t="s">
        <v>41</v>
      </c>
      <c r="C532" s="1" t="s">
        <v>53</v>
      </c>
      <c r="D532" s="2">
        <v>42849.791666666664</v>
      </c>
      <c r="E532" s="2">
        <v>42863.958333333336</v>
      </c>
      <c r="F532" s="1" t="s">
        <v>12</v>
      </c>
      <c r="G532" s="1" t="s">
        <v>24</v>
      </c>
      <c r="H532">
        <v>5</v>
      </c>
      <c r="I532">
        <v>12</v>
      </c>
      <c r="J532" s="3">
        <v>32</v>
      </c>
      <c r="K532" s="3">
        <f>+Treinamentos[[#This Row],[Alunos]]*Treinamentos[[#This Row],[Valor]]</f>
        <v>384</v>
      </c>
    </row>
    <row r="533" spans="1:11" x14ac:dyDescent="0.25">
      <c r="A533">
        <v>4886</v>
      </c>
      <c r="B533" s="1" t="s">
        <v>41</v>
      </c>
      <c r="C533" s="1" t="s">
        <v>60</v>
      </c>
      <c r="D533" s="2">
        <v>42849.791666666664</v>
      </c>
      <c r="E533" s="2">
        <v>42863.958333333336</v>
      </c>
      <c r="F533" s="1" t="s">
        <v>21</v>
      </c>
      <c r="G533" s="1" t="s">
        <v>19</v>
      </c>
      <c r="H533">
        <v>4</v>
      </c>
      <c r="I533">
        <v>8</v>
      </c>
      <c r="J533" s="3">
        <v>42</v>
      </c>
      <c r="K533" s="3">
        <f>+Treinamentos[[#This Row],[Alunos]]*Treinamentos[[#This Row],[Valor]]</f>
        <v>336</v>
      </c>
    </row>
    <row r="534" spans="1:11" x14ac:dyDescent="0.25">
      <c r="A534">
        <v>4887</v>
      </c>
      <c r="B534" s="1" t="s">
        <v>14</v>
      </c>
      <c r="C534" s="1" t="s">
        <v>55</v>
      </c>
      <c r="D534" s="2">
        <v>42850.791666666664</v>
      </c>
      <c r="E534" s="2">
        <v>42864.958333333336</v>
      </c>
      <c r="F534" s="1" t="s">
        <v>12</v>
      </c>
      <c r="G534" s="1" t="s">
        <v>36</v>
      </c>
      <c r="H534">
        <v>3</v>
      </c>
      <c r="I534">
        <v>11</v>
      </c>
      <c r="J534" s="3">
        <v>75</v>
      </c>
      <c r="K534" s="3">
        <f>+Treinamentos[[#This Row],[Alunos]]*Treinamentos[[#This Row],[Valor]]</f>
        <v>825</v>
      </c>
    </row>
    <row r="535" spans="1:11" x14ac:dyDescent="0.25">
      <c r="A535">
        <v>4888</v>
      </c>
      <c r="B535" s="1" t="s">
        <v>30</v>
      </c>
      <c r="C535" s="1" t="s">
        <v>53</v>
      </c>
      <c r="D535" s="2">
        <v>42851.583333333336</v>
      </c>
      <c r="E535" s="2">
        <v>42865.75</v>
      </c>
      <c r="F535" s="1" t="s">
        <v>12</v>
      </c>
      <c r="G535" s="1" t="s">
        <v>36</v>
      </c>
      <c r="H535">
        <v>5</v>
      </c>
      <c r="I535">
        <v>9</v>
      </c>
      <c r="J535" s="3">
        <v>32</v>
      </c>
      <c r="K535" s="3">
        <f>+Treinamentos[[#This Row],[Alunos]]*Treinamentos[[#This Row],[Valor]]</f>
        <v>288</v>
      </c>
    </row>
    <row r="536" spans="1:11" x14ac:dyDescent="0.25">
      <c r="A536">
        <v>4889</v>
      </c>
      <c r="B536" s="1" t="s">
        <v>10</v>
      </c>
      <c r="C536" s="1" t="s">
        <v>50</v>
      </c>
      <c r="D536" s="2">
        <v>42852.375</v>
      </c>
      <c r="E536" s="2">
        <v>42859.75</v>
      </c>
      <c r="F536" s="1" t="s">
        <v>21</v>
      </c>
      <c r="G536" s="1" t="s">
        <v>44</v>
      </c>
      <c r="H536">
        <v>2</v>
      </c>
      <c r="I536">
        <v>8</v>
      </c>
      <c r="J536" s="3">
        <v>35</v>
      </c>
      <c r="K536" s="3">
        <f>+Treinamentos[[#This Row],[Alunos]]*Treinamentos[[#This Row],[Valor]]</f>
        <v>280</v>
      </c>
    </row>
    <row r="537" spans="1:11" x14ac:dyDescent="0.25">
      <c r="A537">
        <v>4890</v>
      </c>
      <c r="B537" s="1" t="s">
        <v>30</v>
      </c>
      <c r="C537" s="1" t="s">
        <v>59</v>
      </c>
      <c r="D537" s="2">
        <v>42853.333333333336</v>
      </c>
      <c r="E537" s="2">
        <v>42867.5</v>
      </c>
      <c r="F537" s="1" t="s">
        <v>21</v>
      </c>
      <c r="G537" s="1" t="s">
        <v>13</v>
      </c>
      <c r="H537">
        <v>2</v>
      </c>
      <c r="I537">
        <v>8</v>
      </c>
      <c r="J537" s="3">
        <v>48</v>
      </c>
      <c r="K537" s="3">
        <f>+Treinamentos[[#This Row],[Alunos]]*Treinamentos[[#This Row],[Valor]]</f>
        <v>384</v>
      </c>
    </row>
    <row r="538" spans="1:11" x14ac:dyDescent="0.25">
      <c r="A538">
        <v>4891</v>
      </c>
      <c r="B538" s="1" t="s">
        <v>28</v>
      </c>
      <c r="C538" s="1" t="s">
        <v>55</v>
      </c>
      <c r="D538" s="2">
        <v>42854.375</v>
      </c>
      <c r="E538" s="2">
        <v>42860.75</v>
      </c>
      <c r="F538" s="1" t="s">
        <v>12</v>
      </c>
      <c r="G538" s="1" t="s">
        <v>34</v>
      </c>
      <c r="H538">
        <v>2</v>
      </c>
      <c r="I538">
        <v>11</v>
      </c>
      <c r="J538" s="3">
        <v>75</v>
      </c>
      <c r="K538" s="3">
        <f>+Treinamentos[[#This Row],[Alunos]]*Treinamentos[[#This Row],[Valor]]</f>
        <v>825</v>
      </c>
    </row>
    <row r="539" spans="1:11" x14ac:dyDescent="0.25">
      <c r="A539">
        <v>4892</v>
      </c>
      <c r="B539" s="1" t="s">
        <v>17</v>
      </c>
      <c r="C539" s="1" t="s">
        <v>60</v>
      </c>
      <c r="D539" s="2">
        <v>42856.791666666664</v>
      </c>
      <c r="E539" s="2">
        <v>42867.958333333336</v>
      </c>
      <c r="F539" s="1" t="s">
        <v>21</v>
      </c>
      <c r="G539" s="1" t="s">
        <v>33</v>
      </c>
      <c r="H539">
        <v>5</v>
      </c>
      <c r="I539">
        <v>12</v>
      </c>
      <c r="J539" s="3">
        <v>42</v>
      </c>
      <c r="K539" s="3">
        <f>+Treinamentos[[#This Row],[Alunos]]*Treinamentos[[#This Row],[Valor]]</f>
        <v>504</v>
      </c>
    </row>
    <row r="540" spans="1:11" x14ac:dyDescent="0.25">
      <c r="A540">
        <v>4893</v>
      </c>
      <c r="B540" s="1" t="s">
        <v>25</v>
      </c>
      <c r="C540" s="1" t="s">
        <v>55</v>
      </c>
      <c r="D540" s="2">
        <v>42856.791666666664</v>
      </c>
      <c r="E540" s="2">
        <v>42867.958333333336</v>
      </c>
      <c r="F540" s="1" t="s">
        <v>12</v>
      </c>
      <c r="G540" s="1" t="s">
        <v>24</v>
      </c>
      <c r="H540">
        <v>4</v>
      </c>
      <c r="I540">
        <v>12</v>
      </c>
      <c r="J540" s="3">
        <v>75</v>
      </c>
      <c r="K540" s="3">
        <f>+Treinamentos[[#This Row],[Alunos]]*Treinamentos[[#This Row],[Valor]]</f>
        <v>900</v>
      </c>
    </row>
    <row r="541" spans="1:11" x14ac:dyDescent="0.25">
      <c r="A541">
        <v>4894</v>
      </c>
      <c r="B541" s="1" t="s">
        <v>16</v>
      </c>
      <c r="C541" s="1" t="s">
        <v>61</v>
      </c>
      <c r="D541" s="2">
        <v>42857.791666666664</v>
      </c>
      <c r="E541" s="2">
        <v>42870.958333333336</v>
      </c>
      <c r="F541" s="1" t="s">
        <v>12</v>
      </c>
      <c r="G541" s="1" t="s">
        <v>33</v>
      </c>
      <c r="H541">
        <v>3</v>
      </c>
      <c r="I541">
        <v>12</v>
      </c>
      <c r="J541" s="3">
        <v>62</v>
      </c>
      <c r="K541" s="3">
        <f>+Treinamentos[[#This Row],[Alunos]]*Treinamentos[[#This Row],[Valor]]</f>
        <v>744</v>
      </c>
    </row>
    <row r="542" spans="1:11" x14ac:dyDescent="0.25">
      <c r="A542">
        <v>4895</v>
      </c>
      <c r="B542" s="1" t="s">
        <v>30</v>
      </c>
      <c r="C542" s="1" t="s">
        <v>51</v>
      </c>
      <c r="D542" s="2">
        <v>42858.583333333336</v>
      </c>
      <c r="E542" s="2">
        <v>42871.75</v>
      </c>
      <c r="F542" s="1" t="s">
        <v>21</v>
      </c>
      <c r="G542" s="1" t="s">
        <v>34</v>
      </c>
      <c r="H542">
        <v>2</v>
      </c>
      <c r="I542">
        <v>11</v>
      </c>
      <c r="J542" s="3">
        <v>62</v>
      </c>
      <c r="K542" s="3">
        <f>+Treinamentos[[#This Row],[Alunos]]*Treinamentos[[#This Row],[Valor]]</f>
        <v>682</v>
      </c>
    </row>
    <row r="543" spans="1:11" x14ac:dyDescent="0.25">
      <c r="A543">
        <v>4896</v>
      </c>
      <c r="B543" s="1" t="s">
        <v>28</v>
      </c>
      <c r="C543" s="1" t="s">
        <v>53</v>
      </c>
      <c r="D543" s="2">
        <v>42859.375</v>
      </c>
      <c r="E543" s="2">
        <v>42865.75</v>
      </c>
      <c r="F543" s="1" t="s">
        <v>12</v>
      </c>
      <c r="G543" s="1" t="s">
        <v>33</v>
      </c>
      <c r="H543">
        <v>3</v>
      </c>
      <c r="I543">
        <v>12</v>
      </c>
      <c r="J543" s="3">
        <v>32</v>
      </c>
      <c r="K543" s="3">
        <f>+Treinamentos[[#This Row],[Alunos]]*Treinamentos[[#This Row],[Valor]]</f>
        <v>384</v>
      </c>
    </row>
    <row r="544" spans="1:11" x14ac:dyDescent="0.25">
      <c r="A544">
        <v>4897</v>
      </c>
      <c r="B544" s="1" t="s">
        <v>14</v>
      </c>
      <c r="C544" s="1" t="s">
        <v>51</v>
      </c>
      <c r="D544" s="2">
        <v>42860.333333333336</v>
      </c>
      <c r="E544" s="2">
        <v>42873.5</v>
      </c>
      <c r="F544" s="1" t="s">
        <v>21</v>
      </c>
      <c r="G544" s="1" t="s">
        <v>13</v>
      </c>
      <c r="H544">
        <v>2</v>
      </c>
      <c r="I544">
        <v>8</v>
      </c>
      <c r="J544" s="3">
        <v>62</v>
      </c>
      <c r="K544" s="3">
        <f>+Treinamentos[[#This Row],[Alunos]]*Treinamentos[[#This Row],[Valor]]</f>
        <v>496</v>
      </c>
    </row>
    <row r="545" spans="1:11" x14ac:dyDescent="0.25">
      <c r="A545">
        <v>4898</v>
      </c>
      <c r="B545" s="1" t="s">
        <v>28</v>
      </c>
      <c r="C545" s="1" t="s">
        <v>50</v>
      </c>
      <c r="D545" s="2">
        <v>42861.375</v>
      </c>
      <c r="E545" s="2">
        <v>42866.75</v>
      </c>
      <c r="F545" s="1" t="s">
        <v>21</v>
      </c>
      <c r="G545" s="1" t="s">
        <v>47</v>
      </c>
      <c r="H545">
        <v>4</v>
      </c>
      <c r="I545">
        <v>12</v>
      </c>
      <c r="J545" s="3">
        <v>35</v>
      </c>
      <c r="K545" s="3">
        <f>+Treinamentos[[#This Row],[Alunos]]*Treinamentos[[#This Row],[Valor]]</f>
        <v>420</v>
      </c>
    </row>
    <row r="546" spans="1:11" x14ac:dyDescent="0.25">
      <c r="A546">
        <v>4899</v>
      </c>
      <c r="B546" s="1" t="s">
        <v>17</v>
      </c>
      <c r="C546" s="1" t="s">
        <v>58</v>
      </c>
      <c r="D546" s="2">
        <v>42863.791666666664</v>
      </c>
      <c r="E546" s="2">
        <v>42874.958333333336</v>
      </c>
      <c r="F546" s="1" t="s">
        <v>21</v>
      </c>
      <c r="G546" s="1" t="s">
        <v>19</v>
      </c>
      <c r="H546">
        <v>3</v>
      </c>
      <c r="I546">
        <v>11</v>
      </c>
      <c r="J546" s="3">
        <v>48</v>
      </c>
      <c r="K546" s="3">
        <f>+Treinamentos[[#This Row],[Alunos]]*Treinamentos[[#This Row],[Valor]]</f>
        <v>528</v>
      </c>
    </row>
    <row r="547" spans="1:11" x14ac:dyDescent="0.25">
      <c r="A547">
        <v>4900</v>
      </c>
      <c r="B547" s="1" t="s">
        <v>37</v>
      </c>
      <c r="C547" s="1" t="s">
        <v>56</v>
      </c>
      <c r="D547" s="2">
        <v>42863.791666666664</v>
      </c>
      <c r="E547" s="2">
        <v>42874.958333333336</v>
      </c>
      <c r="F547" s="1" t="s">
        <v>21</v>
      </c>
      <c r="G547" s="1" t="s">
        <v>24</v>
      </c>
      <c r="H547">
        <v>2</v>
      </c>
      <c r="I547">
        <v>8</v>
      </c>
      <c r="J547" s="3">
        <v>63</v>
      </c>
      <c r="K547" s="3">
        <f>+Treinamentos[[#This Row],[Alunos]]*Treinamentos[[#This Row],[Valor]]</f>
        <v>504</v>
      </c>
    </row>
    <row r="548" spans="1:11" x14ac:dyDescent="0.25">
      <c r="A548">
        <v>4901</v>
      </c>
      <c r="B548" s="1" t="s">
        <v>37</v>
      </c>
      <c r="C548" s="1" t="s">
        <v>57</v>
      </c>
      <c r="D548" s="2">
        <v>42864.791666666664</v>
      </c>
      <c r="E548" s="2">
        <v>42877.958333333336</v>
      </c>
      <c r="F548" s="1" t="s">
        <v>21</v>
      </c>
      <c r="G548" s="1" t="s">
        <v>34</v>
      </c>
      <c r="H548">
        <v>2</v>
      </c>
      <c r="I548">
        <v>11</v>
      </c>
      <c r="J548" s="3">
        <v>52</v>
      </c>
      <c r="K548" s="3">
        <f>+Treinamentos[[#This Row],[Alunos]]*Treinamentos[[#This Row],[Valor]]</f>
        <v>572</v>
      </c>
    </row>
    <row r="549" spans="1:11" x14ac:dyDescent="0.25">
      <c r="A549">
        <v>4902</v>
      </c>
      <c r="B549" s="1" t="s">
        <v>16</v>
      </c>
      <c r="C549" s="1" t="s">
        <v>53</v>
      </c>
      <c r="D549" s="2">
        <v>42865.583333333336</v>
      </c>
      <c r="E549" s="2">
        <v>42878.75</v>
      </c>
      <c r="F549" s="1" t="s">
        <v>21</v>
      </c>
      <c r="G549" s="1" t="s">
        <v>47</v>
      </c>
      <c r="H549">
        <v>4</v>
      </c>
      <c r="I549">
        <v>9</v>
      </c>
      <c r="J549" s="3">
        <v>32</v>
      </c>
      <c r="K549" s="3">
        <f>+Treinamentos[[#This Row],[Alunos]]*Treinamentos[[#This Row],[Valor]]</f>
        <v>288</v>
      </c>
    </row>
    <row r="550" spans="1:11" x14ac:dyDescent="0.25">
      <c r="A550">
        <v>4903</v>
      </c>
      <c r="B550" s="1" t="s">
        <v>28</v>
      </c>
      <c r="C550" s="1" t="s">
        <v>53</v>
      </c>
      <c r="D550" s="2">
        <v>42866.375</v>
      </c>
      <c r="E550" s="2">
        <v>42872.75</v>
      </c>
      <c r="F550" s="1" t="s">
        <v>12</v>
      </c>
      <c r="G550" s="1" t="s">
        <v>22</v>
      </c>
      <c r="H550">
        <v>3</v>
      </c>
      <c r="I550">
        <v>9</v>
      </c>
      <c r="J550" s="3">
        <v>32</v>
      </c>
      <c r="K550" s="3">
        <f>+Treinamentos[[#This Row],[Alunos]]*Treinamentos[[#This Row],[Valor]]</f>
        <v>288</v>
      </c>
    </row>
    <row r="551" spans="1:11" x14ac:dyDescent="0.25">
      <c r="A551">
        <v>4904</v>
      </c>
      <c r="B551" s="1" t="s">
        <v>10</v>
      </c>
      <c r="C551" s="1" t="s">
        <v>55</v>
      </c>
      <c r="D551" s="2">
        <v>42867.333333333336</v>
      </c>
      <c r="E551" s="2">
        <v>42880.5</v>
      </c>
      <c r="F551" s="1" t="s">
        <v>21</v>
      </c>
      <c r="G551" s="1" t="s">
        <v>27</v>
      </c>
      <c r="H551">
        <v>5</v>
      </c>
      <c r="I551">
        <v>8</v>
      </c>
      <c r="J551" s="3">
        <v>75</v>
      </c>
      <c r="K551" s="3">
        <f>+Treinamentos[[#This Row],[Alunos]]*Treinamentos[[#This Row],[Valor]]</f>
        <v>600</v>
      </c>
    </row>
    <row r="552" spans="1:11" x14ac:dyDescent="0.25">
      <c r="A552">
        <v>4905</v>
      </c>
      <c r="B552" s="1" t="s">
        <v>14</v>
      </c>
      <c r="C552" s="1" t="s">
        <v>57</v>
      </c>
      <c r="D552" s="2">
        <v>42868.375</v>
      </c>
      <c r="E552" s="2">
        <v>42873.75</v>
      </c>
      <c r="F552" s="1" t="s">
        <v>12</v>
      </c>
      <c r="G552" s="1" t="s">
        <v>34</v>
      </c>
      <c r="H552">
        <v>2</v>
      </c>
      <c r="I552">
        <v>10</v>
      </c>
      <c r="J552" s="3">
        <v>52</v>
      </c>
      <c r="K552" s="3">
        <f>+Treinamentos[[#This Row],[Alunos]]*Treinamentos[[#This Row],[Valor]]</f>
        <v>520</v>
      </c>
    </row>
    <row r="553" spans="1:11" x14ac:dyDescent="0.25">
      <c r="A553">
        <v>4906</v>
      </c>
      <c r="B553" s="1" t="s">
        <v>25</v>
      </c>
      <c r="C553" s="1" t="s">
        <v>57</v>
      </c>
      <c r="D553" s="2">
        <v>42870.791666666664</v>
      </c>
      <c r="E553" s="2">
        <v>42881.958333333336</v>
      </c>
      <c r="F553" s="1" t="s">
        <v>12</v>
      </c>
      <c r="G553" s="1" t="s">
        <v>19</v>
      </c>
      <c r="H553">
        <v>5</v>
      </c>
      <c r="I553">
        <v>11</v>
      </c>
      <c r="J553" s="3">
        <v>52</v>
      </c>
      <c r="K553" s="3">
        <f>+Treinamentos[[#This Row],[Alunos]]*Treinamentos[[#This Row],[Valor]]</f>
        <v>572</v>
      </c>
    </row>
    <row r="554" spans="1:11" x14ac:dyDescent="0.25">
      <c r="A554">
        <v>4907</v>
      </c>
      <c r="B554" s="1" t="s">
        <v>30</v>
      </c>
      <c r="C554" s="1" t="s">
        <v>53</v>
      </c>
      <c r="D554" s="2">
        <v>42870.791666666664</v>
      </c>
      <c r="E554" s="2">
        <v>42881.958333333336</v>
      </c>
      <c r="F554" s="1" t="s">
        <v>12</v>
      </c>
      <c r="G554" s="1" t="s">
        <v>32</v>
      </c>
      <c r="H554">
        <v>5</v>
      </c>
      <c r="I554">
        <v>8</v>
      </c>
      <c r="J554" s="3">
        <v>32</v>
      </c>
      <c r="K554" s="3">
        <f>+Treinamentos[[#This Row],[Alunos]]*Treinamentos[[#This Row],[Valor]]</f>
        <v>256</v>
      </c>
    </row>
    <row r="555" spans="1:11" x14ac:dyDescent="0.25">
      <c r="A555">
        <v>4908</v>
      </c>
      <c r="B555" s="1" t="s">
        <v>16</v>
      </c>
      <c r="C555" s="1" t="s">
        <v>50</v>
      </c>
      <c r="D555" s="2">
        <v>42871.791666666664</v>
      </c>
      <c r="E555" s="2">
        <v>42884.958333333336</v>
      </c>
      <c r="F555" s="1" t="s">
        <v>21</v>
      </c>
      <c r="G555" s="1" t="s">
        <v>32</v>
      </c>
      <c r="H555">
        <v>4</v>
      </c>
      <c r="I555">
        <v>12</v>
      </c>
      <c r="J555" s="3">
        <v>35</v>
      </c>
      <c r="K555" s="3">
        <f>+Treinamentos[[#This Row],[Alunos]]*Treinamentos[[#This Row],[Valor]]</f>
        <v>420</v>
      </c>
    </row>
    <row r="556" spans="1:11" x14ac:dyDescent="0.25">
      <c r="A556">
        <v>4909</v>
      </c>
      <c r="B556" s="1" t="s">
        <v>10</v>
      </c>
      <c r="C556" s="1" t="s">
        <v>54</v>
      </c>
      <c r="D556" s="2">
        <v>42872.583333333336</v>
      </c>
      <c r="E556" s="2">
        <v>42885.75</v>
      </c>
      <c r="F556" s="1" t="s">
        <v>12</v>
      </c>
      <c r="G556" s="1" t="s">
        <v>16</v>
      </c>
      <c r="H556">
        <v>4</v>
      </c>
      <c r="I556">
        <v>10</v>
      </c>
      <c r="J556" s="3">
        <v>43</v>
      </c>
      <c r="K556" s="3">
        <f>+Treinamentos[[#This Row],[Alunos]]*Treinamentos[[#This Row],[Valor]]</f>
        <v>430</v>
      </c>
    </row>
    <row r="557" spans="1:11" x14ac:dyDescent="0.25">
      <c r="A557">
        <v>4910</v>
      </c>
      <c r="B557" s="1" t="s">
        <v>37</v>
      </c>
      <c r="C557" s="1" t="s">
        <v>51</v>
      </c>
      <c r="D557" s="2">
        <v>42873.375</v>
      </c>
      <c r="E557" s="2">
        <v>42879.75</v>
      </c>
      <c r="F557" s="1" t="s">
        <v>21</v>
      </c>
      <c r="G557" s="1" t="s">
        <v>33</v>
      </c>
      <c r="H557">
        <v>5</v>
      </c>
      <c r="I557">
        <v>10</v>
      </c>
      <c r="J557" s="3">
        <v>62</v>
      </c>
      <c r="K557" s="3">
        <f>+Treinamentos[[#This Row],[Alunos]]*Treinamentos[[#This Row],[Valor]]</f>
        <v>620</v>
      </c>
    </row>
    <row r="558" spans="1:11" x14ac:dyDescent="0.25">
      <c r="A558">
        <v>4911</v>
      </c>
      <c r="B558" s="1" t="s">
        <v>41</v>
      </c>
      <c r="C558" s="1" t="s">
        <v>51</v>
      </c>
      <c r="D558" s="2">
        <v>42874.333333333336</v>
      </c>
      <c r="E558" s="2">
        <v>42887.5</v>
      </c>
      <c r="F558" s="1" t="s">
        <v>12</v>
      </c>
      <c r="G558" s="1" t="s">
        <v>33</v>
      </c>
      <c r="H558">
        <v>2</v>
      </c>
      <c r="I558">
        <v>10</v>
      </c>
      <c r="J558" s="3">
        <v>62</v>
      </c>
      <c r="K558" s="3">
        <f>+Treinamentos[[#This Row],[Alunos]]*Treinamentos[[#This Row],[Valor]]</f>
        <v>620</v>
      </c>
    </row>
    <row r="559" spans="1:11" x14ac:dyDescent="0.25">
      <c r="A559">
        <v>4912</v>
      </c>
      <c r="B559" s="1" t="s">
        <v>25</v>
      </c>
      <c r="C559" s="1" t="s">
        <v>51</v>
      </c>
      <c r="D559" s="2">
        <v>42875.375</v>
      </c>
      <c r="E559" s="2">
        <v>42880.75</v>
      </c>
      <c r="F559" s="1" t="s">
        <v>21</v>
      </c>
      <c r="G559" s="1" t="s">
        <v>34</v>
      </c>
      <c r="H559">
        <v>3</v>
      </c>
      <c r="I559">
        <v>11</v>
      </c>
      <c r="J559" s="3">
        <v>62</v>
      </c>
      <c r="K559" s="3">
        <f>+Treinamentos[[#This Row],[Alunos]]*Treinamentos[[#This Row],[Valor]]</f>
        <v>682</v>
      </c>
    </row>
    <row r="560" spans="1:11" x14ac:dyDescent="0.25">
      <c r="A560">
        <v>4913</v>
      </c>
      <c r="B560" s="1" t="s">
        <v>25</v>
      </c>
      <c r="C560" s="1" t="s">
        <v>56</v>
      </c>
      <c r="D560" s="2">
        <v>42877.791666666664</v>
      </c>
      <c r="E560" s="2">
        <v>42888.958333333336</v>
      </c>
      <c r="F560" s="1" t="s">
        <v>12</v>
      </c>
      <c r="G560" s="1" t="s">
        <v>24</v>
      </c>
      <c r="H560">
        <v>5</v>
      </c>
      <c r="I560">
        <v>10</v>
      </c>
      <c r="J560" s="3">
        <v>63</v>
      </c>
      <c r="K560" s="3">
        <f>+Treinamentos[[#This Row],[Alunos]]*Treinamentos[[#This Row],[Valor]]</f>
        <v>630</v>
      </c>
    </row>
    <row r="561" spans="1:11" x14ac:dyDescent="0.25">
      <c r="A561">
        <v>4914</v>
      </c>
      <c r="B561" s="1" t="s">
        <v>16</v>
      </c>
      <c r="C561" s="1" t="s">
        <v>50</v>
      </c>
      <c r="D561" s="2">
        <v>42877.791666666664</v>
      </c>
      <c r="E561" s="2">
        <v>42888.958333333336</v>
      </c>
      <c r="F561" s="1" t="s">
        <v>21</v>
      </c>
      <c r="G561" s="1" t="s">
        <v>19</v>
      </c>
      <c r="H561">
        <v>5</v>
      </c>
      <c r="I561">
        <v>9</v>
      </c>
      <c r="J561" s="3">
        <v>35</v>
      </c>
      <c r="K561" s="3">
        <f>+Treinamentos[[#This Row],[Alunos]]*Treinamentos[[#This Row],[Valor]]</f>
        <v>315</v>
      </c>
    </row>
    <row r="562" spans="1:11" x14ac:dyDescent="0.25">
      <c r="A562">
        <v>4915</v>
      </c>
      <c r="B562" s="1" t="s">
        <v>17</v>
      </c>
      <c r="C562" s="1" t="s">
        <v>53</v>
      </c>
      <c r="D562" s="2">
        <v>42878.791666666664</v>
      </c>
      <c r="E562" s="2">
        <v>42891.958333333336</v>
      </c>
      <c r="F562" s="1" t="s">
        <v>12</v>
      </c>
      <c r="G562" s="1" t="s">
        <v>47</v>
      </c>
      <c r="H562">
        <v>3</v>
      </c>
      <c r="I562">
        <v>9</v>
      </c>
      <c r="J562" s="3">
        <v>32</v>
      </c>
      <c r="K562" s="3">
        <f>+Treinamentos[[#This Row],[Alunos]]*Treinamentos[[#This Row],[Valor]]</f>
        <v>288</v>
      </c>
    </row>
    <row r="563" spans="1:11" x14ac:dyDescent="0.25">
      <c r="A563">
        <v>4916</v>
      </c>
      <c r="B563" s="1" t="s">
        <v>14</v>
      </c>
      <c r="C563" s="1" t="s">
        <v>51</v>
      </c>
      <c r="D563" s="2">
        <v>42879.583333333336</v>
      </c>
      <c r="E563" s="2">
        <v>42892.75</v>
      </c>
      <c r="F563" s="1" t="s">
        <v>21</v>
      </c>
      <c r="G563" s="1" t="s">
        <v>48</v>
      </c>
      <c r="H563">
        <v>3</v>
      </c>
      <c r="I563">
        <v>9</v>
      </c>
      <c r="J563" s="3">
        <v>62</v>
      </c>
      <c r="K563" s="3">
        <f>+Treinamentos[[#This Row],[Alunos]]*Treinamentos[[#This Row],[Valor]]</f>
        <v>558</v>
      </c>
    </row>
    <row r="564" spans="1:11" x14ac:dyDescent="0.25">
      <c r="A564">
        <v>4917</v>
      </c>
      <c r="B564" s="1" t="s">
        <v>30</v>
      </c>
      <c r="C564" s="1" t="s">
        <v>55</v>
      </c>
      <c r="D564" s="2">
        <v>42880.375</v>
      </c>
      <c r="E564" s="2">
        <v>42886.75</v>
      </c>
      <c r="F564" s="1" t="s">
        <v>12</v>
      </c>
      <c r="G564" s="1" t="s">
        <v>47</v>
      </c>
      <c r="H564">
        <v>5</v>
      </c>
      <c r="I564">
        <v>10</v>
      </c>
      <c r="J564" s="3">
        <v>75</v>
      </c>
      <c r="K564" s="3">
        <f>+Treinamentos[[#This Row],[Alunos]]*Treinamentos[[#This Row],[Valor]]</f>
        <v>750</v>
      </c>
    </row>
    <row r="565" spans="1:11" x14ac:dyDescent="0.25">
      <c r="A565">
        <v>4918</v>
      </c>
      <c r="B565" s="1" t="s">
        <v>16</v>
      </c>
      <c r="C565" s="1" t="s">
        <v>61</v>
      </c>
      <c r="D565" s="2">
        <v>42881.333333333336</v>
      </c>
      <c r="E565" s="2">
        <v>42894.5</v>
      </c>
      <c r="F565" s="1" t="s">
        <v>21</v>
      </c>
      <c r="G565" s="1" t="s">
        <v>32</v>
      </c>
      <c r="H565">
        <v>4</v>
      </c>
      <c r="I565">
        <v>11</v>
      </c>
      <c r="J565" s="3">
        <v>62</v>
      </c>
      <c r="K565" s="3">
        <f>+Treinamentos[[#This Row],[Alunos]]*Treinamentos[[#This Row],[Valor]]</f>
        <v>682</v>
      </c>
    </row>
    <row r="566" spans="1:11" x14ac:dyDescent="0.25">
      <c r="A566">
        <v>4919</v>
      </c>
      <c r="B566" s="1" t="s">
        <v>25</v>
      </c>
      <c r="C566" s="1" t="s">
        <v>53</v>
      </c>
      <c r="D566" s="2">
        <v>42882.375</v>
      </c>
      <c r="E566" s="2">
        <v>42887.75</v>
      </c>
      <c r="F566" s="1" t="s">
        <v>12</v>
      </c>
      <c r="G566" s="1" t="s">
        <v>44</v>
      </c>
      <c r="H566">
        <v>4</v>
      </c>
      <c r="I566">
        <v>12</v>
      </c>
      <c r="J566" s="3">
        <v>32</v>
      </c>
      <c r="K566" s="3">
        <f>+Treinamentos[[#This Row],[Alunos]]*Treinamentos[[#This Row],[Valor]]</f>
        <v>384</v>
      </c>
    </row>
    <row r="567" spans="1:11" x14ac:dyDescent="0.25">
      <c r="A567">
        <v>4920</v>
      </c>
      <c r="B567" s="1" t="s">
        <v>37</v>
      </c>
      <c r="C567" s="1" t="s">
        <v>51</v>
      </c>
      <c r="D567" s="2">
        <v>42884.791666666664</v>
      </c>
      <c r="E567" s="2">
        <v>42895.958333333336</v>
      </c>
      <c r="F567" s="1" t="s">
        <v>12</v>
      </c>
      <c r="G567" s="1" t="s">
        <v>24</v>
      </c>
      <c r="H567">
        <v>2</v>
      </c>
      <c r="I567">
        <v>9</v>
      </c>
      <c r="J567" s="3">
        <v>62</v>
      </c>
      <c r="K567" s="3">
        <f>+Treinamentos[[#This Row],[Alunos]]*Treinamentos[[#This Row],[Valor]]</f>
        <v>558</v>
      </c>
    </row>
    <row r="568" spans="1:11" x14ac:dyDescent="0.25">
      <c r="A568">
        <v>4921</v>
      </c>
      <c r="B568" s="1" t="s">
        <v>16</v>
      </c>
      <c r="C568" s="1" t="s">
        <v>58</v>
      </c>
      <c r="D568" s="2">
        <v>42884.791666666664</v>
      </c>
      <c r="E568" s="2">
        <v>42895.958333333336</v>
      </c>
      <c r="F568" s="1" t="s">
        <v>12</v>
      </c>
      <c r="G568" s="1" t="s">
        <v>32</v>
      </c>
      <c r="H568">
        <v>3</v>
      </c>
      <c r="I568">
        <v>10</v>
      </c>
      <c r="J568" s="3">
        <v>48</v>
      </c>
      <c r="K568" s="3">
        <f>+Treinamentos[[#This Row],[Alunos]]*Treinamentos[[#This Row],[Valor]]</f>
        <v>480</v>
      </c>
    </row>
    <row r="569" spans="1:11" x14ac:dyDescent="0.25">
      <c r="A569">
        <v>4922</v>
      </c>
      <c r="B569" s="1" t="s">
        <v>16</v>
      </c>
      <c r="C569" s="1" t="s">
        <v>57</v>
      </c>
      <c r="D569" s="2">
        <v>42885.791666666664</v>
      </c>
      <c r="E569" s="2">
        <v>42898.958333333336</v>
      </c>
      <c r="F569" s="1" t="s">
        <v>12</v>
      </c>
      <c r="G569" s="1" t="s">
        <v>34</v>
      </c>
      <c r="H569">
        <v>3</v>
      </c>
      <c r="I569">
        <v>11</v>
      </c>
      <c r="J569" s="3">
        <v>52</v>
      </c>
      <c r="K569" s="3">
        <f>+Treinamentos[[#This Row],[Alunos]]*Treinamentos[[#This Row],[Valor]]</f>
        <v>572</v>
      </c>
    </row>
    <row r="570" spans="1:11" x14ac:dyDescent="0.25">
      <c r="A570">
        <v>4923</v>
      </c>
      <c r="B570" s="1" t="s">
        <v>16</v>
      </c>
      <c r="C570" s="1" t="s">
        <v>59</v>
      </c>
      <c r="D570" s="2">
        <v>42886.583333333336</v>
      </c>
      <c r="E570" s="2">
        <v>42899.75</v>
      </c>
      <c r="F570" s="1" t="s">
        <v>21</v>
      </c>
      <c r="G570" s="1" t="s">
        <v>24</v>
      </c>
      <c r="H570">
        <v>4</v>
      </c>
      <c r="I570">
        <v>12</v>
      </c>
      <c r="J570" s="3">
        <v>48</v>
      </c>
      <c r="K570" s="3">
        <f>+Treinamentos[[#This Row],[Alunos]]*Treinamentos[[#This Row],[Valor]]</f>
        <v>576</v>
      </c>
    </row>
    <row r="571" spans="1:11" x14ac:dyDescent="0.25">
      <c r="A571">
        <v>4924</v>
      </c>
      <c r="B571" s="1" t="s">
        <v>28</v>
      </c>
      <c r="C571" s="1" t="s">
        <v>49</v>
      </c>
      <c r="D571" s="2">
        <v>42887.375</v>
      </c>
      <c r="E571" s="2">
        <v>42893.75</v>
      </c>
      <c r="F571" s="1" t="s">
        <v>21</v>
      </c>
      <c r="G571" s="1" t="s">
        <v>22</v>
      </c>
      <c r="H571">
        <v>4</v>
      </c>
      <c r="I571">
        <v>12</v>
      </c>
      <c r="J571" s="3">
        <v>53</v>
      </c>
      <c r="K571" s="3">
        <f>+Treinamentos[[#This Row],[Alunos]]*Treinamentos[[#This Row],[Valor]]</f>
        <v>636</v>
      </c>
    </row>
    <row r="572" spans="1:11" x14ac:dyDescent="0.25">
      <c r="A572">
        <v>4925</v>
      </c>
      <c r="B572" s="1" t="s">
        <v>10</v>
      </c>
      <c r="C572" s="1" t="s">
        <v>49</v>
      </c>
      <c r="D572" s="2">
        <v>42888.333333333336</v>
      </c>
      <c r="E572" s="2">
        <v>42902.5</v>
      </c>
      <c r="F572" s="1" t="s">
        <v>12</v>
      </c>
      <c r="G572" s="1" t="s">
        <v>19</v>
      </c>
      <c r="H572">
        <v>5</v>
      </c>
      <c r="I572">
        <v>9</v>
      </c>
      <c r="J572" s="3">
        <v>53</v>
      </c>
      <c r="K572" s="3">
        <f>+Treinamentos[[#This Row],[Alunos]]*Treinamentos[[#This Row],[Valor]]</f>
        <v>477</v>
      </c>
    </row>
    <row r="573" spans="1:11" x14ac:dyDescent="0.25">
      <c r="A573">
        <v>4926</v>
      </c>
      <c r="B573" s="1" t="s">
        <v>37</v>
      </c>
      <c r="C573" s="1" t="s">
        <v>56</v>
      </c>
      <c r="D573" s="2">
        <v>42889.375</v>
      </c>
      <c r="E573" s="2">
        <v>42894.75</v>
      </c>
      <c r="F573" s="1" t="s">
        <v>21</v>
      </c>
      <c r="G573" s="1" t="s">
        <v>48</v>
      </c>
      <c r="H573">
        <v>2</v>
      </c>
      <c r="I573">
        <v>9</v>
      </c>
      <c r="J573" s="3">
        <v>63</v>
      </c>
      <c r="K573" s="3">
        <f>+Treinamentos[[#This Row],[Alunos]]*Treinamentos[[#This Row],[Valor]]</f>
        <v>567</v>
      </c>
    </row>
    <row r="574" spans="1:11" x14ac:dyDescent="0.25">
      <c r="A574">
        <v>4927</v>
      </c>
      <c r="B574" s="1" t="s">
        <v>30</v>
      </c>
      <c r="C574" s="1" t="s">
        <v>59</v>
      </c>
      <c r="D574" s="2">
        <v>42891.791666666664</v>
      </c>
      <c r="E574" s="2">
        <v>42905.958333333336</v>
      </c>
      <c r="F574" s="1" t="s">
        <v>21</v>
      </c>
      <c r="G574" s="1" t="s">
        <v>24</v>
      </c>
      <c r="H574">
        <v>3</v>
      </c>
      <c r="I574">
        <v>10</v>
      </c>
      <c r="J574" s="3">
        <v>48</v>
      </c>
      <c r="K574" s="3">
        <f>+Treinamentos[[#This Row],[Alunos]]*Treinamentos[[#This Row],[Valor]]</f>
        <v>480</v>
      </c>
    </row>
    <row r="575" spans="1:11" x14ac:dyDescent="0.25">
      <c r="A575">
        <v>4928</v>
      </c>
      <c r="B575" s="1" t="s">
        <v>28</v>
      </c>
      <c r="C575" s="1" t="s">
        <v>55</v>
      </c>
      <c r="D575" s="2">
        <v>42891.791666666664</v>
      </c>
      <c r="E575" s="2">
        <v>42905.958333333336</v>
      </c>
      <c r="F575" s="1" t="s">
        <v>12</v>
      </c>
      <c r="G575" s="1" t="s">
        <v>19</v>
      </c>
      <c r="H575">
        <v>5</v>
      </c>
      <c r="I575">
        <v>11</v>
      </c>
      <c r="J575" s="3">
        <v>75</v>
      </c>
      <c r="K575" s="3">
        <f>+Treinamentos[[#This Row],[Alunos]]*Treinamentos[[#This Row],[Valor]]</f>
        <v>825</v>
      </c>
    </row>
    <row r="576" spans="1:11" x14ac:dyDescent="0.25">
      <c r="A576">
        <v>4929</v>
      </c>
      <c r="B576" s="1" t="s">
        <v>14</v>
      </c>
      <c r="C576" s="1" t="s">
        <v>59</v>
      </c>
      <c r="D576" s="2">
        <v>42892.791666666664</v>
      </c>
      <c r="E576" s="2">
        <v>42906.958333333336</v>
      </c>
      <c r="F576" s="1" t="s">
        <v>21</v>
      </c>
      <c r="G576" s="1" t="s">
        <v>32</v>
      </c>
      <c r="H576">
        <v>5</v>
      </c>
      <c r="I576">
        <v>9</v>
      </c>
      <c r="J576" s="3">
        <v>48</v>
      </c>
      <c r="K576" s="3">
        <f>+Treinamentos[[#This Row],[Alunos]]*Treinamentos[[#This Row],[Valor]]</f>
        <v>432</v>
      </c>
    </row>
    <row r="577" spans="1:11" x14ac:dyDescent="0.25">
      <c r="A577">
        <v>4930</v>
      </c>
      <c r="B577" s="1" t="s">
        <v>30</v>
      </c>
      <c r="C577" s="1" t="s">
        <v>59</v>
      </c>
      <c r="D577" s="2">
        <v>42893.583333333336</v>
      </c>
      <c r="E577" s="2">
        <v>42907.75</v>
      </c>
      <c r="F577" s="1" t="s">
        <v>12</v>
      </c>
      <c r="G577" s="1" t="s">
        <v>27</v>
      </c>
      <c r="H577">
        <v>4</v>
      </c>
      <c r="I577">
        <v>10</v>
      </c>
      <c r="J577" s="3">
        <v>48</v>
      </c>
      <c r="K577" s="3">
        <f>+Treinamentos[[#This Row],[Alunos]]*Treinamentos[[#This Row],[Valor]]</f>
        <v>480</v>
      </c>
    </row>
    <row r="578" spans="1:11" x14ac:dyDescent="0.25">
      <c r="A578">
        <v>4931</v>
      </c>
      <c r="B578" s="1" t="s">
        <v>25</v>
      </c>
      <c r="C578" s="1" t="s">
        <v>54</v>
      </c>
      <c r="D578" s="2">
        <v>42894.375</v>
      </c>
      <c r="E578" s="2">
        <v>42900.75</v>
      </c>
      <c r="F578" s="1" t="s">
        <v>21</v>
      </c>
      <c r="G578" s="1" t="s">
        <v>13</v>
      </c>
      <c r="H578">
        <v>4</v>
      </c>
      <c r="I578">
        <v>12</v>
      </c>
      <c r="J578" s="3">
        <v>43</v>
      </c>
      <c r="K578" s="3">
        <f>+Treinamentos[[#This Row],[Alunos]]*Treinamentos[[#This Row],[Valor]]</f>
        <v>516</v>
      </c>
    </row>
    <row r="579" spans="1:11" x14ac:dyDescent="0.25">
      <c r="A579">
        <v>4932</v>
      </c>
      <c r="B579" s="1" t="s">
        <v>25</v>
      </c>
      <c r="C579" s="1" t="s">
        <v>59</v>
      </c>
      <c r="D579" s="2">
        <v>42895.333333333336</v>
      </c>
      <c r="E579" s="2">
        <v>42909.5</v>
      </c>
      <c r="F579" s="1" t="s">
        <v>12</v>
      </c>
      <c r="G579" s="1" t="s">
        <v>16</v>
      </c>
      <c r="H579">
        <v>5</v>
      </c>
      <c r="I579">
        <v>11</v>
      </c>
      <c r="J579" s="3">
        <v>48</v>
      </c>
      <c r="K579" s="3">
        <f>+Treinamentos[[#This Row],[Alunos]]*Treinamentos[[#This Row],[Valor]]</f>
        <v>528</v>
      </c>
    </row>
    <row r="580" spans="1:11" x14ac:dyDescent="0.25">
      <c r="A580">
        <v>4933</v>
      </c>
      <c r="B580" s="1" t="s">
        <v>10</v>
      </c>
      <c r="C580" s="1" t="s">
        <v>55</v>
      </c>
      <c r="D580" s="2">
        <v>42896.375</v>
      </c>
      <c r="E580" s="2">
        <v>42902.75</v>
      </c>
      <c r="F580" s="1" t="s">
        <v>21</v>
      </c>
      <c r="G580" s="1" t="s">
        <v>34</v>
      </c>
      <c r="H580">
        <v>5</v>
      </c>
      <c r="I580">
        <v>10</v>
      </c>
      <c r="J580" s="3">
        <v>75</v>
      </c>
      <c r="K580" s="3">
        <f>+Treinamentos[[#This Row],[Alunos]]*Treinamentos[[#This Row],[Valor]]</f>
        <v>750</v>
      </c>
    </row>
    <row r="581" spans="1:11" x14ac:dyDescent="0.25">
      <c r="A581">
        <v>4934</v>
      </c>
      <c r="B581" s="1" t="s">
        <v>37</v>
      </c>
      <c r="C581" s="1" t="s">
        <v>55</v>
      </c>
      <c r="D581" s="2">
        <v>42898.791666666664</v>
      </c>
      <c r="E581" s="2">
        <v>42912.958333333336</v>
      </c>
      <c r="F581" s="1" t="s">
        <v>12</v>
      </c>
      <c r="G581" s="1" t="s">
        <v>24</v>
      </c>
      <c r="H581">
        <v>3</v>
      </c>
      <c r="I581">
        <v>12</v>
      </c>
      <c r="J581" s="3">
        <v>75</v>
      </c>
      <c r="K581" s="3">
        <f>+Treinamentos[[#This Row],[Alunos]]*Treinamentos[[#This Row],[Valor]]</f>
        <v>900</v>
      </c>
    </row>
    <row r="582" spans="1:11" x14ac:dyDescent="0.25">
      <c r="A582">
        <v>4935</v>
      </c>
      <c r="B582" s="1" t="s">
        <v>41</v>
      </c>
      <c r="C582" s="1" t="s">
        <v>49</v>
      </c>
      <c r="D582" s="2">
        <v>42898.791666666664</v>
      </c>
      <c r="E582" s="2">
        <v>42912.958333333336</v>
      </c>
      <c r="F582" s="1" t="s">
        <v>21</v>
      </c>
      <c r="G582" s="1" t="s">
        <v>16</v>
      </c>
      <c r="H582">
        <v>4</v>
      </c>
      <c r="I582">
        <v>8</v>
      </c>
      <c r="J582" s="3">
        <v>53</v>
      </c>
      <c r="K582" s="3">
        <f>+Treinamentos[[#This Row],[Alunos]]*Treinamentos[[#This Row],[Valor]]</f>
        <v>424</v>
      </c>
    </row>
    <row r="583" spans="1:11" x14ac:dyDescent="0.25">
      <c r="A583">
        <v>4936</v>
      </c>
      <c r="B583" s="1" t="s">
        <v>10</v>
      </c>
      <c r="C583" s="1" t="s">
        <v>52</v>
      </c>
      <c r="D583" s="2">
        <v>42899.791666666664</v>
      </c>
      <c r="E583" s="2">
        <v>42913.958333333336</v>
      </c>
      <c r="F583" s="1" t="s">
        <v>12</v>
      </c>
      <c r="G583" s="1" t="s">
        <v>34</v>
      </c>
      <c r="H583">
        <v>4</v>
      </c>
      <c r="I583">
        <v>9</v>
      </c>
      <c r="J583" s="3">
        <v>48</v>
      </c>
      <c r="K583" s="3">
        <f>+Treinamentos[[#This Row],[Alunos]]*Treinamentos[[#This Row],[Valor]]</f>
        <v>432</v>
      </c>
    </row>
    <row r="584" spans="1:11" x14ac:dyDescent="0.25">
      <c r="A584">
        <v>4937</v>
      </c>
      <c r="B584" s="1" t="s">
        <v>30</v>
      </c>
      <c r="C584" s="1" t="s">
        <v>61</v>
      </c>
      <c r="D584" s="2">
        <v>42900.583333333336</v>
      </c>
      <c r="E584" s="2">
        <v>42914.75</v>
      </c>
      <c r="F584" s="1" t="s">
        <v>12</v>
      </c>
      <c r="G584" s="1" t="s">
        <v>36</v>
      </c>
      <c r="H584">
        <v>4</v>
      </c>
      <c r="I584">
        <v>9</v>
      </c>
      <c r="J584" s="3">
        <v>62</v>
      </c>
      <c r="K584" s="3">
        <f>+Treinamentos[[#This Row],[Alunos]]*Treinamentos[[#This Row],[Valor]]</f>
        <v>558</v>
      </c>
    </row>
    <row r="585" spans="1:11" x14ac:dyDescent="0.25">
      <c r="A585">
        <v>4938</v>
      </c>
      <c r="B585" s="1" t="s">
        <v>25</v>
      </c>
      <c r="C585" s="1" t="s">
        <v>56</v>
      </c>
      <c r="D585" s="2">
        <v>42901.375</v>
      </c>
      <c r="E585" s="2">
        <v>42907.75</v>
      </c>
      <c r="F585" s="1" t="s">
        <v>21</v>
      </c>
      <c r="G585" s="1" t="s">
        <v>19</v>
      </c>
      <c r="H585">
        <v>2</v>
      </c>
      <c r="I585">
        <v>12</v>
      </c>
      <c r="J585" s="3">
        <v>63</v>
      </c>
      <c r="K585" s="3">
        <f>+Treinamentos[[#This Row],[Alunos]]*Treinamentos[[#This Row],[Valor]]</f>
        <v>756</v>
      </c>
    </row>
    <row r="586" spans="1:11" x14ac:dyDescent="0.25">
      <c r="A586">
        <v>4939</v>
      </c>
      <c r="B586" s="1" t="s">
        <v>37</v>
      </c>
      <c r="C586" s="1" t="s">
        <v>55</v>
      </c>
      <c r="D586" s="2">
        <v>42902.333333333336</v>
      </c>
      <c r="E586" s="2">
        <v>42915.5</v>
      </c>
      <c r="F586" s="1" t="s">
        <v>12</v>
      </c>
      <c r="G586" s="1" t="s">
        <v>24</v>
      </c>
      <c r="H586">
        <v>4</v>
      </c>
      <c r="I586">
        <v>9</v>
      </c>
      <c r="J586" s="3">
        <v>75</v>
      </c>
      <c r="K586" s="3">
        <f>+Treinamentos[[#This Row],[Alunos]]*Treinamentos[[#This Row],[Valor]]</f>
        <v>675</v>
      </c>
    </row>
    <row r="587" spans="1:11" x14ac:dyDescent="0.25">
      <c r="A587">
        <v>4940</v>
      </c>
      <c r="B587" s="1" t="s">
        <v>16</v>
      </c>
      <c r="C587" s="1" t="s">
        <v>49</v>
      </c>
      <c r="D587" s="2">
        <v>42903.375</v>
      </c>
      <c r="E587" s="2">
        <v>42908.75</v>
      </c>
      <c r="F587" s="1" t="s">
        <v>21</v>
      </c>
      <c r="G587" s="1" t="s">
        <v>34</v>
      </c>
      <c r="H587">
        <v>4</v>
      </c>
      <c r="I587">
        <v>11</v>
      </c>
      <c r="J587" s="3">
        <v>53</v>
      </c>
      <c r="K587" s="3">
        <f>+Treinamentos[[#This Row],[Alunos]]*Treinamentos[[#This Row],[Valor]]</f>
        <v>583</v>
      </c>
    </row>
    <row r="588" spans="1:11" x14ac:dyDescent="0.25">
      <c r="A588">
        <v>4941</v>
      </c>
      <c r="B588" s="1" t="s">
        <v>41</v>
      </c>
      <c r="C588" s="1" t="s">
        <v>56</v>
      </c>
      <c r="D588" s="2">
        <v>42905.791666666664</v>
      </c>
      <c r="E588" s="2">
        <v>42916.958333333336</v>
      </c>
      <c r="F588" s="1" t="s">
        <v>21</v>
      </c>
      <c r="G588" s="1" t="s">
        <v>13</v>
      </c>
      <c r="H588">
        <v>5</v>
      </c>
      <c r="I588">
        <v>8</v>
      </c>
      <c r="J588" s="3">
        <v>63</v>
      </c>
      <c r="K588" s="3">
        <f>+Treinamentos[[#This Row],[Alunos]]*Treinamentos[[#This Row],[Valor]]</f>
        <v>504</v>
      </c>
    </row>
    <row r="589" spans="1:11" x14ac:dyDescent="0.25">
      <c r="A589">
        <v>4942</v>
      </c>
      <c r="B589" s="1" t="s">
        <v>25</v>
      </c>
      <c r="C589" s="1" t="s">
        <v>56</v>
      </c>
      <c r="D589" s="2">
        <v>42905.791666666664</v>
      </c>
      <c r="E589" s="2">
        <v>42916.958333333336</v>
      </c>
      <c r="F589" s="1" t="s">
        <v>21</v>
      </c>
      <c r="G589" s="1" t="s">
        <v>33</v>
      </c>
      <c r="H589">
        <v>2</v>
      </c>
      <c r="I589">
        <v>12</v>
      </c>
      <c r="J589" s="3">
        <v>63</v>
      </c>
      <c r="K589" s="3">
        <f>+Treinamentos[[#This Row],[Alunos]]*Treinamentos[[#This Row],[Valor]]</f>
        <v>756</v>
      </c>
    </row>
    <row r="590" spans="1:11" x14ac:dyDescent="0.25">
      <c r="A590">
        <v>4943</v>
      </c>
      <c r="B590" s="1" t="s">
        <v>10</v>
      </c>
      <c r="C590" s="1" t="s">
        <v>52</v>
      </c>
      <c r="D590" s="2">
        <v>42906.791666666664</v>
      </c>
      <c r="E590" s="2">
        <v>42919.958333333336</v>
      </c>
      <c r="F590" s="1" t="s">
        <v>21</v>
      </c>
      <c r="G590" s="1" t="s">
        <v>16</v>
      </c>
      <c r="H590">
        <v>5</v>
      </c>
      <c r="I590">
        <v>9</v>
      </c>
      <c r="J590" s="3">
        <v>48</v>
      </c>
      <c r="K590" s="3">
        <f>+Treinamentos[[#This Row],[Alunos]]*Treinamentos[[#This Row],[Valor]]</f>
        <v>432</v>
      </c>
    </row>
    <row r="591" spans="1:11" x14ac:dyDescent="0.25">
      <c r="A591">
        <v>4944</v>
      </c>
      <c r="B591" s="1" t="s">
        <v>10</v>
      </c>
      <c r="C591" s="1" t="s">
        <v>59</v>
      </c>
      <c r="D591" s="2">
        <v>42907.583333333336</v>
      </c>
      <c r="E591" s="2">
        <v>42920.75</v>
      </c>
      <c r="F591" s="1" t="s">
        <v>12</v>
      </c>
      <c r="G591" s="1" t="s">
        <v>34</v>
      </c>
      <c r="H591">
        <v>3</v>
      </c>
      <c r="I591">
        <v>8</v>
      </c>
      <c r="J591" s="3">
        <v>48</v>
      </c>
      <c r="K591" s="3">
        <f>+Treinamentos[[#This Row],[Alunos]]*Treinamentos[[#This Row],[Valor]]</f>
        <v>384</v>
      </c>
    </row>
    <row r="592" spans="1:11" x14ac:dyDescent="0.25">
      <c r="A592">
        <v>4945</v>
      </c>
      <c r="B592" s="1" t="s">
        <v>25</v>
      </c>
      <c r="C592" s="1" t="s">
        <v>58</v>
      </c>
      <c r="D592" s="2">
        <v>42908.375</v>
      </c>
      <c r="E592" s="2">
        <v>42914.75</v>
      </c>
      <c r="F592" s="1" t="s">
        <v>12</v>
      </c>
      <c r="G592" s="1" t="s">
        <v>33</v>
      </c>
      <c r="H592">
        <v>5</v>
      </c>
      <c r="I592">
        <v>10</v>
      </c>
      <c r="J592" s="3">
        <v>48</v>
      </c>
      <c r="K592" s="3">
        <f>+Treinamentos[[#This Row],[Alunos]]*Treinamentos[[#This Row],[Valor]]</f>
        <v>480</v>
      </c>
    </row>
    <row r="593" spans="1:11" x14ac:dyDescent="0.25">
      <c r="A593">
        <v>4946</v>
      </c>
      <c r="B593" s="1" t="s">
        <v>28</v>
      </c>
      <c r="C593" s="1" t="s">
        <v>52</v>
      </c>
      <c r="D593" s="2">
        <v>42909.333333333336</v>
      </c>
      <c r="E593" s="2">
        <v>42922.5</v>
      </c>
      <c r="F593" s="1" t="s">
        <v>12</v>
      </c>
      <c r="G593" s="1" t="s">
        <v>46</v>
      </c>
      <c r="H593">
        <v>4</v>
      </c>
      <c r="I593">
        <v>9</v>
      </c>
      <c r="J593" s="3">
        <v>48</v>
      </c>
      <c r="K593" s="3">
        <f>+Treinamentos[[#This Row],[Alunos]]*Treinamentos[[#This Row],[Valor]]</f>
        <v>432</v>
      </c>
    </row>
    <row r="594" spans="1:11" x14ac:dyDescent="0.25">
      <c r="A594">
        <v>4947</v>
      </c>
      <c r="B594" s="1" t="s">
        <v>17</v>
      </c>
      <c r="C594" s="1" t="s">
        <v>61</v>
      </c>
      <c r="D594" s="2">
        <v>42910.375</v>
      </c>
      <c r="E594" s="2">
        <v>42915.75</v>
      </c>
      <c r="F594" s="1" t="s">
        <v>12</v>
      </c>
      <c r="G594" s="1" t="s">
        <v>16</v>
      </c>
      <c r="H594">
        <v>4</v>
      </c>
      <c r="I594">
        <v>9</v>
      </c>
      <c r="J594" s="3">
        <v>62</v>
      </c>
      <c r="K594" s="3">
        <f>+Treinamentos[[#This Row],[Alunos]]*Treinamentos[[#This Row],[Valor]]</f>
        <v>558</v>
      </c>
    </row>
    <row r="595" spans="1:11" x14ac:dyDescent="0.25">
      <c r="A595">
        <v>4948</v>
      </c>
      <c r="B595" s="1" t="s">
        <v>17</v>
      </c>
      <c r="C595" s="1" t="s">
        <v>49</v>
      </c>
      <c r="D595" s="2">
        <v>42912.791666666664</v>
      </c>
      <c r="E595" s="2">
        <v>42923.958333333336</v>
      </c>
      <c r="F595" s="1" t="s">
        <v>21</v>
      </c>
      <c r="G595" s="1" t="s">
        <v>19</v>
      </c>
      <c r="H595">
        <v>5</v>
      </c>
      <c r="I595">
        <v>10</v>
      </c>
      <c r="J595" s="3">
        <v>53</v>
      </c>
      <c r="K595" s="3">
        <f>+Treinamentos[[#This Row],[Alunos]]*Treinamentos[[#This Row],[Valor]]</f>
        <v>530</v>
      </c>
    </row>
    <row r="596" spans="1:11" x14ac:dyDescent="0.25">
      <c r="A596">
        <v>4949</v>
      </c>
      <c r="B596" s="1" t="s">
        <v>37</v>
      </c>
      <c r="C596" s="1" t="s">
        <v>60</v>
      </c>
      <c r="D596" s="2">
        <v>42912.791666666664</v>
      </c>
      <c r="E596" s="2">
        <v>42923.958333333336</v>
      </c>
      <c r="F596" s="1" t="s">
        <v>21</v>
      </c>
      <c r="G596" s="1" t="s">
        <v>19</v>
      </c>
      <c r="H596">
        <v>3</v>
      </c>
      <c r="I596">
        <v>10</v>
      </c>
      <c r="J596" s="3">
        <v>42</v>
      </c>
      <c r="K596" s="3">
        <f>+Treinamentos[[#This Row],[Alunos]]*Treinamentos[[#This Row],[Valor]]</f>
        <v>420</v>
      </c>
    </row>
    <row r="597" spans="1:11" x14ac:dyDescent="0.25">
      <c r="A597">
        <v>4950</v>
      </c>
      <c r="B597" s="1" t="s">
        <v>10</v>
      </c>
      <c r="C597" s="1" t="s">
        <v>60</v>
      </c>
      <c r="D597" s="2">
        <v>42913.791666666664</v>
      </c>
      <c r="E597" s="2">
        <v>42926.958333333336</v>
      </c>
      <c r="F597" s="1" t="s">
        <v>21</v>
      </c>
      <c r="G597" s="1" t="s">
        <v>47</v>
      </c>
      <c r="H597">
        <v>2</v>
      </c>
      <c r="I597">
        <v>9</v>
      </c>
      <c r="J597" s="3">
        <v>42</v>
      </c>
      <c r="K597" s="3">
        <f>+Treinamentos[[#This Row],[Alunos]]*Treinamentos[[#This Row],[Valor]]</f>
        <v>378</v>
      </c>
    </row>
    <row r="598" spans="1:11" x14ac:dyDescent="0.25">
      <c r="A598">
        <v>4951</v>
      </c>
      <c r="B598" s="1" t="s">
        <v>25</v>
      </c>
      <c r="C598" s="1" t="s">
        <v>61</v>
      </c>
      <c r="D598" s="2">
        <v>42914.583333333336</v>
      </c>
      <c r="E598" s="2">
        <v>42927.75</v>
      </c>
      <c r="F598" s="1" t="s">
        <v>12</v>
      </c>
      <c r="G598" s="1" t="s">
        <v>19</v>
      </c>
      <c r="H598">
        <v>3</v>
      </c>
      <c r="I598">
        <v>8</v>
      </c>
      <c r="J598" s="3">
        <v>62</v>
      </c>
      <c r="K598" s="3">
        <f>+Treinamentos[[#This Row],[Alunos]]*Treinamentos[[#This Row],[Valor]]</f>
        <v>496</v>
      </c>
    </row>
    <row r="599" spans="1:11" x14ac:dyDescent="0.25">
      <c r="A599">
        <v>4952</v>
      </c>
      <c r="B599" s="1" t="s">
        <v>37</v>
      </c>
      <c r="C599" s="1" t="s">
        <v>53</v>
      </c>
      <c r="D599" s="2">
        <v>42915.375</v>
      </c>
      <c r="E599" s="2">
        <v>42921.75</v>
      </c>
      <c r="F599" s="1" t="s">
        <v>12</v>
      </c>
      <c r="G599" s="1" t="s">
        <v>34</v>
      </c>
      <c r="H599">
        <v>4</v>
      </c>
      <c r="I599">
        <v>8</v>
      </c>
      <c r="J599" s="3">
        <v>32</v>
      </c>
      <c r="K599" s="3">
        <f>+Treinamentos[[#This Row],[Alunos]]*Treinamentos[[#This Row],[Valor]]</f>
        <v>256</v>
      </c>
    </row>
    <row r="600" spans="1:11" x14ac:dyDescent="0.25">
      <c r="A600">
        <v>4953</v>
      </c>
      <c r="B600" s="1" t="s">
        <v>28</v>
      </c>
      <c r="C600" s="1" t="s">
        <v>58</v>
      </c>
      <c r="D600" s="2">
        <v>42916.333333333336</v>
      </c>
      <c r="E600" s="2">
        <v>42929.5</v>
      </c>
      <c r="F600" s="1" t="s">
        <v>12</v>
      </c>
      <c r="G600" s="1" t="s">
        <v>38</v>
      </c>
      <c r="H600">
        <v>4</v>
      </c>
      <c r="I600">
        <v>8</v>
      </c>
      <c r="J600" s="3">
        <v>48</v>
      </c>
      <c r="K600" s="3">
        <f>+Treinamentos[[#This Row],[Alunos]]*Treinamentos[[#This Row],[Valor]]</f>
        <v>384</v>
      </c>
    </row>
    <row r="601" spans="1:11" x14ac:dyDescent="0.25">
      <c r="A601">
        <v>4954</v>
      </c>
      <c r="B601" s="1" t="s">
        <v>16</v>
      </c>
      <c r="C601" s="1" t="s">
        <v>50</v>
      </c>
      <c r="D601" s="2">
        <v>42935.791666666664</v>
      </c>
      <c r="E601" s="2">
        <v>42948.958333333336</v>
      </c>
      <c r="F601" s="1" t="s">
        <v>21</v>
      </c>
      <c r="G601" s="1" t="s">
        <v>44</v>
      </c>
      <c r="H601">
        <v>4</v>
      </c>
      <c r="I601">
        <v>9</v>
      </c>
      <c r="J601" s="3">
        <v>35</v>
      </c>
      <c r="K601" s="3">
        <f>+Treinamentos[[#This Row],[Alunos]]*Treinamentos[[#This Row],[Valor]]</f>
        <v>315</v>
      </c>
    </row>
    <row r="602" spans="1:11" x14ac:dyDescent="0.25">
      <c r="A602">
        <v>4955</v>
      </c>
      <c r="B602" s="1" t="s">
        <v>30</v>
      </c>
      <c r="C602" s="1" t="s">
        <v>57</v>
      </c>
      <c r="D602" s="2">
        <v>42936.583333333336</v>
      </c>
      <c r="E602" s="2">
        <v>42949.75</v>
      </c>
      <c r="F602" s="1" t="s">
        <v>12</v>
      </c>
      <c r="G602" s="1" t="s">
        <v>44</v>
      </c>
      <c r="H602">
        <v>2</v>
      </c>
      <c r="I602">
        <v>10</v>
      </c>
      <c r="J602" s="3">
        <v>52</v>
      </c>
      <c r="K602" s="3">
        <f>+Treinamentos[[#This Row],[Alunos]]*Treinamentos[[#This Row],[Valor]]</f>
        <v>520</v>
      </c>
    </row>
    <row r="603" spans="1:11" x14ac:dyDescent="0.25">
      <c r="A603">
        <v>4956</v>
      </c>
      <c r="B603" s="1" t="s">
        <v>25</v>
      </c>
      <c r="C603" s="1" t="s">
        <v>61</v>
      </c>
      <c r="D603" s="2">
        <v>42938.333333333336</v>
      </c>
      <c r="E603" s="2">
        <v>42951.5</v>
      </c>
      <c r="F603" s="1" t="s">
        <v>12</v>
      </c>
      <c r="G603" s="1" t="s">
        <v>47</v>
      </c>
      <c r="H603">
        <v>4</v>
      </c>
      <c r="I603">
        <v>12</v>
      </c>
      <c r="J603" s="3">
        <v>62</v>
      </c>
      <c r="K603" s="3">
        <f>+Treinamentos[[#This Row],[Alunos]]*Treinamentos[[#This Row],[Valor]]</f>
        <v>744</v>
      </c>
    </row>
    <row r="604" spans="1:11" x14ac:dyDescent="0.25">
      <c r="A604">
        <v>4957</v>
      </c>
      <c r="B604" s="1" t="s">
        <v>16</v>
      </c>
      <c r="C604" s="1" t="s">
        <v>51</v>
      </c>
      <c r="D604" s="2">
        <v>42941.791666666664</v>
      </c>
      <c r="E604" s="2">
        <v>42952.958333333336</v>
      </c>
      <c r="F604" s="1" t="s">
        <v>21</v>
      </c>
      <c r="G604" s="1" t="s">
        <v>42</v>
      </c>
      <c r="H604">
        <v>3</v>
      </c>
      <c r="I604">
        <v>9</v>
      </c>
      <c r="J604" s="3">
        <v>62</v>
      </c>
      <c r="K604" s="3">
        <f>+Treinamentos[[#This Row],[Alunos]]*Treinamentos[[#This Row],[Valor]]</f>
        <v>558</v>
      </c>
    </row>
    <row r="605" spans="1:11" x14ac:dyDescent="0.25">
      <c r="A605">
        <v>4958</v>
      </c>
      <c r="B605" s="1" t="s">
        <v>16</v>
      </c>
      <c r="C605" s="1" t="s">
        <v>52</v>
      </c>
      <c r="D605" s="2">
        <v>42941.791666666664</v>
      </c>
      <c r="E605" s="2">
        <v>42952.958333333336</v>
      </c>
      <c r="F605" s="1" t="s">
        <v>12</v>
      </c>
      <c r="G605" s="1" t="s">
        <v>19</v>
      </c>
      <c r="H605">
        <v>4</v>
      </c>
      <c r="I605">
        <v>12</v>
      </c>
      <c r="J605" s="3">
        <v>48</v>
      </c>
      <c r="K605" s="3">
        <f>+Treinamentos[[#This Row],[Alunos]]*Treinamentos[[#This Row],[Valor]]</f>
        <v>576</v>
      </c>
    </row>
    <row r="606" spans="1:11" x14ac:dyDescent="0.25">
      <c r="A606">
        <v>4959</v>
      </c>
      <c r="B606" s="1" t="s">
        <v>25</v>
      </c>
      <c r="C606" s="1" t="s">
        <v>56</v>
      </c>
      <c r="D606" s="2">
        <v>42942.791666666664</v>
      </c>
      <c r="E606" s="2">
        <v>42955.958333333336</v>
      </c>
      <c r="F606" s="1" t="s">
        <v>21</v>
      </c>
      <c r="G606" s="1" t="s">
        <v>24</v>
      </c>
      <c r="H606">
        <v>4</v>
      </c>
      <c r="I606">
        <v>8</v>
      </c>
      <c r="J606" s="3">
        <v>63</v>
      </c>
      <c r="K606" s="3">
        <f>+Treinamentos[[#This Row],[Alunos]]*Treinamentos[[#This Row],[Valor]]</f>
        <v>504</v>
      </c>
    </row>
    <row r="607" spans="1:11" x14ac:dyDescent="0.25">
      <c r="A607">
        <v>4960</v>
      </c>
      <c r="B607" s="1" t="s">
        <v>41</v>
      </c>
      <c r="C607" s="1" t="s">
        <v>57</v>
      </c>
      <c r="D607" s="2">
        <v>42943.583333333336</v>
      </c>
      <c r="E607" s="2">
        <v>42956.75</v>
      </c>
      <c r="F607" s="1" t="s">
        <v>12</v>
      </c>
      <c r="G607" s="1" t="s">
        <v>33</v>
      </c>
      <c r="H607">
        <v>5</v>
      </c>
      <c r="I607">
        <v>11</v>
      </c>
      <c r="J607" s="3">
        <v>52</v>
      </c>
      <c r="K607" s="3">
        <f>+Treinamentos[[#This Row],[Alunos]]*Treinamentos[[#This Row],[Valor]]</f>
        <v>572</v>
      </c>
    </row>
    <row r="608" spans="1:11" x14ac:dyDescent="0.25">
      <c r="A608">
        <v>4961</v>
      </c>
      <c r="B608" s="1" t="s">
        <v>14</v>
      </c>
      <c r="C608" s="1" t="s">
        <v>61</v>
      </c>
      <c r="D608" s="2">
        <v>42944.375</v>
      </c>
      <c r="E608" s="2">
        <v>42950.75</v>
      </c>
      <c r="F608" s="1" t="s">
        <v>12</v>
      </c>
      <c r="G608" s="1" t="s">
        <v>34</v>
      </c>
      <c r="H608">
        <v>4</v>
      </c>
      <c r="I608">
        <v>9</v>
      </c>
      <c r="J608" s="3">
        <v>62</v>
      </c>
      <c r="K608" s="3">
        <f>+Treinamentos[[#This Row],[Alunos]]*Treinamentos[[#This Row],[Valor]]</f>
        <v>558</v>
      </c>
    </row>
    <row r="609" spans="1:11" x14ac:dyDescent="0.25">
      <c r="A609">
        <v>4962</v>
      </c>
      <c r="B609" s="1" t="s">
        <v>30</v>
      </c>
      <c r="C609" s="1" t="s">
        <v>55</v>
      </c>
      <c r="D609" s="2">
        <v>42945.333333333336</v>
      </c>
      <c r="E609" s="2">
        <v>42958.5</v>
      </c>
      <c r="F609" s="1" t="s">
        <v>21</v>
      </c>
      <c r="G609" s="1" t="s">
        <v>24</v>
      </c>
      <c r="H609">
        <v>3</v>
      </c>
      <c r="I609">
        <v>12</v>
      </c>
      <c r="J609" s="3">
        <v>75</v>
      </c>
      <c r="K609" s="3">
        <f>+Treinamentos[[#This Row],[Alunos]]*Treinamentos[[#This Row],[Valor]]</f>
        <v>900</v>
      </c>
    </row>
    <row r="610" spans="1:11" x14ac:dyDescent="0.25">
      <c r="A610">
        <v>4963</v>
      </c>
      <c r="B610" s="1" t="s">
        <v>10</v>
      </c>
      <c r="C610" s="1" t="s">
        <v>53</v>
      </c>
      <c r="D610" s="2">
        <v>42946.375</v>
      </c>
      <c r="E610" s="2">
        <v>42951.75</v>
      </c>
      <c r="F610" s="1" t="s">
        <v>12</v>
      </c>
      <c r="G610" s="1" t="s">
        <v>24</v>
      </c>
      <c r="H610">
        <v>5</v>
      </c>
      <c r="I610">
        <v>11</v>
      </c>
      <c r="J610" s="3">
        <v>32</v>
      </c>
      <c r="K610" s="3">
        <f>+Treinamentos[[#This Row],[Alunos]]*Treinamentos[[#This Row],[Valor]]</f>
        <v>352</v>
      </c>
    </row>
    <row r="611" spans="1:11" x14ac:dyDescent="0.25">
      <c r="A611">
        <v>4964</v>
      </c>
      <c r="B611" s="1" t="s">
        <v>14</v>
      </c>
      <c r="C611" s="1" t="s">
        <v>59</v>
      </c>
      <c r="D611" s="2">
        <v>42948.791666666664</v>
      </c>
      <c r="E611" s="2">
        <v>42962.958333333336</v>
      </c>
      <c r="F611" s="1" t="s">
        <v>21</v>
      </c>
      <c r="G611" s="1" t="s">
        <v>46</v>
      </c>
      <c r="H611">
        <v>4</v>
      </c>
      <c r="I611">
        <v>9</v>
      </c>
      <c r="J611" s="3">
        <v>48</v>
      </c>
      <c r="K611" s="3">
        <f>+Treinamentos[[#This Row],[Alunos]]*Treinamentos[[#This Row],[Valor]]</f>
        <v>432</v>
      </c>
    </row>
    <row r="612" spans="1:11" x14ac:dyDescent="0.25">
      <c r="A612">
        <v>4965</v>
      </c>
      <c r="B612" s="1" t="s">
        <v>41</v>
      </c>
      <c r="C612" s="1" t="s">
        <v>61</v>
      </c>
      <c r="D612" s="2">
        <v>42948.791666666664</v>
      </c>
      <c r="E612" s="2">
        <v>42962.958333333336</v>
      </c>
      <c r="F612" s="1" t="s">
        <v>12</v>
      </c>
      <c r="G612" s="1" t="s">
        <v>38</v>
      </c>
      <c r="H612">
        <v>3</v>
      </c>
      <c r="I612">
        <v>12</v>
      </c>
      <c r="J612" s="3">
        <v>62</v>
      </c>
      <c r="K612" s="3">
        <f>+Treinamentos[[#This Row],[Alunos]]*Treinamentos[[#This Row],[Valor]]</f>
        <v>744</v>
      </c>
    </row>
    <row r="613" spans="1:11" x14ac:dyDescent="0.25">
      <c r="A613">
        <v>4966</v>
      </c>
      <c r="B613" s="1" t="s">
        <v>41</v>
      </c>
      <c r="C613" s="1" t="s">
        <v>57</v>
      </c>
      <c r="D613" s="2">
        <v>42949.791666666664</v>
      </c>
      <c r="E613" s="2">
        <v>42963.958333333336</v>
      </c>
      <c r="F613" s="1" t="s">
        <v>21</v>
      </c>
      <c r="G613" s="1" t="s">
        <v>16</v>
      </c>
      <c r="H613">
        <v>2</v>
      </c>
      <c r="I613">
        <v>10</v>
      </c>
      <c r="J613" s="3">
        <v>52</v>
      </c>
      <c r="K613" s="3">
        <f>+Treinamentos[[#This Row],[Alunos]]*Treinamentos[[#This Row],[Valor]]</f>
        <v>520</v>
      </c>
    </row>
    <row r="614" spans="1:11" x14ac:dyDescent="0.25">
      <c r="A614">
        <v>4967</v>
      </c>
      <c r="B614" s="1" t="s">
        <v>30</v>
      </c>
      <c r="C614" s="1" t="s">
        <v>58</v>
      </c>
      <c r="D614" s="2">
        <v>42950.583333333336</v>
      </c>
      <c r="E614" s="2">
        <v>42964.75</v>
      </c>
      <c r="F614" s="1" t="s">
        <v>12</v>
      </c>
      <c r="G614" s="1" t="s">
        <v>34</v>
      </c>
      <c r="H614">
        <v>2</v>
      </c>
      <c r="I614">
        <v>10</v>
      </c>
      <c r="J614" s="3">
        <v>48</v>
      </c>
      <c r="K614" s="3">
        <f>+Treinamentos[[#This Row],[Alunos]]*Treinamentos[[#This Row],[Valor]]</f>
        <v>480</v>
      </c>
    </row>
    <row r="615" spans="1:11" x14ac:dyDescent="0.25">
      <c r="A615">
        <v>4968</v>
      </c>
      <c r="B615" s="1" t="s">
        <v>41</v>
      </c>
      <c r="C615" s="1" t="s">
        <v>54</v>
      </c>
      <c r="D615" s="2">
        <v>42951.375</v>
      </c>
      <c r="E615" s="2">
        <v>42957.75</v>
      </c>
      <c r="F615" s="1" t="s">
        <v>21</v>
      </c>
      <c r="G615" s="1" t="s">
        <v>19</v>
      </c>
      <c r="H615">
        <v>5</v>
      </c>
      <c r="I615">
        <v>9</v>
      </c>
      <c r="J615" s="3">
        <v>43</v>
      </c>
      <c r="K615" s="3">
        <f>+Treinamentos[[#This Row],[Alunos]]*Treinamentos[[#This Row],[Valor]]</f>
        <v>387</v>
      </c>
    </row>
    <row r="616" spans="1:11" x14ac:dyDescent="0.25">
      <c r="A616">
        <v>4969</v>
      </c>
      <c r="B616" s="1" t="s">
        <v>25</v>
      </c>
      <c r="C616" s="1" t="s">
        <v>50</v>
      </c>
      <c r="D616" s="2">
        <v>42952.333333333336</v>
      </c>
      <c r="E616" s="2">
        <v>42969.5</v>
      </c>
      <c r="F616" s="1" t="s">
        <v>21</v>
      </c>
      <c r="G616" s="1" t="s">
        <v>22</v>
      </c>
      <c r="H616">
        <v>3</v>
      </c>
      <c r="I616">
        <v>12</v>
      </c>
      <c r="J616" s="3">
        <v>35</v>
      </c>
      <c r="K616" s="3">
        <f>+Treinamentos[[#This Row],[Alunos]]*Treinamentos[[#This Row],[Valor]]</f>
        <v>420</v>
      </c>
    </row>
    <row r="617" spans="1:11" x14ac:dyDescent="0.25">
      <c r="A617">
        <v>4970</v>
      </c>
      <c r="B617" s="1" t="s">
        <v>17</v>
      </c>
      <c r="C617" s="1" t="s">
        <v>49</v>
      </c>
      <c r="D617" s="2">
        <v>42953.375</v>
      </c>
      <c r="E617" s="2">
        <v>42958.75</v>
      </c>
      <c r="F617" s="1" t="s">
        <v>12</v>
      </c>
      <c r="G617" s="1" t="s">
        <v>33</v>
      </c>
      <c r="H617">
        <v>4</v>
      </c>
      <c r="I617">
        <v>9</v>
      </c>
      <c r="J617" s="3">
        <v>53</v>
      </c>
      <c r="K617" s="3">
        <f>+Treinamentos[[#This Row],[Alunos]]*Treinamentos[[#This Row],[Valor]]</f>
        <v>477</v>
      </c>
    </row>
    <row r="618" spans="1:11" x14ac:dyDescent="0.25">
      <c r="A618">
        <v>4971</v>
      </c>
      <c r="B618" s="1" t="s">
        <v>17</v>
      </c>
      <c r="C618" s="1" t="s">
        <v>52</v>
      </c>
      <c r="D618" s="2">
        <v>42955.791666666664</v>
      </c>
      <c r="E618" s="2">
        <v>42970.958333333336</v>
      </c>
      <c r="F618" s="1" t="s">
        <v>12</v>
      </c>
      <c r="G618" s="1" t="s">
        <v>42</v>
      </c>
      <c r="H618">
        <v>5</v>
      </c>
      <c r="I618">
        <v>8</v>
      </c>
      <c r="J618" s="3">
        <v>48</v>
      </c>
      <c r="K618" s="3">
        <f>+Treinamentos[[#This Row],[Alunos]]*Treinamentos[[#This Row],[Valor]]</f>
        <v>384</v>
      </c>
    </row>
    <row r="619" spans="1:11" x14ac:dyDescent="0.25">
      <c r="A619">
        <v>4972</v>
      </c>
      <c r="B619" s="1" t="s">
        <v>41</v>
      </c>
      <c r="C619" s="1" t="s">
        <v>51</v>
      </c>
      <c r="D619" s="2">
        <v>42955.791666666664</v>
      </c>
      <c r="E619" s="2">
        <v>42970.958333333336</v>
      </c>
      <c r="F619" s="1" t="s">
        <v>21</v>
      </c>
      <c r="G619" s="1" t="s">
        <v>34</v>
      </c>
      <c r="H619">
        <v>4</v>
      </c>
      <c r="I619">
        <v>8</v>
      </c>
      <c r="J619" s="3">
        <v>62</v>
      </c>
      <c r="K619" s="3">
        <f>+Treinamentos[[#This Row],[Alunos]]*Treinamentos[[#This Row],[Valor]]</f>
        <v>496</v>
      </c>
    </row>
    <row r="620" spans="1:11" x14ac:dyDescent="0.25">
      <c r="A620">
        <v>4973</v>
      </c>
      <c r="B620" s="1" t="s">
        <v>41</v>
      </c>
      <c r="C620" s="1" t="s">
        <v>57</v>
      </c>
      <c r="D620" s="2">
        <v>42956.791666666664</v>
      </c>
      <c r="E620" s="2">
        <v>42971.958333333336</v>
      </c>
      <c r="F620" s="1" t="s">
        <v>12</v>
      </c>
      <c r="G620" s="1" t="s">
        <v>19</v>
      </c>
      <c r="H620">
        <v>4</v>
      </c>
      <c r="I620">
        <v>8</v>
      </c>
      <c r="J620" s="3">
        <v>52</v>
      </c>
      <c r="K620" s="3">
        <f>+Treinamentos[[#This Row],[Alunos]]*Treinamentos[[#This Row],[Valor]]</f>
        <v>416</v>
      </c>
    </row>
    <row r="621" spans="1:11" x14ac:dyDescent="0.25">
      <c r="A621">
        <v>4974</v>
      </c>
      <c r="B621" s="1" t="s">
        <v>37</v>
      </c>
      <c r="C621" s="1" t="s">
        <v>53</v>
      </c>
      <c r="D621" s="2">
        <v>42957.583333333336</v>
      </c>
      <c r="E621" s="2">
        <v>42972.75</v>
      </c>
      <c r="F621" s="1" t="s">
        <v>12</v>
      </c>
      <c r="G621" s="1" t="s">
        <v>36</v>
      </c>
      <c r="H621">
        <v>5</v>
      </c>
      <c r="I621">
        <v>12</v>
      </c>
      <c r="J621" s="3">
        <v>32</v>
      </c>
      <c r="K621" s="3">
        <f>+Treinamentos[[#This Row],[Alunos]]*Treinamentos[[#This Row],[Valor]]</f>
        <v>384</v>
      </c>
    </row>
    <row r="622" spans="1:11" x14ac:dyDescent="0.25">
      <c r="A622">
        <v>4975</v>
      </c>
      <c r="B622" s="1" t="s">
        <v>17</v>
      </c>
      <c r="C622" s="1" t="s">
        <v>51</v>
      </c>
      <c r="D622" s="2">
        <v>42958.375</v>
      </c>
      <c r="E622" s="2">
        <v>42965.75</v>
      </c>
      <c r="F622" s="1" t="s">
        <v>12</v>
      </c>
      <c r="G622" s="1" t="s">
        <v>13</v>
      </c>
      <c r="H622">
        <v>2</v>
      </c>
      <c r="I622">
        <v>8</v>
      </c>
      <c r="J622" s="3">
        <v>62</v>
      </c>
      <c r="K622" s="3">
        <f>+Treinamentos[[#This Row],[Alunos]]*Treinamentos[[#This Row],[Valor]]</f>
        <v>496</v>
      </c>
    </row>
    <row r="623" spans="1:11" x14ac:dyDescent="0.25">
      <c r="A623">
        <v>4976</v>
      </c>
      <c r="B623" s="1" t="s">
        <v>30</v>
      </c>
      <c r="C623" s="1" t="s">
        <v>50</v>
      </c>
      <c r="D623" s="2">
        <v>42959.333333333336</v>
      </c>
      <c r="E623" s="2">
        <v>42973.5</v>
      </c>
      <c r="F623" s="1" t="s">
        <v>21</v>
      </c>
      <c r="G623" s="1" t="s">
        <v>16</v>
      </c>
      <c r="H623">
        <v>4</v>
      </c>
      <c r="I623">
        <v>11</v>
      </c>
      <c r="J623" s="3">
        <v>35</v>
      </c>
      <c r="K623" s="3">
        <f>+Treinamentos[[#This Row],[Alunos]]*Treinamentos[[#This Row],[Valor]]</f>
        <v>385</v>
      </c>
    </row>
    <row r="624" spans="1:11" x14ac:dyDescent="0.25">
      <c r="A624">
        <v>4977</v>
      </c>
      <c r="B624" s="1" t="s">
        <v>10</v>
      </c>
      <c r="C624" s="1" t="s">
        <v>51</v>
      </c>
      <c r="D624" s="2">
        <v>42960.375</v>
      </c>
      <c r="E624" s="2">
        <v>42965.75</v>
      </c>
      <c r="F624" s="1" t="s">
        <v>21</v>
      </c>
      <c r="G624" s="1" t="s">
        <v>38</v>
      </c>
      <c r="H624">
        <v>5</v>
      </c>
      <c r="I624">
        <v>12</v>
      </c>
      <c r="J624" s="3">
        <v>62</v>
      </c>
      <c r="K624" s="3">
        <f>+Treinamentos[[#This Row],[Alunos]]*Treinamentos[[#This Row],[Valor]]</f>
        <v>744</v>
      </c>
    </row>
    <row r="625" spans="1:11" x14ac:dyDescent="0.25">
      <c r="A625">
        <v>4978</v>
      </c>
      <c r="B625" s="1" t="s">
        <v>17</v>
      </c>
      <c r="C625" s="1" t="s">
        <v>60</v>
      </c>
      <c r="D625" s="2">
        <v>42962.791666666664</v>
      </c>
      <c r="E625" s="2">
        <v>42977.958333333336</v>
      </c>
      <c r="F625" s="1" t="s">
        <v>12</v>
      </c>
      <c r="G625" s="1" t="s">
        <v>24</v>
      </c>
      <c r="H625">
        <v>3</v>
      </c>
      <c r="I625">
        <v>11</v>
      </c>
      <c r="J625" s="3">
        <v>42</v>
      </c>
      <c r="K625" s="3">
        <f>+Treinamentos[[#This Row],[Alunos]]*Treinamentos[[#This Row],[Valor]]</f>
        <v>462</v>
      </c>
    </row>
    <row r="626" spans="1:11" x14ac:dyDescent="0.25">
      <c r="A626">
        <v>4979</v>
      </c>
      <c r="B626" s="1" t="s">
        <v>25</v>
      </c>
      <c r="C626" s="1" t="s">
        <v>53</v>
      </c>
      <c r="D626" s="2">
        <v>42962.791666666664</v>
      </c>
      <c r="E626" s="2">
        <v>42977.958333333336</v>
      </c>
      <c r="F626" s="1" t="s">
        <v>12</v>
      </c>
      <c r="G626" s="1" t="s">
        <v>19</v>
      </c>
      <c r="H626">
        <v>5</v>
      </c>
      <c r="I626">
        <v>12</v>
      </c>
      <c r="J626" s="3">
        <v>32</v>
      </c>
      <c r="K626" s="3">
        <f>+Treinamentos[[#This Row],[Alunos]]*Treinamentos[[#This Row],[Valor]]</f>
        <v>384</v>
      </c>
    </row>
    <row r="627" spans="1:11" x14ac:dyDescent="0.25">
      <c r="A627">
        <v>4980</v>
      </c>
      <c r="B627" s="1" t="s">
        <v>17</v>
      </c>
      <c r="C627" s="1" t="s">
        <v>57</v>
      </c>
      <c r="D627" s="2">
        <v>42963.791666666664</v>
      </c>
      <c r="E627" s="2">
        <v>42978.958333333336</v>
      </c>
      <c r="F627" s="1" t="s">
        <v>12</v>
      </c>
      <c r="G627" s="1" t="s">
        <v>36</v>
      </c>
      <c r="H627">
        <v>3</v>
      </c>
      <c r="I627">
        <v>12</v>
      </c>
      <c r="J627" s="3">
        <v>52</v>
      </c>
      <c r="K627" s="3">
        <f>+Treinamentos[[#This Row],[Alunos]]*Treinamentos[[#This Row],[Valor]]</f>
        <v>624</v>
      </c>
    </row>
    <row r="628" spans="1:11" x14ac:dyDescent="0.25">
      <c r="A628">
        <v>4981</v>
      </c>
      <c r="B628" s="1" t="s">
        <v>41</v>
      </c>
      <c r="C628" s="1" t="s">
        <v>55</v>
      </c>
      <c r="D628" s="2">
        <v>42964.583333333336</v>
      </c>
      <c r="E628" s="2">
        <v>42979.75</v>
      </c>
      <c r="F628" s="1" t="s">
        <v>12</v>
      </c>
      <c r="G628" s="1" t="s">
        <v>19</v>
      </c>
      <c r="H628">
        <v>3</v>
      </c>
      <c r="I628">
        <v>11</v>
      </c>
      <c r="J628" s="3">
        <v>75</v>
      </c>
      <c r="K628" s="3">
        <f>+Treinamentos[[#This Row],[Alunos]]*Treinamentos[[#This Row],[Valor]]</f>
        <v>825</v>
      </c>
    </row>
    <row r="629" spans="1:11" x14ac:dyDescent="0.25">
      <c r="A629">
        <v>4982</v>
      </c>
      <c r="B629" s="1" t="s">
        <v>25</v>
      </c>
      <c r="C629" s="1" t="s">
        <v>57</v>
      </c>
      <c r="D629" s="2">
        <v>42965.375</v>
      </c>
      <c r="E629" s="2">
        <v>42972.75</v>
      </c>
      <c r="F629" s="1" t="s">
        <v>21</v>
      </c>
      <c r="G629" s="1" t="s">
        <v>19</v>
      </c>
      <c r="H629">
        <v>2</v>
      </c>
      <c r="I629">
        <v>11</v>
      </c>
      <c r="J629" s="3">
        <v>52</v>
      </c>
      <c r="K629" s="3">
        <f>+Treinamentos[[#This Row],[Alunos]]*Treinamentos[[#This Row],[Valor]]</f>
        <v>572</v>
      </c>
    </row>
    <row r="630" spans="1:11" x14ac:dyDescent="0.25">
      <c r="A630">
        <v>4983</v>
      </c>
      <c r="B630" s="1" t="s">
        <v>17</v>
      </c>
      <c r="C630" s="1" t="s">
        <v>60</v>
      </c>
      <c r="D630" s="2">
        <v>42966.333333333336</v>
      </c>
      <c r="E630" s="2">
        <v>42980.5</v>
      </c>
      <c r="F630" s="1" t="s">
        <v>12</v>
      </c>
      <c r="G630" s="1" t="s">
        <v>24</v>
      </c>
      <c r="H630">
        <v>3</v>
      </c>
      <c r="I630">
        <v>11</v>
      </c>
      <c r="J630" s="3">
        <v>42</v>
      </c>
      <c r="K630" s="3">
        <f>+Treinamentos[[#This Row],[Alunos]]*Treinamentos[[#This Row],[Valor]]</f>
        <v>462</v>
      </c>
    </row>
    <row r="631" spans="1:11" x14ac:dyDescent="0.25">
      <c r="A631">
        <v>4984</v>
      </c>
      <c r="B631" s="1" t="s">
        <v>30</v>
      </c>
      <c r="C631" s="1" t="s">
        <v>49</v>
      </c>
      <c r="D631" s="2">
        <v>42967.375</v>
      </c>
      <c r="E631" s="2">
        <v>42972.75</v>
      </c>
      <c r="F631" s="1" t="s">
        <v>21</v>
      </c>
      <c r="G631" s="1" t="s">
        <v>33</v>
      </c>
      <c r="H631">
        <v>4</v>
      </c>
      <c r="I631">
        <v>12</v>
      </c>
      <c r="J631" s="3">
        <v>53</v>
      </c>
      <c r="K631" s="3">
        <f>+Treinamentos[[#This Row],[Alunos]]*Treinamentos[[#This Row],[Valor]]</f>
        <v>636</v>
      </c>
    </row>
    <row r="632" spans="1:11" x14ac:dyDescent="0.25">
      <c r="A632">
        <v>4985</v>
      </c>
      <c r="B632" s="1" t="s">
        <v>41</v>
      </c>
      <c r="C632" s="1" t="s">
        <v>53</v>
      </c>
      <c r="D632" s="2">
        <v>42969.791666666664</v>
      </c>
      <c r="E632" s="2">
        <v>42983.958333333336</v>
      </c>
      <c r="F632" s="1" t="s">
        <v>12</v>
      </c>
      <c r="G632" s="1" t="s">
        <v>24</v>
      </c>
      <c r="H632">
        <v>5</v>
      </c>
      <c r="I632">
        <v>12</v>
      </c>
      <c r="J632" s="3">
        <v>32</v>
      </c>
      <c r="K632" s="3">
        <f>+Treinamentos[[#This Row],[Alunos]]*Treinamentos[[#This Row],[Valor]]</f>
        <v>384</v>
      </c>
    </row>
    <row r="633" spans="1:11" x14ac:dyDescent="0.25">
      <c r="A633">
        <v>4986</v>
      </c>
      <c r="B633" s="1" t="s">
        <v>41</v>
      </c>
      <c r="C633" s="1" t="s">
        <v>60</v>
      </c>
      <c r="D633" s="2">
        <v>42969.791666666664</v>
      </c>
      <c r="E633" s="2">
        <v>42983.958333333336</v>
      </c>
      <c r="F633" s="1" t="s">
        <v>21</v>
      </c>
      <c r="G633" s="1" t="s">
        <v>19</v>
      </c>
      <c r="H633">
        <v>4</v>
      </c>
      <c r="I633">
        <v>8</v>
      </c>
      <c r="J633" s="3">
        <v>42</v>
      </c>
      <c r="K633" s="3">
        <f>+Treinamentos[[#This Row],[Alunos]]*Treinamentos[[#This Row],[Valor]]</f>
        <v>336</v>
      </c>
    </row>
    <row r="634" spans="1:11" x14ac:dyDescent="0.25">
      <c r="A634">
        <v>4987</v>
      </c>
      <c r="B634" s="1" t="s">
        <v>14</v>
      </c>
      <c r="C634" s="1" t="s">
        <v>55</v>
      </c>
      <c r="D634" s="2">
        <v>42970.791666666664</v>
      </c>
      <c r="E634" s="2">
        <v>42984.958333333336</v>
      </c>
      <c r="F634" s="1" t="s">
        <v>12</v>
      </c>
      <c r="G634" s="1" t="s">
        <v>36</v>
      </c>
      <c r="H634">
        <v>3</v>
      </c>
      <c r="I634">
        <v>11</v>
      </c>
      <c r="J634" s="3">
        <v>75</v>
      </c>
      <c r="K634" s="3">
        <f>+Treinamentos[[#This Row],[Alunos]]*Treinamentos[[#This Row],[Valor]]</f>
        <v>825</v>
      </c>
    </row>
    <row r="635" spans="1:11" x14ac:dyDescent="0.25">
      <c r="A635">
        <v>4988</v>
      </c>
      <c r="B635" s="1" t="s">
        <v>30</v>
      </c>
      <c r="C635" s="1" t="s">
        <v>53</v>
      </c>
      <c r="D635" s="2">
        <v>42971.583333333336</v>
      </c>
      <c r="E635" s="2">
        <v>42985.75</v>
      </c>
      <c r="F635" s="1" t="s">
        <v>12</v>
      </c>
      <c r="G635" s="1" t="s">
        <v>36</v>
      </c>
      <c r="H635">
        <v>5</v>
      </c>
      <c r="I635">
        <v>9</v>
      </c>
      <c r="J635" s="3">
        <v>32</v>
      </c>
      <c r="K635" s="3">
        <f>+Treinamentos[[#This Row],[Alunos]]*Treinamentos[[#This Row],[Valor]]</f>
        <v>288</v>
      </c>
    </row>
    <row r="636" spans="1:11" x14ac:dyDescent="0.25">
      <c r="A636">
        <v>4989</v>
      </c>
      <c r="B636" s="1" t="s">
        <v>10</v>
      </c>
      <c r="C636" s="1" t="s">
        <v>50</v>
      </c>
      <c r="D636" s="2">
        <v>42972.375</v>
      </c>
      <c r="E636" s="2">
        <v>42979.75</v>
      </c>
      <c r="F636" s="1" t="s">
        <v>21</v>
      </c>
      <c r="G636" s="1" t="s">
        <v>44</v>
      </c>
      <c r="H636">
        <v>2</v>
      </c>
      <c r="I636">
        <v>8</v>
      </c>
      <c r="J636" s="3">
        <v>35</v>
      </c>
      <c r="K636" s="3">
        <f>+Treinamentos[[#This Row],[Alunos]]*Treinamentos[[#This Row],[Valor]]</f>
        <v>280</v>
      </c>
    </row>
    <row r="637" spans="1:11" x14ac:dyDescent="0.25">
      <c r="A637">
        <v>4990</v>
      </c>
      <c r="B637" s="1" t="s">
        <v>30</v>
      </c>
      <c r="C637" s="1" t="s">
        <v>59</v>
      </c>
      <c r="D637" s="2">
        <v>42973.333333333336</v>
      </c>
      <c r="E637" s="2">
        <v>42987.5</v>
      </c>
      <c r="F637" s="1" t="s">
        <v>21</v>
      </c>
      <c r="G637" s="1" t="s">
        <v>13</v>
      </c>
      <c r="H637">
        <v>2</v>
      </c>
      <c r="I637">
        <v>8</v>
      </c>
      <c r="J637" s="3">
        <v>48</v>
      </c>
      <c r="K637" s="3">
        <f>+Treinamentos[[#This Row],[Alunos]]*Treinamentos[[#This Row],[Valor]]</f>
        <v>384</v>
      </c>
    </row>
    <row r="638" spans="1:11" x14ac:dyDescent="0.25">
      <c r="A638">
        <v>4991</v>
      </c>
      <c r="B638" s="1" t="s">
        <v>28</v>
      </c>
      <c r="C638" s="1" t="s">
        <v>55</v>
      </c>
      <c r="D638" s="2">
        <v>42974.375</v>
      </c>
      <c r="E638" s="2">
        <v>42980.75</v>
      </c>
      <c r="F638" s="1" t="s">
        <v>12</v>
      </c>
      <c r="G638" s="1" t="s">
        <v>34</v>
      </c>
      <c r="H638">
        <v>2</v>
      </c>
      <c r="I638">
        <v>11</v>
      </c>
      <c r="J638" s="3">
        <v>75</v>
      </c>
      <c r="K638" s="3">
        <f>+Treinamentos[[#This Row],[Alunos]]*Treinamentos[[#This Row],[Valor]]</f>
        <v>825</v>
      </c>
    </row>
    <row r="639" spans="1:11" x14ac:dyDescent="0.25">
      <c r="A639">
        <v>4992</v>
      </c>
      <c r="B639" s="1" t="s">
        <v>17</v>
      </c>
      <c r="C639" s="1" t="s">
        <v>60</v>
      </c>
      <c r="D639" s="2">
        <v>42976.791666666664</v>
      </c>
      <c r="E639" s="2">
        <v>42987.958333333336</v>
      </c>
      <c r="F639" s="1" t="s">
        <v>21</v>
      </c>
      <c r="G639" s="1" t="s">
        <v>33</v>
      </c>
      <c r="H639">
        <v>5</v>
      </c>
      <c r="I639">
        <v>12</v>
      </c>
      <c r="J639" s="3">
        <v>42</v>
      </c>
      <c r="K639" s="3">
        <f>+Treinamentos[[#This Row],[Alunos]]*Treinamentos[[#This Row],[Valor]]</f>
        <v>504</v>
      </c>
    </row>
    <row r="640" spans="1:11" x14ac:dyDescent="0.25">
      <c r="A640">
        <v>4993</v>
      </c>
      <c r="B640" s="1" t="s">
        <v>25</v>
      </c>
      <c r="C640" s="1" t="s">
        <v>55</v>
      </c>
      <c r="D640" s="2">
        <v>42976.791666666664</v>
      </c>
      <c r="E640" s="2">
        <v>42987.958333333336</v>
      </c>
      <c r="F640" s="1" t="s">
        <v>12</v>
      </c>
      <c r="G640" s="1" t="s">
        <v>24</v>
      </c>
      <c r="H640">
        <v>4</v>
      </c>
      <c r="I640">
        <v>12</v>
      </c>
      <c r="J640" s="3">
        <v>75</v>
      </c>
      <c r="K640" s="3">
        <f>+Treinamentos[[#This Row],[Alunos]]*Treinamentos[[#This Row],[Valor]]</f>
        <v>900</v>
      </c>
    </row>
    <row r="641" spans="1:11" x14ac:dyDescent="0.25">
      <c r="A641">
        <v>4994</v>
      </c>
      <c r="B641" s="1" t="s">
        <v>16</v>
      </c>
      <c r="C641" s="1" t="s">
        <v>61</v>
      </c>
      <c r="D641" s="2">
        <v>42977.791666666664</v>
      </c>
      <c r="E641" s="2">
        <v>42990.958333333336</v>
      </c>
      <c r="F641" s="1" t="s">
        <v>12</v>
      </c>
      <c r="G641" s="1" t="s">
        <v>33</v>
      </c>
      <c r="H641">
        <v>3</v>
      </c>
      <c r="I641">
        <v>12</v>
      </c>
      <c r="J641" s="3">
        <v>62</v>
      </c>
      <c r="K641" s="3">
        <f>+Treinamentos[[#This Row],[Alunos]]*Treinamentos[[#This Row],[Valor]]</f>
        <v>744</v>
      </c>
    </row>
    <row r="642" spans="1:11" x14ac:dyDescent="0.25">
      <c r="A642">
        <v>4995</v>
      </c>
      <c r="B642" s="1" t="s">
        <v>30</v>
      </c>
      <c r="C642" s="1" t="s">
        <v>51</v>
      </c>
      <c r="D642" s="2">
        <v>42978.583333333336</v>
      </c>
      <c r="E642" s="2">
        <v>42991.75</v>
      </c>
      <c r="F642" s="1" t="s">
        <v>21</v>
      </c>
      <c r="G642" s="1" t="s">
        <v>34</v>
      </c>
      <c r="H642">
        <v>2</v>
      </c>
      <c r="I642">
        <v>11</v>
      </c>
      <c r="J642" s="3">
        <v>62</v>
      </c>
      <c r="K642" s="3">
        <f>+Treinamentos[[#This Row],[Alunos]]*Treinamentos[[#This Row],[Valor]]</f>
        <v>682</v>
      </c>
    </row>
    <row r="643" spans="1:11" x14ac:dyDescent="0.25">
      <c r="A643">
        <v>4996</v>
      </c>
      <c r="B643" s="1" t="s">
        <v>28</v>
      </c>
      <c r="C643" s="1" t="s">
        <v>53</v>
      </c>
      <c r="D643" s="2">
        <v>42979.375</v>
      </c>
      <c r="E643" s="2">
        <v>42985.75</v>
      </c>
      <c r="F643" s="1" t="s">
        <v>12</v>
      </c>
      <c r="G643" s="1" t="s">
        <v>33</v>
      </c>
      <c r="H643">
        <v>3</v>
      </c>
      <c r="I643">
        <v>12</v>
      </c>
      <c r="J643" s="3">
        <v>32</v>
      </c>
      <c r="K643" s="3">
        <f>+Treinamentos[[#This Row],[Alunos]]*Treinamentos[[#This Row],[Valor]]</f>
        <v>384</v>
      </c>
    </row>
    <row r="644" spans="1:11" x14ac:dyDescent="0.25">
      <c r="A644">
        <v>4997</v>
      </c>
      <c r="B644" s="1" t="s">
        <v>14</v>
      </c>
      <c r="C644" s="1" t="s">
        <v>51</v>
      </c>
      <c r="D644" s="2">
        <v>42980.333333333336</v>
      </c>
      <c r="E644" s="2">
        <v>42993.5</v>
      </c>
      <c r="F644" s="1" t="s">
        <v>21</v>
      </c>
      <c r="G644" s="1" t="s">
        <v>13</v>
      </c>
      <c r="H644">
        <v>2</v>
      </c>
      <c r="I644">
        <v>8</v>
      </c>
      <c r="J644" s="3">
        <v>62</v>
      </c>
      <c r="K644" s="3">
        <f>+Treinamentos[[#This Row],[Alunos]]*Treinamentos[[#This Row],[Valor]]</f>
        <v>496</v>
      </c>
    </row>
    <row r="645" spans="1:11" x14ac:dyDescent="0.25">
      <c r="A645">
        <v>4998</v>
      </c>
      <c r="B645" s="1" t="s">
        <v>28</v>
      </c>
      <c r="C645" s="1" t="s">
        <v>50</v>
      </c>
      <c r="D645" s="2">
        <v>42981.375</v>
      </c>
      <c r="E645" s="2">
        <v>42986.75</v>
      </c>
      <c r="F645" s="1" t="s">
        <v>21</v>
      </c>
      <c r="G645" s="1" t="s">
        <v>47</v>
      </c>
      <c r="H645">
        <v>4</v>
      </c>
      <c r="I645">
        <v>12</v>
      </c>
      <c r="J645" s="3">
        <v>35</v>
      </c>
      <c r="K645" s="3">
        <f>+Treinamentos[[#This Row],[Alunos]]*Treinamentos[[#This Row],[Valor]]</f>
        <v>420</v>
      </c>
    </row>
    <row r="646" spans="1:11" x14ac:dyDescent="0.25">
      <c r="A646">
        <v>4999</v>
      </c>
      <c r="B646" s="1" t="s">
        <v>17</v>
      </c>
      <c r="C646" s="1" t="s">
        <v>58</v>
      </c>
      <c r="D646" s="2">
        <v>42983.791666666664</v>
      </c>
      <c r="E646" s="2">
        <v>42994.958333333336</v>
      </c>
      <c r="F646" s="1" t="s">
        <v>21</v>
      </c>
      <c r="G646" s="1" t="s">
        <v>19</v>
      </c>
      <c r="H646">
        <v>3</v>
      </c>
      <c r="I646">
        <v>11</v>
      </c>
      <c r="J646" s="3">
        <v>48</v>
      </c>
      <c r="K646" s="3">
        <f>+Treinamentos[[#This Row],[Alunos]]*Treinamentos[[#This Row],[Valor]]</f>
        <v>528</v>
      </c>
    </row>
    <row r="647" spans="1:11" x14ac:dyDescent="0.25">
      <c r="A647">
        <v>5000</v>
      </c>
      <c r="B647" s="1" t="s">
        <v>37</v>
      </c>
      <c r="C647" s="1" t="s">
        <v>56</v>
      </c>
      <c r="D647" s="2">
        <v>42983.791666666664</v>
      </c>
      <c r="E647" s="2">
        <v>42994.958333333336</v>
      </c>
      <c r="F647" s="1" t="s">
        <v>21</v>
      </c>
      <c r="G647" s="1" t="s">
        <v>24</v>
      </c>
      <c r="H647">
        <v>2</v>
      </c>
      <c r="I647">
        <v>8</v>
      </c>
      <c r="J647" s="3">
        <v>63</v>
      </c>
      <c r="K647" s="3">
        <f>+Treinamentos[[#This Row],[Alunos]]*Treinamentos[[#This Row],[Valor]]</f>
        <v>504</v>
      </c>
    </row>
    <row r="648" spans="1:11" x14ac:dyDescent="0.25">
      <c r="A648">
        <v>5001</v>
      </c>
      <c r="B648" s="1" t="s">
        <v>37</v>
      </c>
      <c r="C648" s="1" t="s">
        <v>57</v>
      </c>
      <c r="D648" s="2">
        <v>42984.791666666664</v>
      </c>
      <c r="E648" s="2">
        <v>42997.958333333336</v>
      </c>
      <c r="F648" s="1" t="s">
        <v>21</v>
      </c>
      <c r="G648" s="1" t="s">
        <v>34</v>
      </c>
      <c r="H648">
        <v>2</v>
      </c>
      <c r="I648">
        <v>11</v>
      </c>
      <c r="J648" s="3">
        <v>52</v>
      </c>
      <c r="K648" s="3">
        <f>+Treinamentos[[#This Row],[Alunos]]*Treinamentos[[#This Row],[Valor]]</f>
        <v>572</v>
      </c>
    </row>
    <row r="649" spans="1:11" x14ac:dyDescent="0.25">
      <c r="A649">
        <v>5002</v>
      </c>
      <c r="B649" s="1" t="s">
        <v>16</v>
      </c>
      <c r="C649" s="1" t="s">
        <v>53</v>
      </c>
      <c r="D649" s="2">
        <v>42985.583333333336</v>
      </c>
      <c r="E649" s="2">
        <v>42998.75</v>
      </c>
      <c r="F649" s="1" t="s">
        <v>21</v>
      </c>
      <c r="G649" s="1" t="s">
        <v>47</v>
      </c>
      <c r="H649">
        <v>4</v>
      </c>
      <c r="I649">
        <v>9</v>
      </c>
      <c r="J649" s="3">
        <v>32</v>
      </c>
      <c r="K649" s="3">
        <f>+Treinamentos[[#This Row],[Alunos]]*Treinamentos[[#This Row],[Valor]]</f>
        <v>288</v>
      </c>
    </row>
    <row r="650" spans="1:11" x14ac:dyDescent="0.25">
      <c r="A650">
        <v>5003</v>
      </c>
      <c r="B650" s="1" t="s">
        <v>28</v>
      </c>
      <c r="C650" s="1" t="s">
        <v>53</v>
      </c>
      <c r="D650" s="2">
        <v>42986.375</v>
      </c>
      <c r="E650" s="2">
        <v>42992.75</v>
      </c>
      <c r="F650" s="1" t="s">
        <v>12</v>
      </c>
      <c r="G650" s="1" t="s">
        <v>22</v>
      </c>
      <c r="H650">
        <v>3</v>
      </c>
      <c r="I650">
        <v>9</v>
      </c>
      <c r="J650" s="3">
        <v>32</v>
      </c>
      <c r="K650" s="3">
        <f>+Treinamentos[[#This Row],[Alunos]]*Treinamentos[[#This Row],[Valor]]</f>
        <v>288</v>
      </c>
    </row>
    <row r="651" spans="1:11" x14ac:dyDescent="0.25">
      <c r="A651">
        <v>5004</v>
      </c>
      <c r="B651" s="1" t="s">
        <v>10</v>
      </c>
      <c r="C651" s="1" t="s">
        <v>55</v>
      </c>
      <c r="D651" s="2">
        <v>42987.333333333336</v>
      </c>
      <c r="E651" s="2">
        <v>43000.5</v>
      </c>
      <c r="F651" s="1" t="s">
        <v>21</v>
      </c>
      <c r="G651" s="1" t="s">
        <v>27</v>
      </c>
      <c r="H651">
        <v>5</v>
      </c>
      <c r="I651">
        <v>8</v>
      </c>
      <c r="J651" s="3">
        <v>75</v>
      </c>
      <c r="K651" s="3">
        <f>+Treinamentos[[#This Row],[Alunos]]*Treinamentos[[#This Row],[Valor]]</f>
        <v>600</v>
      </c>
    </row>
    <row r="652" spans="1:11" x14ac:dyDescent="0.25">
      <c r="A652">
        <v>5005</v>
      </c>
      <c r="B652" s="1" t="s">
        <v>14</v>
      </c>
      <c r="C652" s="1" t="s">
        <v>57</v>
      </c>
      <c r="D652" s="2">
        <v>42988.375</v>
      </c>
      <c r="E652" s="2">
        <v>42993.75</v>
      </c>
      <c r="F652" s="1" t="s">
        <v>12</v>
      </c>
      <c r="G652" s="1" t="s">
        <v>34</v>
      </c>
      <c r="H652">
        <v>2</v>
      </c>
      <c r="I652">
        <v>10</v>
      </c>
      <c r="J652" s="3">
        <v>52</v>
      </c>
      <c r="K652" s="3">
        <f>+Treinamentos[[#This Row],[Alunos]]*Treinamentos[[#This Row],[Valor]]</f>
        <v>520</v>
      </c>
    </row>
    <row r="653" spans="1:11" x14ac:dyDescent="0.25">
      <c r="A653">
        <v>5006</v>
      </c>
      <c r="B653" s="1" t="s">
        <v>25</v>
      </c>
      <c r="C653" s="1" t="s">
        <v>57</v>
      </c>
      <c r="D653" s="2">
        <v>42990.791666666664</v>
      </c>
      <c r="E653" s="2">
        <v>43001.958333333336</v>
      </c>
      <c r="F653" s="1" t="s">
        <v>12</v>
      </c>
      <c r="G653" s="1" t="s">
        <v>19</v>
      </c>
      <c r="H653">
        <v>5</v>
      </c>
      <c r="I653">
        <v>11</v>
      </c>
      <c r="J653" s="3">
        <v>52</v>
      </c>
      <c r="K653" s="3">
        <f>+Treinamentos[[#This Row],[Alunos]]*Treinamentos[[#This Row],[Valor]]</f>
        <v>572</v>
      </c>
    </row>
    <row r="654" spans="1:11" x14ac:dyDescent="0.25">
      <c r="A654">
        <v>5007</v>
      </c>
      <c r="B654" s="1" t="s">
        <v>30</v>
      </c>
      <c r="C654" s="1" t="s">
        <v>53</v>
      </c>
      <c r="D654" s="2">
        <v>42990.791666666664</v>
      </c>
      <c r="E654" s="2">
        <v>43001.958333333336</v>
      </c>
      <c r="F654" s="1" t="s">
        <v>12</v>
      </c>
      <c r="G654" s="1" t="s">
        <v>32</v>
      </c>
      <c r="H654">
        <v>5</v>
      </c>
      <c r="I654">
        <v>8</v>
      </c>
      <c r="J654" s="3">
        <v>32</v>
      </c>
      <c r="K654" s="3">
        <f>+Treinamentos[[#This Row],[Alunos]]*Treinamentos[[#This Row],[Valor]]</f>
        <v>256</v>
      </c>
    </row>
    <row r="655" spans="1:11" x14ac:dyDescent="0.25">
      <c r="A655">
        <v>5008</v>
      </c>
      <c r="B655" s="1" t="s">
        <v>16</v>
      </c>
      <c r="C655" s="1" t="s">
        <v>50</v>
      </c>
      <c r="D655" s="2">
        <v>42991.791666666664</v>
      </c>
      <c r="E655" s="2">
        <v>43004.958333333336</v>
      </c>
      <c r="F655" s="1" t="s">
        <v>21</v>
      </c>
      <c r="G655" s="1" t="s">
        <v>32</v>
      </c>
      <c r="H655">
        <v>4</v>
      </c>
      <c r="I655">
        <v>12</v>
      </c>
      <c r="J655" s="3">
        <v>35</v>
      </c>
      <c r="K655" s="3">
        <f>+Treinamentos[[#This Row],[Alunos]]*Treinamentos[[#This Row],[Valor]]</f>
        <v>420</v>
      </c>
    </row>
    <row r="656" spans="1:11" x14ac:dyDescent="0.25">
      <c r="A656">
        <v>5009</v>
      </c>
      <c r="B656" s="1" t="s">
        <v>10</v>
      </c>
      <c r="C656" s="1" t="s">
        <v>54</v>
      </c>
      <c r="D656" s="2">
        <v>42992.583333333336</v>
      </c>
      <c r="E656" s="2">
        <v>43005.75</v>
      </c>
      <c r="F656" s="1" t="s">
        <v>12</v>
      </c>
      <c r="G656" s="1" t="s">
        <v>16</v>
      </c>
      <c r="H656">
        <v>4</v>
      </c>
      <c r="I656">
        <v>10</v>
      </c>
      <c r="J656" s="3">
        <v>43</v>
      </c>
      <c r="K656" s="3">
        <f>+Treinamentos[[#This Row],[Alunos]]*Treinamentos[[#This Row],[Valor]]</f>
        <v>430</v>
      </c>
    </row>
    <row r="657" spans="1:11" x14ac:dyDescent="0.25">
      <c r="A657">
        <v>5010</v>
      </c>
      <c r="B657" s="1" t="s">
        <v>37</v>
      </c>
      <c r="C657" s="1" t="s">
        <v>51</v>
      </c>
      <c r="D657" s="2">
        <v>42993.375</v>
      </c>
      <c r="E657" s="2">
        <v>42999.75</v>
      </c>
      <c r="F657" s="1" t="s">
        <v>21</v>
      </c>
      <c r="G657" s="1" t="s">
        <v>33</v>
      </c>
      <c r="H657">
        <v>5</v>
      </c>
      <c r="I657">
        <v>10</v>
      </c>
      <c r="J657" s="3">
        <v>62</v>
      </c>
      <c r="K657" s="3">
        <f>+Treinamentos[[#This Row],[Alunos]]*Treinamentos[[#This Row],[Valor]]</f>
        <v>620</v>
      </c>
    </row>
    <row r="658" spans="1:11" x14ac:dyDescent="0.25">
      <c r="A658">
        <v>5011</v>
      </c>
      <c r="B658" s="1" t="s">
        <v>41</v>
      </c>
      <c r="C658" s="1" t="s">
        <v>51</v>
      </c>
      <c r="D658" s="2">
        <v>42994.333333333336</v>
      </c>
      <c r="E658" s="2">
        <v>43007.5</v>
      </c>
      <c r="F658" s="1" t="s">
        <v>12</v>
      </c>
      <c r="G658" s="1" t="s">
        <v>33</v>
      </c>
      <c r="H658">
        <v>2</v>
      </c>
      <c r="I658">
        <v>10</v>
      </c>
      <c r="J658" s="3">
        <v>62</v>
      </c>
      <c r="K658" s="3">
        <f>+Treinamentos[[#This Row],[Alunos]]*Treinamentos[[#This Row],[Valor]]</f>
        <v>620</v>
      </c>
    </row>
    <row r="659" spans="1:11" x14ac:dyDescent="0.25">
      <c r="A659">
        <v>5012</v>
      </c>
      <c r="B659" s="1" t="s">
        <v>25</v>
      </c>
      <c r="C659" s="1" t="s">
        <v>51</v>
      </c>
      <c r="D659" s="2">
        <v>42995.375</v>
      </c>
      <c r="E659" s="2">
        <v>43000.75</v>
      </c>
      <c r="F659" s="1" t="s">
        <v>21</v>
      </c>
      <c r="G659" s="1" t="s">
        <v>34</v>
      </c>
      <c r="H659">
        <v>3</v>
      </c>
      <c r="I659">
        <v>11</v>
      </c>
      <c r="J659" s="3">
        <v>62</v>
      </c>
      <c r="K659" s="3">
        <f>+Treinamentos[[#This Row],[Alunos]]*Treinamentos[[#This Row],[Valor]]</f>
        <v>682</v>
      </c>
    </row>
    <row r="660" spans="1:11" x14ac:dyDescent="0.25">
      <c r="A660">
        <v>5013</v>
      </c>
      <c r="B660" s="1" t="s">
        <v>25</v>
      </c>
      <c r="C660" s="1" t="s">
        <v>56</v>
      </c>
      <c r="D660" s="2">
        <v>42997.791666666664</v>
      </c>
      <c r="E660" s="2">
        <v>43008.958333333336</v>
      </c>
      <c r="F660" s="1" t="s">
        <v>12</v>
      </c>
      <c r="G660" s="1" t="s">
        <v>24</v>
      </c>
      <c r="H660">
        <v>5</v>
      </c>
      <c r="I660">
        <v>10</v>
      </c>
      <c r="J660" s="3">
        <v>63</v>
      </c>
      <c r="K660" s="3">
        <f>+Treinamentos[[#This Row],[Alunos]]*Treinamentos[[#This Row],[Valor]]</f>
        <v>630</v>
      </c>
    </row>
    <row r="661" spans="1:11" x14ac:dyDescent="0.25">
      <c r="A661">
        <v>5014</v>
      </c>
      <c r="B661" s="1" t="s">
        <v>16</v>
      </c>
      <c r="C661" s="1" t="s">
        <v>50</v>
      </c>
      <c r="D661" s="2">
        <v>42997.791666666664</v>
      </c>
      <c r="E661" s="2">
        <v>43008.958333333336</v>
      </c>
      <c r="F661" s="1" t="s">
        <v>21</v>
      </c>
      <c r="G661" s="1" t="s">
        <v>19</v>
      </c>
      <c r="H661">
        <v>5</v>
      </c>
      <c r="I661">
        <v>9</v>
      </c>
      <c r="J661" s="3">
        <v>35</v>
      </c>
      <c r="K661" s="3">
        <f>+Treinamentos[[#This Row],[Alunos]]*Treinamentos[[#This Row],[Valor]]</f>
        <v>315</v>
      </c>
    </row>
    <row r="662" spans="1:11" x14ac:dyDescent="0.25">
      <c r="A662">
        <v>5015</v>
      </c>
      <c r="B662" s="1" t="s">
        <v>17</v>
      </c>
      <c r="C662" s="1" t="s">
        <v>53</v>
      </c>
      <c r="D662" s="2">
        <v>42998.791666666664</v>
      </c>
      <c r="E662" s="2">
        <v>43011.958333333336</v>
      </c>
      <c r="F662" s="1" t="s">
        <v>12</v>
      </c>
      <c r="G662" s="1" t="s">
        <v>47</v>
      </c>
      <c r="H662">
        <v>3</v>
      </c>
      <c r="I662">
        <v>9</v>
      </c>
      <c r="J662" s="3">
        <v>32</v>
      </c>
      <c r="K662" s="3">
        <f>+Treinamentos[[#This Row],[Alunos]]*Treinamentos[[#This Row],[Valor]]</f>
        <v>288</v>
      </c>
    </row>
    <row r="663" spans="1:11" x14ac:dyDescent="0.25">
      <c r="A663">
        <v>5016</v>
      </c>
      <c r="B663" s="1" t="s">
        <v>14</v>
      </c>
      <c r="C663" s="1" t="s">
        <v>51</v>
      </c>
      <c r="D663" s="2">
        <v>42999.583333333336</v>
      </c>
      <c r="E663" s="2">
        <v>43012.75</v>
      </c>
      <c r="F663" s="1" t="s">
        <v>21</v>
      </c>
      <c r="G663" s="1" t="s">
        <v>48</v>
      </c>
      <c r="H663">
        <v>3</v>
      </c>
      <c r="I663">
        <v>9</v>
      </c>
      <c r="J663" s="3">
        <v>62</v>
      </c>
      <c r="K663" s="3">
        <f>+Treinamentos[[#This Row],[Alunos]]*Treinamentos[[#This Row],[Valor]]</f>
        <v>558</v>
      </c>
    </row>
    <row r="664" spans="1:11" x14ac:dyDescent="0.25">
      <c r="A664">
        <v>5017</v>
      </c>
      <c r="B664" s="1" t="s">
        <v>30</v>
      </c>
      <c r="C664" s="1" t="s">
        <v>55</v>
      </c>
      <c r="D664" s="2">
        <v>43000.375</v>
      </c>
      <c r="E664" s="2">
        <v>43006.75</v>
      </c>
      <c r="F664" s="1" t="s">
        <v>12</v>
      </c>
      <c r="G664" s="1" t="s">
        <v>47</v>
      </c>
      <c r="H664">
        <v>5</v>
      </c>
      <c r="I664">
        <v>10</v>
      </c>
      <c r="J664" s="3">
        <v>75</v>
      </c>
      <c r="K664" s="3">
        <f>+Treinamentos[[#This Row],[Alunos]]*Treinamentos[[#This Row],[Valor]]</f>
        <v>750</v>
      </c>
    </row>
    <row r="665" spans="1:11" x14ac:dyDescent="0.25">
      <c r="A665">
        <v>5018</v>
      </c>
      <c r="B665" s="1" t="s">
        <v>16</v>
      </c>
      <c r="C665" s="1" t="s">
        <v>61</v>
      </c>
      <c r="D665" s="2">
        <v>43001.333333333336</v>
      </c>
      <c r="E665" s="2">
        <v>43014.5</v>
      </c>
      <c r="F665" s="1" t="s">
        <v>21</v>
      </c>
      <c r="G665" s="1" t="s">
        <v>32</v>
      </c>
      <c r="H665">
        <v>4</v>
      </c>
      <c r="I665">
        <v>11</v>
      </c>
      <c r="J665" s="3">
        <v>62</v>
      </c>
      <c r="K665" s="3">
        <f>+Treinamentos[[#This Row],[Alunos]]*Treinamentos[[#This Row],[Valor]]</f>
        <v>682</v>
      </c>
    </row>
    <row r="666" spans="1:11" x14ac:dyDescent="0.25">
      <c r="A666">
        <v>5019</v>
      </c>
      <c r="B666" s="1" t="s">
        <v>25</v>
      </c>
      <c r="C666" s="1" t="s">
        <v>53</v>
      </c>
      <c r="D666" s="2">
        <v>43002.375</v>
      </c>
      <c r="E666" s="2">
        <v>43007.75</v>
      </c>
      <c r="F666" s="1" t="s">
        <v>12</v>
      </c>
      <c r="G666" s="1" t="s">
        <v>44</v>
      </c>
      <c r="H666">
        <v>4</v>
      </c>
      <c r="I666">
        <v>12</v>
      </c>
      <c r="J666" s="3">
        <v>32</v>
      </c>
      <c r="K666" s="3">
        <f>+Treinamentos[[#This Row],[Alunos]]*Treinamentos[[#This Row],[Valor]]</f>
        <v>384</v>
      </c>
    </row>
    <row r="667" spans="1:11" x14ac:dyDescent="0.25">
      <c r="A667">
        <v>5020</v>
      </c>
      <c r="B667" s="1" t="s">
        <v>37</v>
      </c>
      <c r="C667" s="1" t="s">
        <v>51</v>
      </c>
      <c r="D667" s="2">
        <v>43004.791666666664</v>
      </c>
      <c r="E667" s="2">
        <v>43015.958333333336</v>
      </c>
      <c r="F667" s="1" t="s">
        <v>12</v>
      </c>
      <c r="G667" s="1" t="s">
        <v>24</v>
      </c>
      <c r="H667">
        <v>2</v>
      </c>
      <c r="I667">
        <v>9</v>
      </c>
      <c r="J667" s="3">
        <v>62</v>
      </c>
      <c r="K667" s="3">
        <f>+Treinamentos[[#This Row],[Alunos]]*Treinamentos[[#This Row],[Valor]]</f>
        <v>558</v>
      </c>
    </row>
    <row r="668" spans="1:11" x14ac:dyDescent="0.25">
      <c r="A668">
        <v>5021</v>
      </c>
      <c r="B668" s="1" t="s">
        <v>16</v>
      </c>
      <c r="C668" s="1" t="s">
        <v>58</v>
      </c>
      <c r="D668" s="2">
        <v>43004.791666666664</v>
      </c>
      <c r="E668" s="2">
        <v>43015.958333333336</v>
      </c>
      <c r="F668" s="1" t="s">
        <v>12</v>
      </c>
      <c r="G668" s="1" t="s">
        <v>32</v>
      </c>
      <c r="H668">
        <v>3</v>
      </c>
      <c r="I668">
        <v>10</v>
      </c>
      <c r="J668" s="3">
        <v>48</v>
      </c>
      <c r="K668" s="3">
        <f>+Treinamentos[[#This Row],[Alunos]]*Treinamentos[[#This Row],[Valor]]</f>
        <v>480</v>
      </c>
    </row>
    <row r="669" spans="1:11" x14ac:dyDescent="0.25">
      <c r="A669">
        <v>5022</v>
      </c>
      <c r="B669" s="1" t="s">
        <v>16</v>
      </c>
      <c r="C669" s="1" t="s">
        <v>57</v>
      </c>
      <c r="D669" s="2">
        <v>43005.791666666664</v>
      </c>
      <c r="E669" s="2">
        <v>43018.958333333336</v>
      </c>
      <c r="F669" s="1" t="s">
        <v>12</v>
      </c>
      <c r="G669" s="1" t="s">
        <v>34</v>
      </c>
      <c r="H669">
        <v>3</v>
      </c>
      <c r="I669">
        <v>11</v>
      </c>
      <c r="J669" s="3">
        <v>52</v>
      </c>
      <c r="K669" s="3">
        <f>+Treinamentos[[#This Row],[Alunos]]*Treinamentos[[#This Row],[Valor]]</f>
        <v>572</v>
      </c>
    </row>
    <row r="670" spans="1:11" x14ac:dyDescent="0.25">
      <c r="A670">
        <v>5023</v>
      </c>
      <c r="B670" s="1" t="s">
        <v>16</v>
      </c>
      <c r="C670" s="1" t="s">
        <v>59</v>
      </c>
      <c r="D670" s="2">
        <v>43006.583333333336</v>
      </c>
      <c r="E670" s="2">
        <v>43019.75</v>
      </c>
      <c r="F670" s="1" t="s">
        <v>21</v>
      </c>
      <c r="G670" s="1" t="s">
        <v>24</v>
      </c>
      <c r="H670">
        <v>4</v>
      </c>
      <c r="I670">
        <v>12</v>
      </c>
      <c r="J670" s="3">
        <v>48</v>
      </c>
      <c r="K670" s="3">
        <f>+Treinamentos[[#This Row],[Alunos]]*Treinamentos[[#This Row],[Valor]]</f>
        <v>576</v>
      </c>
    </row>
    <row r="671" spans="1:11" x14ac:dyDescent="0.25">
      <c r="A671">
        <v>5024</v>
      </c>
      <c r="B671" s="1" t="s">
        <v>28</v>
      </c>
      <c r="C671" s="1" t="s">
        <v>49</v>
      </c>
      <c r="D671" s="2">
        <v>43007.375</v>
      </c>
      <c r="E671" s="2">
        <v>43013.75</v>
      </c>
      <c r="F671" s="1" t="s">
        <v>21</v>
      </c>
      <c r="G671" s="1" t="s">
        <v>22</v>
      </c>
      <c r="H671">
        <v>4</v>
      </c>
      <c r="I671">
        <v>12</v>
      </c>
      <c r="J671" s="3">
        <v>53</v>
      </c>
      <c r="K671" s="3">
        <f>+Treinamentos[[#This Row],[Alunos]]*Treinamentos[[#This Row],[Valor]]</f>
        <v>636</v>
      </c>
    </row>
    <row r="672" spans="1:11" x14ac:dyDescent="0.25">
      <c r="A672">
        <v>5025</v>
      </c>
      <c r="B672" s="1" t="s">
        <v>10</v>
      </c>
      <c r="C672" s="1" t="s">
        <v>49</v>
      </c>
      <c r="D672" s="2">
        <v>43008.333333333336</v>
      </c>
      <c r="E672" s="2">
        <v>43022.5</v>
      </c>
      <c r="F672" s="1" t="s">
        <v>12</v>
      </c>
      <c r="G672" s="1" t="s">
        <v>19</v>
      </c>
      <c r="H672">
        <v>5</v>
      </c>
      <c r="I672">
        <v>9</v>
      </c>
      <c r="J672" s="3">
        <v>53</v>
      </c>
      <c r="K672" s="3">
        <f>+Treinamentos[[#This Row],[Alunos]]*Treinamentos[[#This Row],[Valor]]</f>
        <v>477</v>
      </c>
    </row>
    <row r="673" spans="1:11" x14ac:dyDescent="0.25">
      <c r="A673">
        <v>5026</v>
      </c>
      <c r="B673" s="1" t="s">
        <v>16</v>
      </c>
      <c r="C673" s="1" t="s">
        <v>50</v>
      </c>
      <c r="D673" s="2">
        <v>43025.791666666664</v>
      </c>
      <c r="E673" s="2">
        <v>43038.958333333336</v>
      </c>
      <c r="F673" s="1" t="s">
        <v>21</v>
      </c>
      <c r="G673" s="1" t="s">
        <v>44</v>
      </c>
      <c r="H673">
        <v>4</v>
      </c>
      <c r="I673">
        <v>9</v>
      </c>
      <c r="J673" s="3">
        <v>35</v>
      </c>
      <c r="K673" s="3">
        <f>+Treinamentos[[#This Row],[Alunos]]*Treinamentos[[#This Row],[Valor]]</f>
        <v>315</v>
      </c>
    </row>
    <row r="674" spans="1:11" x14ac:dyDescent="0.25">
      <c r="A674">
        <v>5027</v>
      </c>
      <c r="B674" s="1" t="s">
        <v>30</v>
      </c>
      <c r="C674" s="1" t="s">
        <v>57</v>
      </c>
      <c r="D674" s="2">
        <v>43026.583333333336</v>
      </c>
      <c r="E674" s="2">
        <v>43039.75</v>
      </c>
      <c r="F674" s="1" t="s">
        <v>12</v>
      </c>
      <c r="G674" s="1" t="s">
        <v>44</v>
      </c>
      <c r="H674">
        <v>2</v>
      </c>
      <c r="I674">
        <v>10</v>
      </c>
      <c r="J674" s="3">
        <v>52</v>
      </c>
      <c r="K674" s="3">
        <f>+Treinamentos[[#This Row],[Alunos]]*Treinamentos[[#This Row],[Valor]]</f>
        <v>520</v>
      </c>
    </row>
    <row r="675" spans="1:11" x14ac:dyDescent="0.25">
      <c r="A675">
        <v>5028</v>
      </c>
      <c r="B675" s="1" t="s">
        <v>25</v>
      </c>
      <c r="C675" s="1" t="s">
        <v>61</v>
      </c>
      <c r="D675" s="2">
        <v>43028.333333333336</v>
      </c>
      <c r="E675" s="2">
        <v>43041.5</v>
      </c>
      <c r="F675" s="1" t="s">
        <v>12</v>
      </c>
      <c r="G675" s="1" t="s">
        <v>47</v>
      </c>
      <c r="H675">
        <v>4</v>
      </c>
      <c r="I675">
        <v>12</v>
      </c>
      <c r="J675" s="3">
        <v>62</v>
      </c>
      <c r="K675" s="3">
        <f>+Treinamentos[[#This Row],[Alunos]]*Treinamentos[[#This Row],[Valor]]</f>
        <v>744</v>
      </c>
    </row>
    <row r="676" spans="1:11" x14ac:dyDescent="0.25">
      <c r="A676">
        <v>5029</v>
      </c>
      <c r="B676" s="1" t="s">
        <v>16</v>
      </c>
      <c r="C676" s="1" t="s">
        <v>51</v>
      </c>
      <c r="D676" s="2">
        <v>43031.791666666664</v>
      </c>
      <c r="E676" s="2">
        <v>43042.958333333336</v>
      </c>
      <c r="F676" s="1" t="s">
        <v>21</v>
      </c>
      <c r="G676" s="1" t="s">
        <v>42</v>
      </c>
      <c r="H676">
        <v>3</v>
      </c>
      <c r="I676">
        <v>9</v>
      </c>
      <c r="J676" s="3">
        <v>62</v>
      </c>
      <c r="K676" s="3">
        <f>+Treinamentos[[#This Row],[Alunos]]*Treinamentos[[#This Row],[Valor]]</f>
        <v>558</v>
      </c>
    </row>
    <row r="677" spans="1:11" x14ac:dyDescent="0.25">
      <c r="A677">
        <v>5030</v>
      </c>
      <c r="B677" s="1" t="s">
        <v>16</v>
      </c>
      <c r="C677" s="1" t="s">
        <v>52</v>
      </c>
      <c r="D677" s="2">
        <v>43031.791666666664</v>
      </c>
      <c r="E677" s="2">
        <v>43042.958333333336</v>
      </c>
      <c r="F677" s="1" t="s">
        <v>12</v>
      </c>
      <c r="G677" s="1" t="s">
        <v>19</v>
      </c>
      <c r="H677">
        <v>4</v>
      </c>
      <c r="I677">
        <v>12</v>
      </c>
      <c r="J677" s="3">
        <v>48</v>
      </c>
      <c r="K677" s="3">
        <f>+Treinamentos[[#This Row],[Alunos]]*Treinamentos[[#This Row],[Valor]]</f>
        <v>576</v>
      </c>
    </row>
    <row r="678" spans="1:11" x14ac:dyDescent="0.25">
      <c r="A678">
        <v>5031</v>
      </c>
      <c r="B678" s="1" t="s">
        <v>25</v>
      </c>
      <c r="C678" s="1" t="s">
        <v>56</v>
      </c>
      <c r="D678" s="2">
        <v>43032.791666666664</v>
      </c>
      <c r="E678" s="2">
        <v>43045.958333333336</v>
      </c>
      <c r="F678" s="1" t="s">
        <v>21</v>
      </c>
      <c r="G678" s="1" t="s">
        <v>24</v>
      </c>
      <c r="H678">
        <v>4</v>
      </c>
      <c r="I678">
        <v>8</v>
      </c>
      <c r="J678" s="3">
        <v>63</v>
      </c>
      <c r="K678" s="3">
        <f>+Treinamentos[[#This Row],[Alunos]]*Treinamentos[[#This Row],[Valor]]</f>
        <v>504</v>
      </c>
    </row>
    <row r="679" spans="1:11" x14ac:dyDescent="0.25">
      <c r="A679">
        <v>5032</v>
      </c>
      <c r="B679" s="1" t="s">
        <v>41</v>
      </c>
      <c r="C679" s="1" t="s">
        <v>57</v>
      </c>
      <c r="D679" s="2">
        <v>43033.583333333336</v>
      </c>
      <c r="E679" s="2">
        <v>43046.75</v>
      </c>
      <c r="F679" s="1" t="s">
        <v>12</v>
      </c>
      <c r="G679" s="1" t="s">
        <v>33</v>
      </c>
      <c r="H679">
        <v>5</v>
      </c>
      <c r="I679">
        <v>11</v>
      </c>
      <c r="J679" s="3">
        <v>52</v>
      </c>
      <c r="K679" s="3">
        <f>+Treinamentos[[#This Row],[Alunos]]*Treinamentos[[#This Row],[Valor]]</f>
        <v>572</v>
      </c>
    </row>
    <row r="680" spans="1:11" x14ac:dyDescent="0.25">
      <c r="A680">
        <v>5033</v>
      </c>
      <c r="B680" s="1" t="s">
        <v>14</v>
      </c>
      <c r="C680" s="1" t="s">
        <v>61</v>
      </c>
      <c r="D680" s="2">
        <v>43034.375</v>
      </c>
      <c r="E680" s="2">
        <v>43040.75</v>
      </c>
      <c r="F680" s="1" t="s">
        <v>12</v>
      </c>
      <c r="G680" s="1" t="s">
        <v>34</v>
      </c>
      <c r="H680">
        <v>4</v>
      </c>
      <c r="I680">
        <v>9</v>
      </c>
      <c r="J680" s="3">
        <v>62</v>
      </c>
      <c r="K680" s="3">
        <f>+Treinamentos[[#This Row],[Alunos]]*Treinamentos[[#This Row],[Valor]]</f>
        <v>558</v>
      </c>
    </row>
    <row r="681" spans="1:11" x14ac:dyDescent="0.25">
      <c r="A681">
        <v>5034</v>
      </c>
      <c r="B681" s="1" t="s">
        <v>30</v>
      </c>
      <c r="C681" s="1" t="s">
        <v>55</v>
      </c>
      <c r="D681" s="2">
        <v>43035.333333333336</v>
      </c>
      <c r="E681" s="2">
        <v>43048.5</v>
      </c>
      <c r="F681" s="1" t="s">
        <v>21</v>
      </c>
      <c r="G681" s="1" t="s">
        <v>24</v>
      </c>
      <c r="H681">
        <v>3</v>
      </c>
      <c r="I681">
        <v>12</v>
      </c>
      <c r="J681" s="3">
        <v>75</v>
      </c>
      <c r="K681" s="3">
        <f>+Treinamentos[[#This Row],[Alunos]]*Treinamentos[[#This Row],[Valor]]</f>
        <v>900</v>
      </c>
    </row>
    <row r="682" spans="1:11" x14ac:dyDescent="0.25">
      <c r="A682">
        <v>5035</v>
      </c>
      <c r="B682" s="1" t="s">
        <v>10</v>
      </c>
      <c r="C682" s="1" t="s">
        <v>53</v>
      </c>
      <c r="D682" s="2">
        <v>43036.375</v>
      </c>
      <c r="E682" s="2">
        <v>43041.75</v>
      </c>
      <c r="F682" s="1" t="s">
        <v>12</v>
      </c>
      <c r="G682" s="1" t="s">
        <v>24</v>
      </c>
      <c r="H682">
        <v>5</v>
      </c>
      <c r="I682">
        <v>11</v>
      </c>
      <c r="J682" s="3">
        <v>32</v>
      </c>
      <c r="K682" s="3">
        <f>+Treinamentos[[#This Row],[Alunos]]*Treinamentos[[#This Row],[Valor]]</f>
        <v>352</v>
      </c>
    </row>
    <row r="683" spans="1:11" x14ac:dyDescent="0.25">
      <c r="A683">
        <v>5036</v>
      </c>
      <c r="B683" s="1" t="s">
        <v>14</v>
      </c>
      <c r="C683" s="1" t="s">
        <v>59</v>
      </c>
      <c r="D683" s="2">
        <v>43038.791666666664</v>
      </c>
      <c r="E683" s="2">
        <v>43052.958333333336</v>
      </c>
      <c r="F683" s="1" t="s">
        <v>21</v>
      </c>
      <c r="G683" s="1" t="s">
        <v>46</v>
      </c>
      <c r="H683">
        <v>4</v>
      </c>
      <c r="I683">
        <v>9</v>
      </c>
      <c r="J683" s="3">
        <v>48</v>
      </c>
      <c r="K683" s="3">
        <f>+Treinamentos[[#This Row],[Alunos]]*Treinamentos[[#This Row],[Valor]]</f>
        <v>432</v>
      </c>
    </row>
    <row r="684" spans="1:11" x14ac:dyDescent="0.25">
      <c r="A684">
        <v>5037</v>
      </c>
      <c r="B684" s="1" t="s">
        <v>41</v>
      </c>
      <c r="C684" s="1" t="s">
        <v>61</v>
      </c>
      <c r="D684" s="2">
        <v>43038.791666666664</v>
      </c>
      <c r="E684" s="2">
        <v>43052.958333333336</v>
      </c>
      <c r="F684" s="1" t="s">
        <v>12</v>
      </c>
      <c r="G684" s="1" t="s">
        <v>38</v>
      </c>
      <c r="H684">
        <v>3</v>
      </c>
      <c r="I684">
        <v>12</v>
      </c>
      <c r="J684" s="3">
        <v>62</v>
      </c>
      <c r="K684" s="3">
        <f>+Treinamentos[[#This Row],[Alunos]]*Treinamentos[[#This Row],[Valor]]</f>
        <v>744</v>
      </c>
    </row>
    <row r="685" spans="1:11" x14ac:dyDescent="0.25">
      <c r="A685">
        <v>5038</v>
      </c>
      <c r="B685" s="1" t="s">
        <v>41</v>
      </c>
      <c r="C685" s="1" t="s">
        <v>57</v>
      </c>
      <c r="D685" s="2">
        <v>43039.791666666664</v>
      </c>
      <c r="E685" s="2">
        <v>43053.958333333336</v>
      </c>
      <c r="F685" s="1" t="s">
        <v>21</v>
      </c>
      <c r="G685" s="1" t="s">
        <v>16</v>
      </c>
      <c r="H685">
        <v>2</v>
      </c>
      <c r="I685">
        <v>10</v>
      </c>
      <c r="J685" s="3">
        <v>52</v>
      </c>
      <c r="K685" s="3">
        <f>+Treinamentos[[#This Row],[Alunos]]*Treinamentos[[#This Row],[Valor]]</f>
        <v>520</v>
      </c>
    </row>
    <row r="686" spans="1:11" x14ac:dyDescent="0.25">
      <c r="A686">
        <v>5039</v>
      </c>
      <c r="B686" s="1" t="s">
        <v>30</v>
      </c>
      <c r="C686" s="1" t="s">
        <v>58</v>
      </c>
      <c r="D686" s="2">
        <v>43040.583333333336</v>
      </c>
      <c r="E686" s="2">
        <v>43054.75</v>
      </c>
      <c r="F686" s="1" t="s">
        <v>12</v>
      </c>
      <c r="G686" s="1" t="s">
        <v>34</v>
      </c>
      <c r="H686">
        <v>2</v>
      </c>
      <c r="I686">
        <v>10</v>
      </c>
      <c r="J686" s="3">
        <v>48</v>
      </c>
      <c r="K686" s="3">
        <f>+Treinamentos[[#This Row],[Alunos]]*Treinamentos[[#This Row],[Valor]]</f>
        <v>480</v>
      </c>
    </row>
    <row r="687" spans="1:11" x14ac:dyDescent="0.25">
      <c r="A687">
        <v>5040</v>
      </c>
      <c r="B687" s="1" t="s">
        <v>41</v>
      </c>
      <c r="C687" s="1" t="s">
        <v>54</v>
      </c>
      <c r="D687" s="2">
        <v>43041.375</v>
      </c>
      <c r="E687" s="2">
        <v>43047.75</v>
      </c>
      <c r="F687" s="1" t="s">
        <v>21</v>
      </c>
      <c r="G687" s="1" t="s">
        <v>19</v>
      </c>
      <c r="H687">
        <v>5</v>
      </c>
      <c r="I687">
        <v>9</v>
      </c>
      <c r="J687" s="3">
        <v>43</v>
      </c>
      <c r="K687" s="3">
        <f>+Treinamentos[[#This Row],[Alunos]]*Treinamentos[[#This Row],[Valor]]</f>
        <v>387</v>
      </c>
    </row>
    <row r="688" spans="1:11" x14ac:dyDescent="0.25">
      <c r="A688">
        <v>5041</v>
      </c>
      <c r="B688" s="1" t="s">
        <v>25</v>
      </c>
      <c r="C688" s="1" t="s">
        <v>50</v>
      </c>
      <c r="D688" s="2">
        <v>43042.333333333336</v>
      </c>
      <c r="E688" s="2">
        <v>43059.5</v>
      </c>
      <c r="F688" s="1" t="s">
        <v>21</v>
      </c>
      <c r="G688" s="1" t="s">
        <v>22</v>
      </c>
      <c r="H688">
        <v>3</v>
      </c>
      <c r="I688">
        <v>12</v>
      </c>
      <c r="J688" s="3">
        <v>35</v>
      </c>
      <c r="K688" s="3">
        <f>+Treinamentos[[#This Row],[Alunos]]*Treinamentos[[#This Row],[Valor]]</f>
        <v>420</v>
      </c>
    </row>
    <row r="689" spans="1:11" x14ac:dyDescent="0.25">
      <c r="A689">
        <v>5042</v>
      </c>
      <c r="B689" s="1" t="s">
        <v>17</v>
      </c>
      <c r="C689" s="1" t="s">
        <v>49</v>
      </c>
      <c r="D689" s="2">
        <v>43043.375</v>
      </c>
      <c r="E689" s="2">
        <v>43048.75</v>
      </c>
      <c r="F689" s="1" t="s">
        <v>12</v>
      </c>
      <c r="G689" s="1" t="s">
        <v>33</v>
      </c>
      <c r="H689">
        <v>4</v>
      </c>
      <c r="I689">
        <v>9</v>
      </c>
      <c r="J689" s="3">
        <v>53</v>
      </c>
      <c r="K689" s="3">
        <f>+Treinamentos[[#This Row],[Alunos]]*Treinamentos[[#This Row],[Valor]]</f>
        <v>477</v>
      </c>
    </row>
    <row r="690" spans="1:11" x14ac:dyDescent="0.25">
      <c r="A690">
        <v>5043</v>
      </c>
      <c r="B690" s="1" t="s">
        <v>17</v>
      </c>
      <c r="C690" s="1" t="s">
        <v>52</v>
      </c>
      <c r="D690" s="2">
        <v>43045.791666666664</v>
      </c>
      <c r="E690" s="2">
        <v>43060.958333333336</v>
      </c>
      <c r="F690" s="1" t="s">
        <v>12</v>
      </c>
      <c r="G690" s="1" t="s">
        <v>42</v>
      </c>
      <c r="H690">
        <v>5</v>
      </c>
      <c r="I690">
        <v>8</v>
      </c>
      <c r="J690" s="3">
        <v>48</v>
      </c>
      <c r="K690" s="3">
        <f>+Treinamentos[[#This Row],[Alunos]]*Treinamentos[[#This Row],[Valor]]</f>
        <v>384</v>
      </c>
    </row>
    <row r="691" spans="1:11" x14ac:dyDescent="0.25">
      <c r="A691">
        <v>5044</v>
      </c>
      <c r="B691" s="1" t="s">
        <v>41</v>
      </c>
      <c r="C691" s="1" t="s">
        <v>51</v>
      </c>
      <c r="D691" s="2">
        <v>43045.791666666664</v>
      </c>
      <c r="E691" s="2">
        <v>43060.958333333336</v>
      </c>
      <c r="F691" s="1" t="s">
        <v>21</v>
      </c>
      <c r="G691" s="1" t="s">
        <v>34</v>
      </c>
      <c r="H691">
        <v>4</v>
      </c>
      <c r="I691">
        <v>8</v>
      </c>
      <c r="J691" s="3">
        <v>62</v>
      </c>
      <c r="K691" s="3">
        <f>+Treinamentos[[#This Row],[Alunos]]*Treinamentos[[#This Row],[Valor]]</f>
        <v>496</v>
      </c>
    </row>
    <row r="692" spans="1:11" x14ac:dyDescent="0.25">
      <c r="A692">
        <v>5045</v>
      </c>
      <c r="B692" s="1" t="s">
        <v>41</v>
      </c>
      <c r="C692" s="1" t="s">
        <v>57</v>
      </c>
      <c r="D692" s="2">
        <v>43046.791666666664</v>
      </c>
      <c r="E692" s="2">
        <v>43061.958333333336</v>
      </c>
      <c r="F692" s="1" t="s">
        <v>12</v>
      </c>
      <c r="G692" s="1" t="s">
        <v>19</v>
      </c>
      <c r="H692">
        <v>4</v>
      </c>
      <c r="I692">
        <v>8</v>
      </c>
      <c r="J692" s="3">
        <v>52</v>
      </c>
      <c r="K692" s="3">
        <f>+Treinamentos[[#This Row],[Alunos]]*Treinamentos[[#This Row],[Valor]]</f>
        <v>416</v>
      </c>
    </row>
    <row r="693" spans="1:11" x14ac:dyDescent="0.25">
      <c r="A693">
        <v>5046</v>
      </c>
      <c r="B693" s="1" t="s">
        <v>37</v>
      </c>
      <c r="C693" s="1" t="s">
        <v>53</v>
      </c>
      <c r="D693" s="2">
        <v>43047.583333333336</v>
      </c>
      <c r="E693" s="2">
        <v>43062.75</v>
      </c>
      <c r="F693" s="1" t="s">
        <v>12</v>
      </c>
      <c r="G693" s="1" t="s">
        <v>36</v>
      </c>
      <c r="H693">
        <v>5</v>
      </c>
      <c r="I693">
        <v>12</v>
      </c>
      <c r="J693" s="3">
        <v>32</v>
      </c>
      <c r="K693" s="3">
        <f>+Treinamentos[[#This Row],[Alunos]]*Treinamentos[[#This Row],[Valor]]</f>
        <v>384</v>
      </c>
    </row>
    <row r="694" spans="1:11" x14ac:dyDescent="0.25">
      <c r="A694">
        <v>5047</v>
      </c>
      <c r="B694" s="1" t="s">
        <v>17</v>
      </c>
      <c r="C694" s="1" t="s">
        <v>51</v>
      </c>
      <c r="D694" s="2">
        <v>43048.375</v>
      </c>
      <c r="E694" s="2">
        <v>43055.75</v>
      </c>
      <c r="F694" s="1" t="s">
        <v>12</v>
      </c>
      <c r="G694" s="1" t="s">
        <v>13</v>
      </c>
      <c r="H694">
        <v>2</v>
      </c>
      <c r="I694">
        <v>8</v>
      </c>
      <c r="J694" s="3">
        <v>62</v>
      </c>
      <c r="K694" s="3">
        <f>+Treinamentos[[#This Row],[Alunos]]*Treinamentos[[#This Row],[Valor]]</f>
        <v>496</v>
      </c>
    </row>
    <row r="695" spans="1:11" x14ac:dyDescent="0.25">
      <c r="A695">
        <v>5048</v>
      </c>
      <c r="B695" s="1" t="s">
        <v>30</v>
      </c>
      <c r="C695" s="1" t="s">
        <v>50</v>
      </c>
      <c r="D695" s="2">
        <v>43049.333333333336</v>
      </c>
      <c r="E695" s="2">
        <v>43063.5</v>
      </c>
      <c r="F695" s="1" t="s">
        <v>21</v>
      </c>
      <c r="G695" s="1" t="s">
        <v>16</v>
      </c>
      <c r="H695">
        <v>4</v>
      </c>
      <c r="I695">
        <v>11</v>
      </c>
      <c r="J695" s="3">
        <v>35</v>
      </c>
      <c r="K695" s="3">
        <f>+Treinamentos[[#This Row],[Alunos]]*Treinamentos[[#This Row],[Valor]]</f>
        <v>385</v>
      </c>
    </row>
    <row r="696" spans="1:11" x14ac:dyDescent="0.25">
      <c r="A696">
        <v>5049</v>
      </c>
      <c r="B696" s="1" t="s">
        <v>10</v>
      </c>
      <c r="C696" s="1" t="s">
        <v>51</v>
      </c>
      <c r="D696" s="2">
        <v>43050.375</v>
      </c>
      <c r="E696" s="2">
        <v>43055.75</v>
      </c>
      <c r="F696" s="1" t="s">
        <v>21</v>
      </c>
      <c r="G696" s="1" t="s">
        <v>38</v>
      </c>
      <c r="H696">
        <v>5</v>
      </c>
      <c r="I696">
        <v>12</v>
      </c>
      <c r="J696" s="3">
        <v>62</v>
      </c>
      <c r="K696" s="3">
        <f>+Treinamentos[[#This Row],[Alunos]]*Treinamentos[[#This Row],[Valor]]</f>
        <v>744</v>
      </c>
    </row>
    <row r="697" spans="1:11" x14ac:dyDescent="0.25">
      <c r="A697">
        <v>5050</v>
      </c>
      <c r="B697" s="1" t="s">
        <v>17</v>
      </c>
      <c r="C697" s="1" t="s">
        <v>60</v>
      </c>
      <c r="D697" s="2">
        <v>43052.791666666664</v>
      </c>
      <c r="E697" s="2">
        <v>43067.958333333336</v>
      </c>
      <c r="F697" s="1" t="s">
        <v>12</v>
      </c>
      <c r="G697" s="1" t="s">
        <v>24</v>
      </c>
      <c r="H697">
        <v>3</v>
      </c>
      <c r="I697">
        <v>11</v>
      </c>
      <c r="J697" s="3">
        <v>42</v>
      </c>
      <c r="K697" s="3">
        <f>+Treinamentos[[#This Row],[Alunos]]*Treinamentos[[#This Row],[Valor]]</f>
        <v>462</v>
      </c>
    </row>
    <row r="698" spans="1:11" x14ac:dyDescent="0.25">
      <c r="A698">
        <v>5051</v>
      </c>
      <c r="B698" s="1" t="s">
        <v>25</v>
      </c>
      <c r="C698" s="1" t="s">
        <v>53</v>
      </c>
      <c r="D698" s="2">
        <v>43052.791666666664</v>
      </c>
      <c r="E698" s="2">
        <v>43067.958333333336</v>
      </c>
      <c r="F698" s="1" t="s">
        <v>12</v>
      </c>
      <c r="G698" s="1" t="s">
        <v>19</v>
      </c>
      <c r="H698">
        <v>5</v>
      </c>
      <c r="I698">
        <v>12</v>
      </c>
      <c r="J698" s="3">
        <v>32</v>
      </c>
      <c r="K698" s="3">
        <f>+Treinamentos[[#This Row],[Alunos]]*Treinamentos[[#This Row],[Valor]]</f>
        <v>384</v>
      </c>
    </row>
    <row r="699" spans="1:11" x14ac:dyDescent="0.25">
      <c r="A699">
        <v>5052</v>
      </c>
      <c r="B699" s="1" t="s">
        <v>17</v>
      </c>
      <c r="C699" s="1" t="s">
        <v>57</v>
      </c>
      <c r="D699" s="2">
        <v>43053.791666666664</v>
      </c>
      <c r="E699" s="2">
        <v>43068.958333333336</v>
      </c>
      <c r="F699" s="1" t="s">
        <v>12</v>
      </c>
      <c r="G699" s="1" t="s">
        <v>36</v>
      </c>
      <c r="H699">
        <v>3</v>
      </c>
      <c r="I699">
        <v>12</v>
      </c>
      <c r="J699" s="3">
        <v>52</v>
      </c>
      <c r="K699" s="3">
        <f>+Treinamentos[[#This Row],[Alunos]]*Treinamentos[[#This Row],[Valor]]</f>
        <v>624</v>
      </c>
    </row>
    <row r="700" spans="1:11" x14ac:dyDescent="0.25">
      <c r="A700">
        <v>5053</v>
      </c>
      <c r="B700" s="1" t="s">
        <v>41</v>
      </c>
      <c r="C700" s="1" t="s">
        <v>55</v>
      </c>
      <c r="D700" s="2">
        <v>43054.583333333336</v>
      </c>
      <c r="E700" s="2">
        <v>43069.75</v>
      </c>
      <c r="F700" s="1" t="s">
        <v>12</v>
      </c>
      <c r="G700" s="1" t="s">
        <v>19</v>
      </c>
      <c r="H700">
        <v>3</v>
      </c>
      <c r="I700">
        <v>11</v>
      </c>
      <c r="J700" s="3">
        <v>75</v>
      </c>
      <c r="K700" s="3">
        <f>+Treinamentos[[#This Row],[Alunos]]*Treinamentos[[#This Row],[Valor]]</f>
        <v>825</v>
      </c>
    </row>
    <row r="701" spans="1:11" x14ac:dyDescent="0.25">
      <c r="A701">
        <v>5054</v>
      </c>
      <c r="B701" s="1" t="s">
        <v>25</v>
      </c>
      <c r="C701" s="1" t="s">
        <v>57</v>
      </c>
      <c r="D701" s="2">
        <v>43055.375</v>
      </c>
      <c r="E701" s="2">
        <v>43062.75</v>
      </c>
      <c r="F701" s="1" t="s">
        <v>21</v>
      </c>
      <c r="G701" s="1" t="s">
        <v>19</v>
      </c>
      <c r="H701">
        <v>2</v>
      </c>
      <c r="I701">
        <v>11</v>
      </c>
      <c r="J701" s="3">
        <v>52</v>
      </c>
      <c r="K701" s="3">
        <f>+Treinamentos[[#This Row],[Alunos]]*Treinamentos[[#This Row],[Valor]]</f>
        <v>572</v>
      </c>
    </row>
    <row r="702" spans="1:11" x14ac:dyDescent="0.25">
      <c r="A702">
        <v>5055</v>
      </c>
      <c r="B702" s="1" t="s">
        <v>17</v>
      </c>
      <c r="C702" s="1" t="s">
        <v>60</v>
      </c>
      <c r="D702" s="2">
        <v>43056.333333333336</v>
      </c>
      <c r="E702" s="2">
        <v>43070.5</v>
      </c>
      <c r="F702" s="1" t="s">
        <v>12</v>
      </c>
      <c r="G702" s="1" t="s">
        <v>24</v>
      </c>
      <c r="H702">
        <v>3</v>
      </c>
      <c r="I702">
        <v>11</v>
      </c>
      <c r="J702" s="3">
        <v>42</v>
      </c>
      <c r="K702" s="3">
        <f>+Treinamentos[[#This Row],[Alunos]]*Treinamentos[[#This Row],[Valor]]</f>
        <v>462</v>
      </c>
    </row>
    <row r="703" spans="1:11" x14ac:dyDescent="0.25">
      <c r="A703">
        <v>5056</v>
      </c>
      <c r="B703" s="1" t="s">
        <v>30</v>
      </c>
      <c r="C703" s="1" t="s">
        <v>49</v>
      </c>
      <c r="D703" s="2">
        <v>43057.375</v>
      </c>
      <c r="E703" s="2">
        <v>43062.75</v>
      </c>
      <c r="F703" s="1" t="s">
        <v>21</v>
      </c>
      <c r="G703" s="1" t="s">
        <v>33</v>
      </c>
      <c r="H703">
        <v>4</v>
      </c>
      <c r="I703">
        <v>12</v>
      </c>
      <c r="J703" s="3">
        <v>53</v>
      </c>
      <c r="K703" s="3">
        <f>+Treinamentos[[#This Row],[Alunos]]*Treinamentos[[#This Row],[Valor]]</f>
        <v>636</v>
      </c>
    </row>
    <row r="704" spans="1:11" x14ac:dyDescent="0.25">
      <c r="A704">
        <v>5057</v>
      </c>
      <c r="B704" s="1" t="s">
        <v>41</v>
      </c>
      <c r="C704" s="1" t="s">
        <v>53</v>
      </c>
      <c r="D704" s="2">
        <v>43059.791666666664</v>
      </c>
      <c r="E704" s="2">
        <v>43073.958333333336</v>
      </c>
      <c r="F704" s="1" t="s">
        <v>12</v>
      </c>
      <c r="G704" s="1" t="s">
        <v>24</v>
      </c>
      <c r="H704">
        <v>5</v>
      </c>
      <c r="I704">
        <v>12</v>
      </c>
      <c r="J704" s="3">
        <v>32</v>
      </c>
      <c r="K704" s="3">
        <f>+Treinamentos[[#This Row],[Alunos]]*Treinamentos[[#This Row],[Valor]]</f>
        <v>384</v>
      </c>
    </row>
    <row r="705" spans="1:11" x14ac:dyDescent="0.25">
      <c r="A705">
        <v>5058</v>
      </c>
      <c r="B705" s="1" t="s">
        <v>41</v>
      </c>
      <c r="C705" s="1" t="s">
        <v>60</v>
      </c>
      <c r="D705" s="2">
        <v>43059.791666666664</v>
      </c>
      <c r="E705" s="2">
        <v>43073.958333333336</v>
      </c>
      <c r="F705" s="1" t="s">
        <v>21</v>
      </c>
      <c r="G705" s="1" t="s">
        <v>19</v>
      </c>
      <c r="H705">
        <v>4</v>
      </c>
      <c r="I705">
        <v>8</v>
      </c>
      <c r="J705" s="3">
        <v>42</v>
      </c>
      <c r="K705" s="3">
        <f>+Treinamentos[[#This Row],[Alunos]]*Treinamentos[[#This Row],[Valor]]</f>
        <v>336</v>
      </c>
    </row>
    <row r="706" spans="1:11" x14ac:dyDescent="0.25">
      <c r="A706">
        <v>5059</v>
      </c>
      <c r="B706" s="1" t="s">
        <v>14</v>
      </c>
      <c r="C706" s="1" t="s">
        <v>55</v>
      </c>
      <c r="D706" s="2">
        <v>43060.791666666664</v>
      </c>
      <c r="E706" s="2">
        <v>43074.958333333336</v>
      </c>
      <c r="F706" s="1" t="s">
        <v>12</v>
      </c>
      <c r="G706" s="1" t="s">
        <v>36</v>
      </c>
      <c r="H706">
        <v>3</v>
      </c>
      <c r="I706">
        <v>11</v>
      </c>
      <c r="J706" s="3">
        <v>75</v>
      </c>
      <c r="K706" s="3">
        <f>+Treinamentos[[#This Row],[Alunos]]*Treinamentos[[#This Row],[Valor]]</f>
        <v>825</v>
      </c>
    </row>
    <row r="707" spans="1:11" x14ac:dyDescent="0.25">
      <c r="A707">
        <v>5060</v>
      </c>
      <c r="B707" s="1" t="s">
        <v>30</v>
      </c>
      <c r="C707" s="1" t="s">
        <v>53</v>
      </c>
      <c r="D707" s="2">
        <v>43061.583333333336</v>
      </c>
      <c r="E707" s="2">
        <v>43075.75</v>
      </c>
      <c r="F707" s="1" t="s">
        <v>12</v>
      </c>
      <c r="G707" s="1" t="s">
        <v>36</v>
      </c>
      <c r="H707">
        <v>5</v>
      </c>
      <c r="I707">
        <v>9</v>
      </c>
      <c r="J707" s="3">
        <v>32</v>
      </c>
      <c r="K707" s="3">
        <f>+Treinamentos[[#This Row],[Alunos]]*Treinamentos[[#This Row],[Valor]]</f>
        <v>288</v>
      </c>
    </row>
    <row r="708" spans="1:11" x14ac:dyDescent="0.25">
      <c r="A708">
        <v>5061</v>
      </c>
      <c r="B708" s="1" t="s">
        <v>10</v>
      </c>
      <c r="C708" s="1" t="s">
        <v>50</v>
      </c>
      <c r="D708" s="2">
        <v>43062.375</v>
      </c>
      <c r="E708" s="2">
        <v>43069.75</v>
      </c>
      <c r="F708" s="1" t="s">
        <v>21</v>
      </c>
      <c r="G708" s="1" t="s">
        <v>44</v>
      </c>
      <c r="H708">
        <v>2</v>
      </c>
      <c r="I708">
        <v>8</v>
      </c>
      <c r="J708" s="3">
        <v>35</v>
      </c>
      <c r="K708" s="3">
        <f>+Treinamentos[[#This Row],[Alunos]]*Treinamentos[[#This Row],[Valor]]</f>
        <v>280</v>
      </c>
    </row>
    <row r="709" spans="1:11" x14ac:dyDescent="0.25">
      <c r="A709">
        <v>5062</v>
      </c>
      <c r="B709" s="1" t="s">
        <v>30</v>
      </c>
      <c r="C709" s="1" t="s">
        <v>59</v>
      </c>
      <c r="D709" s="2">
        <v>43063.333333333336</v>
      </c>
      <c r="E709" s="2">
        <v>43077.5</v>
      </c>
      <c r="F709" s="1" t="s">
        <v>21</v>
      </c>
      <c r="G709" s="1" t="s">
        <v>13</v>
      </c>
      <c r="H709">
        <v>2</v>
      </c>
      <c r="I709">
        <v>8</v>
      </c>
      <c r="J709" s="3">
        <v>48</v>
      </c>
      <c r="K709" s="3">
        <f>+Treinamentos[[#This Row],[Alunos]]*Treinamentos[[#This Row],[Valor]]</f>
        <v>384</v>
      </c>
    </row>
    <row r="710" spans="1:11" x14ac:dyDescent="0.25">
      <c r="A710">
        <v>5063</v>
      </c>
      <c r="B710" s="1" t="s">
        <v>28</v>
      </c>
      <c r="C710" s="1" t="s">
        <v>55</v>
      </c>
      <c r="D710" s="2">
        <v>43064.375</v>
      </c>
      <c r="E710" s="2">
        <v>43070.75</v>
      </c>
      <c r="F710" s="1" t="s">
        <v>12</v>
      </c>
      <c r="G710" s="1" t="s">
        <v>34</v>
      </c>
      <c r="H710">
        <v>2</v>
      </c>
      <c r="I710">
        <v>11</v>
      </c>
      <c r="J710" s="3">
        <v>75</v>
      </c>
      <c r="K710" s="3">
        <f>+Treinamentos[[#This Row],[Alunos]]*Treinamentos[[#This Row],[Valor]]</f>
        <v>825</v>
      </c>
    </row>
    <row r="711" spans="1:11" x14ac:dyDescent="0.25">
      <c r="A711">
        <v>5064</v>
      </c>
      <c r="B711" s="1" t="s">
        <v>17</v>
      </c>
      <c r="C711" s="1" t="s">
        <v>60</v>
      </c>
      <c r="D711" s="2">
        <v>43066.791666666664</v>
      </c>
      <c r="E711" s="2">
        <v>43077.958333333336</v>
      </c>
      <c r="F711" s="1" t="s">
        <v>21</v>
      </c>
      <c r="G711" s="1" t="s">
        <v>33</v>
      </c>
      <c r="H711">
        <v>5</v>
      </c>
      <c r="I711">
        <v>12</v>
      </c>
      <c r="J711" s="3">
        <v>42</v>
      </c>
      <c r="K711" s="3">
        <f>+Treinamentos[[#This Row],[Alunos]]*Treinamentos[[#This Row],[Valor]]</f>
        <v>504</v>
      </c>
    </row>
    <row r="712" spans="1:11" x14ac:dyDescent="0.25">
      <c r="A712">
        <v>5065</v>
      </c>
      <c r="B712" s="1" t="s">
        <v>25</v>
      </c>
      <c r="C712" s="1" t="s">
        <v>55</v>
      </c>
      <c r="D712" s="2">
        <v>43066.791666666664</v>
      </c>
      <c r="E712" s="2">
        <v>43077.958333333336</v>
      </c>
      <c r="F712" s="1" t="s">
        <v>12</v>
      </c>
      <c r="G712" s="1" t="s">
        <v>24</v>
      </c>
      <c r="H712">
        <v>4</v>
      </c>
      <c r="I712">
        <v>12</v>
      </c>
      <c r="J712" s="3">
        <v>75</v>
      </c>
      <c r="K712" s="3">
        <f>+Treinamentos[[#This Row],[Alunos]]*Treinamentos[[#This Row],[Valor]]</f>
        <v>900</v>
      </c>
    </row>
    <row r="713" spans="1:11" x14ac:dyDescent="0.25">
      <c r="A713">
        <v>5066</v>
      </c>
      <c r="B713" s="1" t="s">
        <v>16</v>
      </c>
      <c r="C713" s="1" t="s">
        <v>61</v>
      </c>
      <c r="D713" s="2">
        <v>43067.791666666664</v>
      </c>
      <c r="E713" s="2">
        <v>43080.958333333336</v>
      </c>
      <c r="F713" s="1" t="s">
        <v>12</v>
      </c>
      <c r="G713" s="1" t="s">
        <v>33</v>
      </c>
      <c r="H713">
        <v>3</v>
      </c>
      <c r="I713">
        <v>12</v>
      </c>
      <c r="J713" s="3">
        <v>62</v>
      </c>
      <c r="K713" s="3">
        <f>+Treinamentos[[#This Row],[Alunos]]*Treinamentos[[#This Row],[Valor]]</f>
        <v>744</v>
      </c>
    </row>
    <row r="714" spans="1:11" x14ac:dyDescent="0.25">
      <c r="A714">
        <v>5067</v>
      </c>
      <c r="B714" s="1" t="s">
        <v>30</v>
      </c>
      <c r="C714" s="1" t="s">
        <v>51</v>
      </c>
      <c r="D714" s="2">
        <v>43068.583333333336</v>
      </c>
      <c r="E714" s="2">
        <v>43081.75</v>
      </c>
      <c r="F714" s="1" t="s">
        <v>21</v>
      </c>
      <c r="G714" s="1" t="s">
        <v>34</v>
      </c>
      <c r="H714">
        <v>2</v>
      </c>
      <c r="I714">
        <v>11</v>
      </c>
      <c r="J714" s="3">
        <v>62</v>
      </c>
      <c r="K714" s="3">
        <f>+Treinamentos[[#This Row],[Alunos]]*Treinamentos[[#This Row],[Valor]]</f>
        <v>682</v>
      </c>
    </row>
    <row r="715" spans="1:11" x14ac:dyDescent="0.25">
      <c r="A715">
        <v>5068</v>
      </c>
      <c r="B715" s="1" t="s">
        <v>28</v>
      </c>
      <c r="C715" s="1" t="s">
        <v>53</v>
      </c>
      <c r="D715" s="2">
        <v>43069.375</v>
      </c>
      <c r="E715" s="2">
        <v>43075.75</v>
      </c>
      <c r="F715" s="1" t="s">
        <v>12</v>
      </c>
      <c r="G715" s="1" t="s">
        <v>33</v>
      </c>
      <c r="H715">
        <v>3</v>
      </c>
      <c r="I715">
        <v>12</v>
      </c>
      <c r="J715" s="3">
        <v>32</v>
      </c>
      <c r="K715" s="3">
        <f>+Treinamentos[[#This Row],[Alunos]]*Treinamentos[[#This Row],[Valor]]</f>
        <v>384</v>
      </c>
    </row>
    <row r="716" spans="1:11" x14ac:dyDescent="0.25">
      <c r="A716">
        <v>5069</v>
      </c>
      <c r="B716" s="1" t="s">
        <v>14</v>
      </c>
      <c r="C716" s="1" t="s">
        <v>51</v>
      </c>
      <c r="D716" s="2">
        <v>43070.333333333336</v>
      </c>
      <c r="E716" s="2">
        <v>43083.5</v>
      </c>
      <c r="F716" s="1" t="s">
        <v>21</v>
      </c>
      <c r="G716" s="1" t="s">
        <v>13</v>
      </c>
      <c r="H716">
        <v>2</v>
      </c>
      <c r="I716">
        <v>8</v>
      </c>
      <c r="J716" s="3">
        <v>62</v>
      </c>
      <c r="K716" s="3">
        <f>+Treinamentos[[#This Row],[Alunos]]*Treinamentos[[#This Row],[Valor]]</f>
        <v>496</v>
      </c>
    </row>
    <row r="717" spans="1:11" x14ac:dyDescent="0.25">
      <c r="A717">
        <v>5070</v>
      </c>
      <c r="B717" s="1" t="s">
        <v>28</v>
      </c>
      <c r="C717" s="1" t="s">
        <v>50</v>
      </c>
      <c r="D717" s="2">
        <v>43071.375</v>
      </c>
      <c r="E717" s="2">
        <v>43076.75</v>
      </c>
      <c r="F717" s="1" t="s">
        <v>21</v>
      </c>
      <c r="G717" s="1" t="s">
        <v>47</v>
      </c>
      <c r="H717">
        <v>4</v>
      </c>
      <c r="I717">
        <v>12</v>
      </c>
      <c r="J717" s="3">
        <v>35</v>
      </c>
      <c r="K717" s="3">
        <f>+Treinamentos[[#This Row],[Alunos]]*Treinamentos[[#This Row],[Valor]]</f>
        <v>420</v>
      </c>
    </row>
    <row r="718" spans="1:11" x14ac:dyDescent="0.25">
      <c r="A718">
        <v>5071</v>
      </c>
      <c r="B718" s="1" t="s">
        <v>17</v>
      </c>
      <c r="C718" s="1" t="s">
        <v>58</v>
      </c>
      <c r="D718" s="2">
        <v>43073.791666666664</v>
      </c>
      <c r="E718" s="2">
        <v>43084.958333333336</v>
      </c>
      <c r="F718" s="1" t="s">
        <v>21</v>
      </c>
      <c r="G718" s="1" t="s">
        <v>19</v>
      </c>
      <c r="H718">
        <v>3</v>
      </c>
      <c r="I718">
        <v>11</v>
      </c>
      <c r="J718" s="3">
        <v>48</v>
      </c>
      <c r="K718" s="3">
        <f>+Treinamentos[[#This Row],[Alunos]]*Treinamentos[[#This Row],[Valor]]</f>
        <v>528</v>
      </c>
    </row>
    <row r="719" spans="1:11" x14ac:dyDescent="0.25">
      <c r="A719">
        <v>5072</v>
      </c>
      <c r="B719" s="1" t="s">
        <v>37</v>
      </c>
      <c r="C719" s="1" t="s">
        <v>56</v>
      </c>
      <c r="D719" s="2">
        <v>43073.791666666664</v>
      </c>
      <c r="E719" s="2">
        <v>43084.958333333336</v>
      </c>
      <c r="F719" s="1" t="s">
        <v>21</v>
      </c>
      <c r="G719" s="1" t="s">
        <v>24</v>
      </c>
      <c r="H719">
        <v>2</v>
      </c>
      <c r="I719">
        <v>8</v>
      </c>
      <c r="J719" s="3">
        <v>63</v>
      </c>
      <c r="K719" s="3">
        <f>+Treinamentos[[#This Row],[Alunos]]*Treinamentos[[#This Row],[Valor]]</f>
        <v>504</v>
      </c>
    </row>
    <row r="720" spans="1:11" x14ac:dyDescent="0.25">
      <c r="A720">
        <v>5073</v>
      </c>
      <c r="B720" s="1" t="s">
        <v>37</v>
      </c>
      <c r="C720" s="1" t="s">
        <v>57</v>
      </c>
      <c r="D720" s="2">
        <v>43074.791666666664</v>
      </c>
      <c r="E720" s="2">
        <v>43087.958333333336</v>
      </c>
      <c r="F720" s="1" t="s">
        <v>21</v>
      </c>
      <c r="G720" s="1" t="s">
        <v>34</v>
      </c>
      <c r="H720">
        <v>2</v>
      </c>
      <c r="I720">
        <v>11</v>
      </c>
      <c r="J720" s="3">
        <v>52</v>
      </c>
      <c r="K720" s="3">
        <f>+Treinamentos[[#This Row],[Alunos]]*Treinamentos[[#This Row],[Valor]]</f>
        <v>572</v>
      </c>
    </row>
    <row r="721" spans="1:11" x14ac:dyDescent="0.25">
      <c r="A721">
        <v>5074</v>
      </c>
      <c r="B721" s="1" t="s">
        <v>16</v>
      </c>
      <c r="C721" s="1" t="s">
        <v>53</v>
      </c>
      <c r="D721" s="2">
        <v>43075.583333333336</v>
      </c>
      <c r="E721" s="2">
        <v>43088.75</v>
      </c>
      <c r="F721" s="1" t="s">
        <v>21</v>
      </c>
      <c r="G721" s="1" t="s">
        <v>47</v>
      </c>
      <c r="H721">
        <v>4</v>
      </c>
      <c r="I721">
        <v>9</v>
      </c>
      <c r="J721" s="3">
        <v>32</v>
      </c>
      <c r="K721" s="3">
        <f>+Treinamentos[[#This Row],[Alunos]]*Treinamentos[[#This Row],[Valor]]</f>
        <v>288</v>
      </c>
    </row>
    <row r="722" spans="1:11" x14ac:dyDescent="0.25">
      <c r="A722">
        <v>5075</v>
      </c>
      <c r="B722" s="1" t="s">
        <v>28</v>
      </c>
      <c r="C722" s="1" t="s">
        <v>53</v>
      </c>
      <c r="D722" s="2">
        <v>43076.375</v>
      </c>
      <c r="E722" s="2">
        <v>43082.75</v>
      </c>
      <c r="F722" s="1" t="s">
        <v>12</v>
      </c>
      <c r="G722" s="1" t="s">
        <v>22</v>
      </c>
      <c r="H722">
        <v>3</v>
      </c>
      <c r="I722">
        <v>9</v>
      </c>
      <c r="J722" s="3">
        <v>32</v>
      </c>
      <c r="K722" s="3">
        <f>+Treinamentos[[#This Row],[Alunos]]*Treinamentos[[#This Row],[Valor]]</f>
        <v>288</v>
      </c>
    </row>
    <row r="723" spans="1:11" x14ac:dyDescent="0.25">
      <c r="A723">
        <v>5076</v>
      </c>
      <c r="B723" s="1" t="s">
        <v>10</v>
      </c>
      <c r="C723" s="1" t="s">
        <v>55</v>
      </c>
      <c r="D723" s="2">
        <v>43077.333333333336</v>
      </c>
      <c r="E723" s="2">
        <v>43090.5</v>
      </c>
      <c r="F723" s="1" t="s">
        <v>21</v>
      </c>
      <c r="G723" s="1" t="s">
        <v>27</v>
      </c>
      <c r="H723">
        <v>5</v>
      </c>
      <c r="I723">
        <v>8</v>
      </c>
      <c r="J723" s="3">
        <v>75</v>
      </c>
      <c r="K723" s="3">
        <f>+Treinamentos[[#This Row],[Alunos]]*Treinamentos[[#This Row],[Valor]]</f>
        <v>600</v>
      </c>
    </row>
    <row r="724" spans="1:11" x14ac:dyDescent="0.25">
      <c r="A724">
        <v>5077</v>
      </c>
      <c r="B724" s="1" t="s">
        <v>14</v>
      </c>
      <c r="C724" s="1" t="s">
        <v>57</v>
      </c>
      <c r="D724" s="2">
        <v>43078.375</v>
      </c>
      <c r="E724" s="2">
        <v>43083.75</v>
      </c>
      <c r="F724" s="1" t="s">
        <v>12</v>
      </c>
      <c r="G724" s="1" t="s">
        <v>34</v>
      </c>
      <c r="H724">
        <v>2</v>
      </c>
      <c r="I724">
        <v>10</v>
      </c>
      <c r="J724" s="3">
        <v>52</v>
      </c>
      <c r="K724" s="3">
        <f>+Treinamentos[[#This Row],[Alunos]]*Treinamentos[[#This Row],[Valor]]</f>
        <v>520</v>
      </c>
    </row>
    <row r="725" spans="1:11" x14ac:dyDescent="0.25">
      <c r="A725">
        <v>5078</v>
      </c>
      <c r="B725" s="1" t="s">
        <v>25</v>
      </c>
      <c r="C725" s="1" t="s">
        <v>57</v>
      </c>
      <c r="D725" s="2">
        <v>43080.791666666664</v>
      </c>
      <c r="E725" s="2">
        <v>43091.958333333336</v>
      </c>
      <c r="F725" s="1" t="s">
        <v>12</v>
      </c>
      <c r="G725" s="1" t="s">
        <v>19</v>
      </c>
      <c r="H725">
        <v>5</v>
      </c>
      <c r="I725">
        <v>11</v>
      </c>
      <c r="J725" s="3">
        <v>52</v>
      </c>
      <c r="K725" s="3">
        <f>+Treinamentos[[#This Row],[Alunos]]*Treinamentos[[#This Row],[Valor]]</f>
        <v>572</v>
      </c>
    </row>
    <row r="726" spans="1:11" x14ac:dyDescent="0.25">
      <c r="A726">
        <v>5079</v>
      </c>
      <c r="B726" s="1" t="s">
        <v>30</v>
      </c>
      <c r="C726" s="1" t="s">
        <v>53</v>
      </c>
      <c r="D726" s="2">
        <v>43080.791666666664</v>
      </c>
      <c r="E726" s="2">
        <v>43091.958333333336</v>
      </c>
      <c r="F726" s="1" t="s">
        <v>12</v>
      </c>
      <c r="G726" s="1" t="s">
        <v>32</v>
      </c>
      <c r="H726">
        <v>5</v>
      </c>
      <c r="I726">
        <v>8</v>
      </c>
      <c r="J726" s="3">
        <v>32</v>
      </c>
      <c r="K726" s="3">
        <f>+Treinamentos[[#This Row],[Alunos]]*Treinamentos[[#This Row],[Valor]]</f>
        <v>256</v>
      </c>
    </row>
    <row r="727" spans="1:11" x14ac:dyDescent="0.25">
      <c r="A727">
        <v>5080</v>
      </c>
      <c r="B727" s="1" t="s">
        <v>16</v>
      </c>
      <c r="C727" s="1" t="s">
        <v>50</v>
      </c>
      <c r="D727" s="2">
        <v>43081.791666666664</v>
      </c>
      <c r="E727" s="2">
        <v>43094.958333333336</v>
      </c>
      <c r="F727" s="1" t="s">
        <v>21</v>
      </c>
      <c r="G727" s="1" t="s">
        <v>32</v>
      </c>
      <c r="H727">
        <v>4</v>
      </c>
      <c r="I727">
        <v>12</v>
      </c>
      <c r="J727" s="3">
        <v>35</v>
      </c>
      <c r="K727" s="3">
        <f>+Treinamentos[[#This Row],[Alunos]]*Treinamentos[[#This Row],[Valor]]</f>
        <v>420</v>
      </c>
    </row>
    <row r="728" spans="1:11" x14ac:dyDescent="0.25">
      <c r="A728">
        <v>5081</v>
      </c>
      <c r="B728" s="1" t="s">
        <v>10</v>
      </c>
      <c r="C728" s="1" t="s">
        <v>54</v>
      </c>
      <c r="D728" s="2">
        <v>43082.583333333336</v>
      </c>
      <c r="E728" s="2">
        <v>43095.75</v>
      </c>
      <c r="F728" s="1" t="s">
        <v>12</v>
      </c>
      <c r="G728" s="1" t="s">
        <v>16</v>
      </c>
      <c r="H728">
        <v>4</v>
      </c>
      <c r="I728">
        <v>10</v>
      </c>
      <c r="J728" s="3">
        <v>43</v>
      </c>
      <c r="K728" s="3">
        <f>+Treinamentos[[#This Row],[Alunos]]*Treinamentos[[#This Row],[Valor]]</f>
        <v>430</v>
      </c>
    </row>
    <row r="729" spans="1:11" x14ac:dyDescent="0.25">
      <c r="A729">
        <v>5082</v>
      </c>
      <c r="B729" s="1" t="s">
        <v>37</v>
      </c>
      <c r="C729" s="1" t="s">
        <v>51</v>
      </c>
      <c r="D729" s="2">
        <v>43083.375</v>
      </c>
      <c r="E729" s="2">
        <v>43089.75</v>
      </c>
      <c r="F729" s="1" t="s">
        <v>21</v>
      </c>
      <c r="G729" s="1" t="s">
        <v>33</v>
      </c>
      <c r="H729">
        <v>5</v>
      </c>
      <c r="I729">
        <v>10</v>
      </c>
      <c r="J729" s="3">
        <v>62</v>
      </c>
      <c r="K729" s="3">
        <f>+Treinamentos[[#This Row],[Alunos]]*Treinamentos[[#This Row],[Valor]]</f>
        <v>620</v>
      </c>
    </row>
    <row r="730" spans="1:11" x14ac:dyDescent="0.25">
      <c r="A730">
        <v>5083</v>
      </c>
      <c r="B730" s="1" t="s">
        <v>41</v>
      </c>
      <c r="C730" s="1" t="s">
        <v>51</v>
      </c>
      <c r="D730" s="2">
        <v>43084.333333333336</v>
      </c>
      <c r="E730" s="2">
        <v>43097.5</v>
      </c>
      <c r="F730" s="1" t="s">
        <v>12</v>
      </c>
      <c r="G730" s="1" t="s">
        <v>33</v>
      </c>
      <c r="H730">
        <v>2</v>
      </c>
      <c r="I730">
        <v>10</v>
      </c>
      <c r="J730" s="3">
        <v>62</v>
      </c>
      <c r="K730" s="3">
        <f>+Treinamentos[[#This Row],[Alunos]]*Treinamentos[[#This Row],[Valor]]</f>
        <v>620</v>
      </c>
    </row>
    <row r="731" spans="1:11" x14ac:dyDescent="0.25">
      <c r="A731">
        <v>5084</v>
      </c>
      <c r="B731" s="1" t="s">
        <v>25</v>
      </c>
      <c r="C731" s="1" t="s">
        <v>51</v>
      </c>
      <c r="D731" s="2">
        <v>43085.375</v>
      </c>
      <c r="E731" s="2">
        <v>43090.75</v>
      </c>
      <c r="F731" s="1" t="s">
        <v>21</v>
      </c>
      <c r="G731" s="1" t="s">
        <v>34</v>
      </c>
      <c r="H731">
        <v>3</v>
      </c>
      <c r="I731">
        <v>11</v>
      </c>
      <c r="J731" s="3">
        <v>62</v>
      </c>
      <c r="K731" s="3">
        <f>+Treinamentos[[#This Row],[Alunos]]*Treinamentos[[#This Row],[Valor]]</f>
        <v>682</v>
      </c>
    </row>
    <row r="732" spans="1:11" x14ac:dyDescent="0.25">
      <c r="A732">
        <v>5085</v>
      </c>
      <c r="B732" s="1" t="s">
        <v>25</v>
      </c>
      <c r="C732" s="1" t="s">
        <v>56</v>
      </c>
      <c r="D732" s="2">
        <v>43087.791666666664</v>
      </c>
      <c r="E732" s="2">
        <v>43098.958333333336</v>
      </c>
      <c r="F732" s="1" t="s">
        <v>12</v>
      </c>
      <c r="G732" s="1" t="s">
        <v>24</v>
      </c>
      <c r="H732">
        <v>5</v>
      </c>
      <c r="I732">
        <v>10</v>
      </c>
      <c r="J732" s="3">
        <v>63</v>
      </c>
      <c r="K732" s="3">
        <f>+Treinamentos[[#This Row],[Alunos]]*Treinamentos[[#This Row],[Valor]]</f>
        <v>630</v>
      </c>
    </row>
    <row r="733" spans="1:11" x14ac:dyDescent="0.25">
      <c r="A733">
        <v>5086</v>
      </c>
      <c r="B733" s="1" t="s">
        <v>16</v>
      </c>
      <c r="C733" s="1" t="s">
        <v>50</v>
      </c>
      <c r="D733" s="2">
        <v>43087.791666666664</v>
      </c>
      <c r="E733" s="2">
        <v>43098.958333333336</v>
      </c>
      <c r="F733" s="1" t="s">
        <v>21</v>
      </c>
      <c r="G733" s="1" t="s">
        <v>19</v>
      </c>
      <c r="H733">
        <v>5</v>
      </c>
      <c r="I733">
        <v>9</v>
      </c>
      <c r="J733" s="3">
        <v>35</v>
      </c>
      <c r="K733" s="3">
        <f>+Treinamentos[[#This Row],[Alunos]]*Treinamentos[[#This Row],[Valor]]</f>
        <v>315</v>
      </c>
    </row>
    <row r="734" spans="1:11" x14ac:dyDescent="0.25">
      <c r="A734">
        <v>5087</v>
      </c>
      <c r="B734" s="1" t="s">
        <v>17</v>
      </c>
      <c r="C734" s="1" t="s">
        <v>53</v>
      </c>
      <c r="D734" s="2">
        <v>43088.791666666664</v>
      </c>
      <c r="E734" s="2">
        <v>43101.958333333336</v>
      </c>
      <c r="F734" s="1" t="s">
        <v>12</v>
      </c>
      <c r="G734" s="1" t="s">
        <v>47</v>
      </c>
      <c r="H734">
        <v>3</v>
      </c>
      <c r="I734">
        <v>9</v>
      </c>
      <c r="J734" s="3">
        <v>32</v>
      </c>
      <c r="K734" s="3">
        <f>+Treinamentos[[#This Row],[Alunos]]*Treinamentos[[#This Row],[Valor]]</f>
        <v>288</v>
      </c>
    </row>
    <row r="735" spans="1:11" x14ac:dyDescent="0.25">
      <c r="A735">
        <v>5088</v>
      </c>
      <c r="B735" s="1" t="s">
        <v>14</v>
      </c>
      <c r="C735" s="1" t="s">
        <v>51</v>
      </c>
      <c r="D735" s="2">
        <v>43089.583333333336</v>
      </c>
      <c r="E735" s="2">
        <v>43102.75</v>
      </c>
      <c r="F735" s="1" t="s">
        <v>21</v>
      </c>
      <c r="G735" s="1" t="s">
        <v>48</v>
      </c>
      <c r="H735">
        <v>3</v>
      </c>
      <c r="I735">
        <v>9</v>
      </c>
      <c r="J735" s="3">
        <v>62</v>
      </c>
      <c r="K735" s="3">
        <f>+Treinamentos[[#This Row],[Alunos]]*Treinamentos[[#This Row],[Valor]]</f>
        <v>558</v>
      </c>
    </row>
    <row r="736" spans="1:11" x14ac:dyDescent="0.25">
      <c r="A736">
        <v>5089</v>
      </c>
      <c r="B736" s="1" t="s">
        <v>30</v>
      </c>
      <c r="C736" s="1" t="s">
        <v>55</v>
      </c>
      <c r="D736" s="2">
        <v>43090.375</v>
      </c>
      <c r="E736" s="2">
        <v>43096.75</v>
      </c>
      <c r="F736" s="1" t="s">
        <v>12</v>
      </c>
      <c r="G736" s="1" t="s">
        <v>47</v>
      </c>
      <c r="H736">
        <v>5</v>
      </c>
      <c r="I736">
        <v>10</v>
      </c>
      <c r="J736" s="3">
        <v>75</v>
      </c>
      <c r="K736" s="3">
        <f>+Treinamentos[[#This Row],[Alunos]]*Treinamentos[[#This Row],[Valor]]</f>
        <v>750</v>
      </c>
    </row>
    <row r="737" spans="1:11" x14ac:dyDescent="0.25">
      <c r="A737">
        <v>5090</v>
      </c>
      <c r="B737" s="1" t="s">
        <v>16</v>
      </c>
      <c r="C737" s="1" t="s">
        <v>61</v>
      </c>
      <c r="D737" s="2">
        <v>43091.333333333336</v>
      </c>
      <c r="E737" s="2">
        <v>43104.5</v>
      </c>
      <c r="F737" s="1" t="s">
        <v>21</v>
      </c>
      <c r="G737" s="1" t="s">
        <v>32</v>
      </c>
      <c r="H737">
        <v>4</v>
      </c>
      <c r="I737">
        <v>11</v>
      </c>
      <c r="J737" s="3">
        <v>62</v>
      </c>
      <c r="K737" s="3">
        <f>+Treinamentos[[#This Row],[Alunos]]*Treinamentos[[#This Row],[Valor]]</f>
        <v>682</v>
      </c>
    </row>
    <row r="738" spans="1:11" x14ac:dyDescent="0.25">
      <c r="A738">
        <v>5091</v>
      </c>
      <c r="B738" s="1" t="s">
        <v>25</v>
      </c>
      <c r="C738" s="1" t="s">
        <v>53</v>
      </c>
      <c r="D738" s="2">
        <v>43092.375</v>
      </c>
      <c r="E738" s="2">
        <v>43097.75</v>
      </c>
      <c r="F738" s="1" t="s">
        <v>12</v>
      </c>
      <c r="G738" s="1" t="s">
        <v>44</v>
      </c>
      <c r="H738">
        <v>4</v>
      </c>
      <c r="I738">
        <v>12</v>
      </c>
      <c r="J738" s="3">
        <v>32</v>
      </c>
      <c r="K738" s="3">
        <f>+Treinamentos[[#This Row],[Alunos]]*Treinamentos[[#This Row],[Valor]]</f>
        <v>384</v>
      </c>
    </row>
    <row r="739" spans="1:11" x14ac:dyDescent="0.25">
      <c r="A739">
        <v>5092</v>
      </c>
      <c r="B739" s="1" t="s">
        <v>37</v>
      </c>
      <c r="C739" s="1" t="s">
        <v>51</v>
      </c>
      <c r="D739" s="2">
        <v>43094.791666666664</v>
      </c>
      <c r="E739" s="2">
        <v>43105.958333333336</v>
      </c>
      <c r="F739" s="1" t="s">
        <v>12</v>
      </c>
      <c r="G739" s="1" t="s">
        <v>24</v>
      </c>
      <c r="H739">
        <v>2</v>
      </c>
      <c r="I739">
        <v>9</v>
      </c>
      <c r="J739" s="3">
        <v>62</v>
      </c>
      <c r="K739" s="3">
        <f>+Treinamentos[[#This Row],[Alunos]]*Treinamentos[[#This Row],[Valor]]</f>
        <v>558</v>
      </c>
    </row>
    <row r="740" spans="1:11" x14ac:dyDescent="0.25">
      <c r="A740">
        <v>5093</v>
      </c>
      <c r="B740" s="1" t="s">
        <v>16</v>
      </c>
      <c r="C740" s="1" t="s">
        <v>58</v>
      </c>
      <c r="D740" s="2">
        <v>43094.791666666664</v>
      </c>
      <c r="E740" s="2">
        <v>43105.958333333336</v>
      </c>
      <c r="F740" s="1" t="s">
        <v>12</v>
      </c>
      <c r="G740" s="1" t="s">
        <v>32</v>
      </c>
      <c r="H740">
        <v>3</v>
      </c>
      <c r="I740">
        <v>10</v>
      </c>
      <c r="J740" s="3">
        <v>48</v>
      </c>
      <c r="K740" s="3">
        <f>+Treinamentos[[#This Row],[Alunos]]*Treinamentos[[#This Row],[Valor]]</f>
        <v>480</v>
      </c>
    </row>
    <row r="741" spans="1:11" x14ac:dyDescent="0.25">
      <c r="A741">
        <v>5094</v>
      </c>
      <c r="B741" s="1" t="s">
        <v>16</v>
      </c>
      <c r="C741" s="1" t="s">
        <v>57</v>
      </c>
      <c r="D741" s="2">
        <v>43095.791666666664</v>
      </c>
      <c r="E741" s="2">
        <v>43108.958333333336</v>
      </c>
      <c r="F741" s="1" t="s">
        <v>12</v>
      </c>
      <c r="G741" s="1" t="s">
        <v>34</v>
      </c>
      <c r="H741">
        <v>3</v>
      </c>
      <c r="I741">
        <v>11</v>
      </c>
      <c r="J741" s="3">
        <v>52</v>
      </c>
      <c r="K741" s="3">
        <f>+Treinamentos[[#This Row],[Alunos]]*Treinamentos[[#This Row],[Valor]]</f>
        <v>572</v>
      </c>
    </row>
    <row r="742" spans="1:11" x14ac:dyDescent="0.25">
      <c r="A742">
        <v>5095</v>
      </c>
      <c r="B742" s="1" t="s">
        <v>16</v>
      </c>
      <c r="C742" s="1" t="s">
        <v>59</v>
      </c>
      <c r="D742" s="2">
        <v>43096.583333333336</v>
      </c>
      <c r="E742" s="2">
        <v>43109.75</v>
      </c>
      <c r="F742" s="1" t="s">
        <v>21</v>
      </c>
      <c r="G742" s="1" t="s">
        <v>24</v>
      </c>
      <c r="H742">
        <v>4</v>
      </c>
      <c r="I742">
        <v>12</v>
      </c>
      <c r="J742" s="3">
        <v>48</v>
      </c>
      <c r="K742" s="3">
        <f>+Treinamentos[[#This Row],[Alunos]]*Treinamentos[[#This Row],[Valor]]</f>
        <v>576</v>
      </c>
    </row>
    <row r="743" spans="1:11" x14ac:dyDescent="0.25">
      <c r="A743">
        <v>5096</v>
      </c>
      <c r="B743" s="1" t="s">
        <v>28</v>
      </c>
      <c r="C743" s="1" t="s">
        <v>49</v>
      </c>
      <c r="D743" s="2">
        <v>43097.375</v>
      </c>
      <c r="E743" s="2">
        <v>43103.75</v>
      </c>
      <c r="F743" s="1" t="s">
        <v>21</v>
      </c>
      <c r="G743" s="1" t="s">
        <v>22</v>
      </c>
      <c r="H743">
        <v>4</v>
      </c>
      <c r="I743">
        <v>12</v>
      </c>
      <c r="J743" s="3">
        <v>53</v>
      </c>
      <c r="K743" s="3">
        <f>+Treinamentos[[#This Row],[Alunos]]*Treinamentos[[#This Row],[Valor]]</f>
        <v>636</v>
      </c>
    </row>
    <row r="744" spans="1:11" x14ac:dyDescent="0.25">
      <c r="A744">
        <v>5097</v>
      </c>
      <c r="B744" s="1" t="s">
        <v>10</v>
      </c>
      <c r="C744" s="1" t="s">
        <v>49</v>
      </c>
      <c r="D744" s="2">
        <v>43098.333333333336</v>
      </c>
      <c r="E744" s="2">
        <v>43112.5</v>
      </c>
      <c r="F744" s="1" t="s">
        <v>12</v>
      </c>
      <c r="G744" s="1" t="s">
        <v>19</v>
      </c>
      <c r="H744">
        <v>5</v>
      </c>
      <c r="I744">
        <v>9</v>
      </c>
      <c r="J744" s="3">
        <v>53</v>
      </c>
      <c r="K744" s="3">
        <f>+Treinamentos[[#This Row],[Alunos]]*Treinamentos[[#This Row],[Valor]]</f>
        <v>477</v>
      </c>
    </row>
    <row r="745" spans="1:11" x14ac:dyDescent="0.25">
      <c r="A745">
        <v>5098</v>
      </c>
      <c r="B745" s="1" t="s">
        <v>37</v>
      </c>
      <c r="C745" s="1" t="s">
        <v>54</v>
      </c>
      <c r="D745" s="2">
        <v>43102.583333333336</v>
      </c>
      <c r="E745" s="2">
        <v>43115.75</v>
      </c>
      <c r="F745" s="1" t="s">
        <v>12</v>
      </c>
      <c r="G745" s="1" t="s">
        <v>27</v>
      </c>
      <c r="H745">
        <v>5</v>
      </c>
      <c r="I745">
        <v>12</v>
      </c>
      <c r="J745" s="3">
        <v>42</v>
      </c>
      <c r="K745" s="3">
        <f>+Treinamentos[[#This Row],[Alunos]]*Treinamentos[[#This Row],[Valor]]</f>
        <v>504</v>
      </c>
    </row>
    <row r="746" spans="1:11" x14ac:dyDescent="0.25">
      <c r="A746">
        <v>5099</v>
      </c>
      <c r="B746" s="1" t="s">
        <v>37</v>
      </c>
      <c r="C746" s="1" t="s">
        <v>59</v>
      </c>
      <c r="D746" s="2">
        <v>43102.583333333336</v>
      </c>
      <c r="E746" s="2">
        <v>43115.75</v>
      </c>
      <c r="F746" s="1" t="s">
        <v>21</v>
      </c>
      <c r="G746" s="1" t="s">
        <v>32</v>
      </c>
      <c r="H746">
        <v>2</v>
      </c>
      <c r="I746">
        <v>8</v>
      </c>
      <c r="J746" s="3">
        <v>47</v>
      </c>
      <c r="K746" s="3">
        <f>+Treinamentos[[#This Row],[Alunos]]*Treinamentos[[#This Row],[Valor]]</f>
        <v>376</v>
      </c>
    </row>
    <row r="747" spans="1:11" x14ac:dyDescent="0.25">
      <c r="A747">
        <v>5100</v>
      </c>
      <c r="B747" s="1" t="s">
        <v>28</v>
      </c>
      <c r="C747" s="1" t="s">
        <v>52</v>
      </c>
      <c r="D747" s="2">
        <v>43103.375</v>
      </c>
      <c r="E747" s="2">
        <v>43109.75</v>
      </c>
      <c r="F747" s="1" t="s">
        <v>12</v>
      </c>
      <c r="G747" s="1" t="s">
        <v>19</v>
      </c>
      <c r="H747">
        <v>5</v>
      </c>
      <c r="I747">
        <v>8</v>
      </c>
      <c r="J747" s="3">
        <v>47</v>
      </c>
      <c r="K747" s="3">
        <f>+Treinamentos[[#This Row],[Alunos]]*Treinamentos[[#This Row],[Valor]]</f>
        <v>376</v>
      </c>
    </row>
    <row r="748" spans="1:11" x14ac:dyDescent="0.25">
      <c r="A748">
        <v>5101</v>
      </c>
      <c r="B748" s="1" t="s">
        <v>30</v>
      </c>
      <c r="C748" s="1" t="s">
        <v>52</v>
      </c>
      <c r="D748" s="2">
        <v>43107.791666666664</v>
      </c>
      <c r="E748" s="2">
        <v>43118.958333333336</v>
      </c>
      <c r="F748" s="1" t="s">
        <v>12</v>
      </c>
      <c r="G748" s="1" t="s">
        <v>38</v>
      </c>
      <c r="H748">
        <v>5</v>
      </c>
      <c r="I748">
        <v>12</v>
      </c>
      <c r="J748" s="3">
        <v>47</v>
      </c>
      <c r="K748" s="3">
        <f>+Treinamentos[[#This Row],[Alunos]]*Treinamentos[[#This Row],[Valor]]</f>
        <v>564</v>
      </c>
    </row>
    <row r="749" spans="1:11" x14ac:dyDescent="0.25">
      <c r="A749">
        <v>5102</v>
      </c>
      <c r="B749" s="1" t="s">
        <v>25</v>
      </c>
      <c r="C749" s="1" t="s">
        <v>56</v>
      </c>
      <c r="D749" s="2">
        <v>43107.791666666664</v>
      </c>
      <c r="E749" s="2">
        <v>43118.958333333336</v>
      </c>
      <c r="F749" s="1" t="s">
        <v>12</v>
      </c>
      <c r="G749" s="1" t="s">
        <v>13</v>
      </c>
      <c r="H749">
        <v>3</v>
      </c>
      <c r="I749">
        <v>12</v>
      </c>
      <c r="J749" s="3">
        <v>62</v>
      </c>
      <c r="K749" s="3">
        <f>+Treinamentos[[#This Row],[Alunos]]*Treinamentos[[#This Row],[Valor]]</f>
        <v>744</v>
      </c>
    </row>
    <row r="750" spans="1:11" x14ac:dyDescent="0.25">
      <c r="A750">
        <v>5103</v>
      </c>
      <c r="B750" s="1" t="s">
        <v>16</v>
      </c>
      <c r="C750" s="1" t="s">
        <v>55</v>
      </c>
      <c r="D750" s="2">
        <v>43107.791666666664</v>
      </c>
      <c r="E750" s="2">
        <v>43118.958333333336</v>
      </c>
      <c r="F750" s="1" t="s">
        <v>21</v>
      </c>
      <c r="G750" s="1" t="s">
        <v>33</v>
      </c>
      <c r="H750">
        <v>3</v>
      </c>
      <c r="I750">
        <v>8</v>
      </c>
      <c r="J750" s="3">
        <v>73</v>
      </c>
      <c r="K750" s="3">
        <f>+Treinamentos[[#This Row],[Alunos]]*Treinamentos[[#This Row],[Valor]]</f>
        <v>584</v>
      </c>
    </row>
    <row r="751" spans="1:11" x14ac:dyDescent="0.25">
      <c r="A751">
        <v>5104</v>
      </c>
      <c r="B751" s="1" t="s">
        <v>17</v>
      </c>
      <c r="C751" s="1" t="s">
        <v>61</v>
      </c>
      <c r="D751" s="2">
        <v>43107.791666666664</v>
      </c>
      <c r="E751" s="2">
        <v>43118.958333333336</v>
      </c>
      <c r="F751" s="1" t="s">
        <v>12</v>
      </c>
      <c r="G751" s="1" t="s">
        <v>16</v>
      </c>
      <c r="H751">
        <v>2</v>
      </c>
      <c r="I751">
        <v>12</v>
      </c>
      <c r="J751" s="3">
        <v>61</v>
      </c>
      <c r="K751" s="3">
        <f>+Treinamentos[[#This Row],[Alunos]]*Treinamentos[[#This Row],[Valor]]</f>
        <v>732</v>
      </c>
    </row>
    <row r="752" spans="1:11" x14ac:dyDescent="0.25">
      <c r="A752">
        <v>5105</v>
      </c>
      <c r="B752" s="1" t="s">
        <v>30</v>
      </c>
      <c r="C752" s="1" t="s">
        <v>57</v>
      </c>
      <c r="D752" s="2">
        <v>43110.375</v>
      </c>
      <c r="E752" s="2">
        <v>43116.75</v>
      </c>
      <c r="F752" s="1" t="s">
        <v>21</v>
      </c>
      <c r="G752" s="1" t="s">
        <v>19</v>
      </c>
      <c r="H752">
        <v>5</v>
      </c>
      <c r="I752">
        <v>10</v>
      </c>
      <c r="J752" s="3">
        <v>51</v>
      </c>
      <c r="K752" s="3">
        <f>+Treinamentos[[#This Row],[Alunos]]*Treinamentos[[#This Row],[Valor]]</f>
        <v>510</v>
      </c>
    </row>
    <row r="753" spans="1:11" x14ac:dyDescent="0.25">
      <c r="A753">
        <v>5106</v>
      </c>
      <c r="B753" s="1" t="s">
        <v>41</v>
      </c>
      <c r="C753" s="1" t="s">
        <v>60</v>
      </c>
      <c r="D753" s="2">
        <v>43110.375</v>
      </c>
      <c r="E753" s="2">
        <v>43116.75</v>
      </c>
      <c r="F753" s="1" t="s">
        <v>21</v>
      </c>
      <c r="G753" s="1" t="s">
        <v>42</v>
      </c>
      <c r="H753">
        <v>3</v>
      </c>
      <c r="I753">
        <v>12</v>
      </c>
      <c r="J753" s="3">
        <v>41</v>
      </c>
      <c r="K753" s="3">
        <f>+Treinamentos[[#This Row],[Alunos]]*Treinamentos[[#This Row],[Valor]]</f>
        <v>492</v>
      </c>
    </row>
    <row r="754" spans="1:11" x14ac:dyDescent="0.25">
      <c r="A754">
        <v>5107</v>
      </c>
      <c r="B754" s="1" t="s">
        <v>25</v>
      </c>
      <c r="C754" s="1" t="s">
        <v>53</v>
      </c>
      <c r="D754" s="2">
        <v>43111.333333333336</v>
      </c>
      <c r="E754" s="2">
        <v>43124.5</v>
      </c>
      <c r="F754" s="1" t="s">
        <v>12</v>
      </c>
      <c r="G754" s="1" t="s">
        <v>13</v>
      </c>
      <c r="H754">
        <v>3</v>
      </c>
      <c r="I754">
        <v>8</v>
      </c>
      <c r="J754" s="3">
        <v>31</v>
      </c>
      <c r="K754" s="3">
        <f>+Treinamentos[[#This Row],[Alunos]]*Treinamentos[[#This Row],[Valor]]</f>
        <v>248</v>
      </c>
    </row>
    <row r="755" spans="1:11" x14ac:dyDescent="0.25">
      <c r="A755">
        <v>5108</v>
      </c>
      <c r="B755" s="1" t="s">
        <v>30</v>
      </c>
      <c r="C755" s="1" t="s">
        <v>53</v>
      </c>
      <c r="D755" s="2">
        <v>43111.333333333336</v>
      </c>
      <c r="E755" s="2">
        <v>43124.5</v>
      </c>
      <c r="F755" s="1" t="s">
        <v>12</v>
      </c>
      <c r="G755" s="1" t="s">
        <v>34</v>
      </c>
      <c r="H755">
        <v>2</v>
      </c>
      <c r="I755">
        <v>8</v>
      </c>
      <c r="J755" s="3">
        <v>31</v>
      </c>
      <c r="K755" s="3">
        <f>+Treinamentos[[#This Row],[Alunos]]*Treinamentos[[#This Row],[Valor]]</f>
        <v>248</v>
      </c>
    </row>
    <row r="756" spans="1:11" x14ac:dyDescent="0.25">
      <c r="A756">
        <v>5109</v>
      </c>
      <c r="B756" s="1" t="s">
        <v>41</v>
      </c>
      <c r="C756" s="1" t="s">
        <v>58</v>
      </c>
      <c r="D756" s="2">
        <v>43114.791666666664</v>
      </c>
      <c r="E756" s="2">
        <v>43125.958333333336</v>
      </c>
      <c r="F756" s="1" t="s">
        <v>12</v>
      </c>
      <c r="G756" s="1" t="s">
        <v>19</v>
      </c>
      <c r="H756">
        <v>3</v>
      </c>
      <c r="I756">
        <v>12</v>
      </c>
      <c r="J756" s="3">
        <v>47</v>
      </c>
      <c r="K756" s="3">
        <f>+Treinamentos[[#This Row],[Alunos]]*Treinamentos[[#This Row],[Valor]]</f>
        <v>564</v>
      </c>
    </row>
    <row r="757" spans="1:11" x14ac:dyDescent="0.25">
      <c r="A757">
        <v>5110</v>
      </c>
      <c r="B757" s="1" t="s">
        <v>41</v>
      </c>
      <c r="C757" s="1" t="s">
        <v>50</v>
      </c>
      <c r="D757" s="2">
        <v>43114.791666666664</v>
      </c>
      <c r="E757" s="2">
        <v>43125.958333333336</v>
      </c>
      <c r="F757" s="1" t="s">
        <v>21</v>
      </c>
      <c r="G757" s="1" t="s">
        <v>44</v>
      </c>
      <c r="H757">
        <v>3</v>
      </c>
      <c r="I757">
        <v>8</v>
      </c>
      <c r="J757" s="3">
        <v>33</v>
      </c>
      <c r="K757" s="3">
        <f>+Treinamentos[[#This Row],[Alunos]]*Treinamentos[[#This Row],[Valor]]</f>
        <v>264</v>
      </c>
    </row>
    <row r="758" spans="1:11" x14ac:dyDescent="0.25">
      <c r="A758">
        <v>5111</v>
      </c>
      <c r="B758" s="1" t="s">
        <v>30</v>
      </c>
      <c r="C758" s="1" t="s">
        <v>59</v>
      </c>
      <c r="D758" s="2">
        <v>43114.791666666664</v>
      </c>
      <c r="E758" s="2">
        <v>43125.958333333336</v>
      </c>
      <c r="F758" s="1" t="s">
        <v>21</v>
      </c>
      <c r="G758" s="1" t="s">
        <v>36</v>
      </c>
      <c r="H758">
        <v>2</v>
      </c>
      <c r="I758">
        <v>9</v>
      </c>
      <c r="J758" s="3">
        <v>47</v>
      </c>
      <c r="K758" s="3">
        <f>+Treinamentos[[#This Row],[Alunos]]*Treinamentos[[#This Row],[Valor]]</f>
        <v>423</v>
      </c>
    </row>
    <row r="759" spans="1:11" x14ac:dyDescent="0.25">
      <c r="A759">
        <v>5112</v>
      </c>
      <c r="B759" s="1" t="s">
        <v>16</v>
      </c>
      <c r="C759" s="1" t="s">
        <v>49</v>
      </c>
      <c r="D759" s="2">
        <v>43115.791666666664</v>
      </c>
      <c r="E759" s="2">
        <v>43128.958333333336</v>
      </c>
      <c r="F759" s="1" t="s">
        <v>21</v>
      </c>
      <c r="G759" s="1" t="s">
        <v>33</v>
      </c>
      <c r="H759">
        <v>3</v>
      </c>
      <c r="I759">
        <v>11</v>
      </c>
      <c r="J759" s="3">
        <v>52</v>
      </c>
      <c r="K759" s="3">
        <f>+Treinamentos[[#This Row],[Alunos]]*Treinamentos[[#This Row],[Valor]]</f>
        <v>572</v>
      </c>
    </row>
    <row r="760" spans="1:11" x14ac:dyDescent="0.25">
      <c r="A760">
        <v>5113</v>
      </c>
      <c r="B760" s="1" t="s">
        <v>17</v>
      </c>
      <c r="C760" s="1" t="s">
        <v>58</v>
      </c>
      <c r="D760" s="2">
        <v>43115.791666666664</v>
      </c>
      <c r="E760" s="2">
        <v>43128.958333333336</v>
      </c>
      <c r="F760" s="1" t="s">
        <v>21</v>
      </c>
      <c r="G760" s="1" t="s">
        <v>34</v>
      </c>
      <c r="H760">
        <v>3</v>
      </c>
      <c r="I760">
        <v>8</v>
      </c>
      <c r="J760" s="3">
        <v>47</v>
      </c>
      <c r="K760" s="3">
        <f>+Treinamentos[[#This Row],[Alunos]]*Treinamentos[[#This Row],[Valor]]</f>
        <v>376</v>
      </c>
    </row>
    <row r="761" spans="1:11" x14ac:dyDescent="0.25">
      <c r="A761">
        <v>5114</v>
      </c>
      <c r="B761" s="1" t="s">
        <v>16</v>
      </c>
      <c r="C761" s="1" t="s">
        <v>49</v>
      </c>
      <c r="D761" s="2">
        <v>43115.791666666664</v>
      </c>
      <c r="E761" s="2">
        <v>43128.958333333336</v>
      </c>
      <c r="F761" s="1" t="s">
        <v>21</v>
      </c>
      <c r="G761" s="1" t="s">
        <v>33</v>
      </c>
      <c r="H761">
        <v>4</v>
      </c>
      <c r="I761">
        <v>9</v>
      </c>
      <c r="J761" s="3">
        <v>52</v>
      </c>
      <c r="K761" s="3">
        <f>+Treinamentos[[#This Row],[Alunos]]*Treinamentos[[#This Row],[Valor]]</f>
        <v>468</v>
      </c>
    </row>
    <row r="762" spans="1:11" x14ac:dyDescent="0.25">
      <c r="A762">
        <v>5115</v>
      </c>
      <c r="B762" s="1" t="s">
        <v>16</v>
      </c>
      <c r="C762" s="1" t="s">
        <v>58</v>
      </c>
      <c r="D762" s="2">
        <v>43116.583333333336</v>
      </c>
      <c r="E762" s="2">
        <v>43129.75</v>
      </c>
      <c r="F762" s="1" t="s">
        <v>12</v>
      </c>
      <c r="G762" s="1" t="s">
        <v>42</v>
      </c>
      <c r="H762">
        <v>2</v>
      </c>
      <c r="I762">
        <v>11</v>
      </c>
      <c r="J762" s="3">
        <v>47</v>
      </c>
      <c r="K762" s="3">
        <f>+Treinamentos[[#This Row],[Alunos]]*Treinamentos[[#This Row],[Valor]]</f>
        <v>517</v>
      </c>
    </row>
    <row r="763" spans="1:11" x14ac:dyDescent="0.25">
      <c r="A763">
        <v>5116</v>
      </c>
      <c r="B763" s="1" t="s">
        <v>28</v>
      </c>
      <c r="C763" s="1" t="s">
        <v>56</v>
      </c>
      <c r="D763" s="2">
        <v>43117.375</v>
      </c>
      <c r="E763" s="2">
        <v>43123.75</v>
      </c>
      <c r="F763" s="1" t="s">
        <v>21</v>
      </c>
      <c r="G763" s="1" t="s">
        <v>44</v>
      </c>
      <c r="H763">
        <v>4</v>
      </c>
      <c r="I763">
        <v>11</v>
      </c>
      <c r="J763" s="3">
        <v>62</v>
      </c>
      <c r="K763" s="3">
        <f>+Treinamentos[[#This Row],[Alunos]]*Treinamentos[[#This Row],[Valor]]</f>
        <v>682</v>
      </c>
    </row>
    <row r="764" spans="1:11" x14ac:dyDescent="0.25">
      <c r="A764">
        <v>5117</v>
      </c>
      <c r="B764" s="1" t="s">
        <v>14</v>
      </c>
      <c r="C764" s="1" t="s">
        <v>53</v>
      </c>
      <c r="D764" s="2">
        <v>43119.375</v>
      </c>
      <c r="E764" s="2">
        <v>43124.75</v>
      </c>
      <c r="F764" s="1" t="s">
        <v>12</v>
      </c>
      <c r="G764" s="1" t="s">
        <v>46</v>
      </c>
      <c r="H764">
        <v>4</v>
      </c>
      <c r="I764">
        <v>10</v>
      </c>
      <c r="J764" s="3">
        <v>31</v>
      </c>
      <c r="K764" s="3">
        <f>+Treinamentos[[#This Row],[Alunos]]*Treinamentos[[#This Row],[Valor]]</f>
        <v>310</v>
      </c>
    </row>
    <row r="765" spans="1:11" x14ac:dyDescent="0.25">
      <c r="A765">
        <v>5118</v>
      </c>
      <c r="B765" s="1" t="s">
        <v>28</v>
      </c>
      <c r="C765" s="1" t="s">
        <v>58</v>
      </c>
      <c r="D765" s="2">
        <v>43119.375</v>
      </c>
      <c r="E765" s="2">
        <v>43124.75</v>
      </c>
      <c r="F765" s="1" t="s">
        <v>12</v>
      </c>
      <c r="G765" s="1" t="s">
        <v>19</v>
      </c>
      <c r="H765">
        <v>5</v>
      </c>
      <c r="I765">
        <v>9</v>
      </c>
      <c r="J765" s="3">
        <v>47</v>
      </c>
      <c r="K765" s="3">
        <f>+Treinamentos[[#This Row],[Alunos]]*Treinamentos[[#This Row],[Valor]]</f>
        <v>423</v>
      </c>
    </row>
    <row r="766" spans="1:11" x14ac:dyDescent="0.25">
      <c r="A766">
        <v>5119</v>
      </c>
      <c r="B766" s="1" t="s">
        <v>10</v>
      </c>
      <c r="C766" s="1" t="s">
        <v>55</v>
      </c>
      <c r="D766" s="2">
        <v>43121.791666666664</v>
      </c>
      <c r="E766" s="2">
        <v>43132.958333333336</v>
      </c>
      <c r="F766" s="1" t="s">
        <v>21</v>
      </c>
      <c r="G766" s="1" t="s">
        <v>47</v>
      </c>
      <c r="H766">
        <v>3</v>
      </c>
      <c r="I766">
        <v>11</v>
      </c>
      <c r="J766" s="3">
        <v>73</v>
      </c>
      <c r="K766" s="3">
        <f>+Treinamentos[[#This Row],[Alunos]]*Treinamentos[[#This Row],[Valor]]</f>
        <v>803</v>
      </c>
    </row>
    <row r="767" spans="1:11" x14ac:dyDescent="0.25">
      <c r="A767">
        <v>5120</v>
      </c>
      <c r="B767" s="1" t="s">
        <v>37</v>
      </c>
      <c r="C767" s="1" t="s">
        <v>59</v>
      </c>
      <c r="D767" s="2">
        <v>43121.791666666664</v>
      </c>
      <c r="E767" s="2">
        <v>43132.958333333336</v>
      </c>
      <c r="F767" s="1" t="s">
        <v>21</v>
      </c>
      <c r="G767" s="1" t="s">
        <v>44</v>
      </c>
      <c r="H767">
        <v>3</v>
      </c>
      <c r="I767">
        <v>11</v>
      </c>
      <c r="J767" s="3">
        <v>47</v>
      </c>
      <c r="K767" s="3">
        <f>+Treinamentos[[#This Row],[Alunos]]*Treinamentos[[#This Row],[Valor]]</f>
        <v>517</v>
      </c>
    </row>
    <row r="768" spans="1:11" x14ac:dyDescent="0.25">
      <c r="A768">
        <v>5121</v>
      </c>
      <c r="B768" s="1" t="s">
        <v>14</v>
      </c>
      <c r="C768" s="1" t="s">
        <v>56</v>
      </c>
      <c r="D768" s="2">
        <v>43121.791666666664</v>
      </c>
      <c r="E768" s="2">
        <v>43132.958333333336</v>
      </c>
      <c r="F768" s="1" t="s">
        <v>21</v>
      </c>
      <c r="G768" s="1" t="s">
        <v>22</v>
      </c>
      <c r="H768">
        <v>4</v>
      </c>
      <c r="I768">
        <v>8</v>
      </c>
      <c r="J768" s="3">
        <v>62</v>
      </c>
      <c r="K768" s="3">
        <f>+Treinamentos[[#This Row],[Alunos]]*Treinamentos[[#This Row],[Valor]]</f>
        <v>496</v>
      </c>
    </row>
    <row r="769" spans="1:11" x14ac:dyDescent="0.25">
      <c r="A769">
        <v>5122</v>
      </c>
      <c r="B769" s="1" t="s">
        <v>37</v>
      </c>
      <c r="C769" s="1" t="s">
        <v>53</v>
      </c>
      <c r="D769" s="2">
        <v>43121.791666666664</v>
      </c>
      <c r="E769" s="2">
        <v>43132.958333333336</v>
      </c>
      <c r="F769" s="1" t="s">
        <v>12</v>
      </c>
      <c r="G769" s="1" t="s">
        <v>34</v>
      </c>
      <c r="H769">
        <v>2</v>
      </c>
      <c r="I769">
        <v>8</v>
      </c>
      <c r="J769" s="3">
        <v>31</v>
      </c>
      <c r="K769" s="3">
        <f>+Treinamentos[[#This Row],[Alunos]]*Treinamentos[[#This Row],[Valor]]</f>
        <v>248</v>
      </c>
    </row>
    <row r="770" spans="1:11" x14ac:dyDescent="0.25">
      <c r="A770">
        <v>5123</v>
      </c>
      <c r="B770" s="1" t="s">
        <v>14</v>
      </c>
      <c r="C770" s="1" t="s">
        <v>56</v>
      </c>
      <c r="D770" s="2">
        <v>43121.791666666664</v>
      </c>
      <c r="E770" s="2">
        <v>43132.958333333336</v>
      </c>
      <c r="F770" s="1" t="s">
        <v>21</v>
      </c>
      <c r="G770" s="1" t="s">
        <v>34</v>
      </c>
      <c r="H770">
        <v>2</v>
      </c>
      <c r="I770">
        <v>8</v>
      </c>
      <c r="J770" s="3">
        <v>62</v>
      </c>
      <c r="K770" s="3">
        <f>+Treinamentos[[#This Row],[Alunos]]*Treinamentos[[#This Row],[Valor]]</f>
        <v>496</v>
      </c>
    </row>
    <row r="771" spans="1:11" x14ac:dyDescent="0.25">
      <c r="A771">
        <v>5124</v>
      </c>
      <c r="B771" s="1" t="s">
        <v>16</v>
      </c>
      <c r="C771" s="1" t="s">
        <v>51</v>
      </c>
      <c r="D771" s="2">
        <v>43121.791666666664</v>
      </c>
      <c r="E771" s="2">
        <v>43132.958333333336</v>
      </c>
      <c r="F771" s="1" t="s">
        <v>12</v>
      </c>
      <c r="G771" s="1" t="s">
        <v>34</v>
      </c>
      <c r="H771">
        <v>3</v>
      </c>
      <c r="I771">
        <v>8</v>
      </c>
      <c r="J771" s="3">
        <v>61</v>
      </c>
      <c r="K771" s="3">
        <f>+Treinamentos[[#This Row],[Alunos]]*Treinamentos[[#This Row],[Valor]]</f>
        <v>488</v>
      </c>
    </row>
    <row r="772" spans="1:11" x14ac:dyDescent="0.25">
      <c r="A772">
        <v>5125</v>
      </c>
      <c r="B772" s="1" t="s">
        <v>25</v>
      </c>
      <c r="C772" s="1" t="s">
        <v>54</v>
      </c>
      <c r="D772" s="2">
        <v>43121.791666666664</v>
      </c>
      <c r="E772" s="2">
        <v>43132.958333333336</v>
      </c>
      <c r="F772" s="1" t="s">
        <v>21</v>
      </c>
      <c r="G772" s="1" t="s">
        <v>33</v>
      </c>
      <c r="H772">
        <v>3</v>
      </c>
      <c r="I772">
        <v>10</v>
      </c>
      <c r="J772" s="3">
        <v>42</v>
      </c>
      <c r="K772" s="3">
        <f>+Treinamentos[[#This Row],[Alunos]]*Treinamentos[[#This Row],[Valor]]</f>
        <v>420</v>
      </c>
    </row>
    <row r="773" spans="1:11" x14ac:dyDescent="0.25">
      <c r="A773">
        <v>5126</v>
      </c>
      <c r="B773" s="1" t="s">
        <v>25</v>
      </c>
      <c r="C773" s="1" t="s">
        <v>60</v>
      </c>
      <c r="D773" s="2">
        <v>43121.791666666664</v>
      </c>
      <c r="E773" s="2">
        <v>43132.958333333336</v>
      </c>
      <c r="F773" s="1" t="s">
        <v>21</v>
      </c>
      <c r="G773" s="1" t="s">
        <v>24</v>
      </c>
      <c r="H773">
        <v>3</v>
      </c>
      <c r="I773">
        <v>11</v>
      </c>
      <c r="J773" s="3">
        <v>41</v>
      </c>
      <c r="K773" s="3">
        <f>+Treinamentos[[#This Row],[Alunos]]*Treinamentos[[#This Row],[Valor]]</f>
        <v>451</v>
      </c>
    </row>
    <row r="774" spans="1:11" x14ac:dyDescent="0.25">
      <c r="A774">
        <v>5127</v>
      </c>
      <c r="B774" s="1" t="s">
        <v>41</v>
      </c>
      <c r="C774" s="1" t="s">
        <v>53</v>
      </c>
      <c r="D774" s="2">
        <v>43124.375</v>
      </c>
      <c r="E774" s="2">
        <v>43130.75</v>
      </c>
      <c r="F774" s="1" t="s">
        <v>21</v>
      </c>
      <c r="G774" s="1" t="s">
        <v>27</v>
      </c>
      <c r="H774">
        <v>3</v>
      </c>
      <c r="I774">
        <v>9</v>
      </c>
      <c r="J774" s="3">
        <v>31</v>
      </c>
      <c r="K774" s="3">
        <f>+Treinamentos[[#This Row],[Alunos]]*Treinamentos[[#This Row],[Valor]]</f>
        <v>279</v>
      </c>
    </row>
    <row r="775" spans="1:11" x14ac:dyDescent="0.25">
      <c r="A775">
        <v>5128</v>
      </c>
      <c r="B775" s="1" t="s">
        <v>17</v>
      </c>
      <c r="C775" s="1" t="s">
        <v>53</v>
      </c>
      <c r="D775" s="2">
        <v>43124.375</v>
      </c>
      <c r="E775" s="2">
        <v>43130.75</v>
      </c>
      <c r="F775" s="1" t="s">
        <v>12</v>
      </c>
      <c r="G775" s="1" t="s">
        <v>46</v>
      </c>
      <c r="H775">
        <v>5</v>
      </c>
      <c r="I775">
        <v>11</v>
      </c>
      <c r="J775" s="3">
        <v>31</v>
      </c>
      <c r="K775" s="3">
        <f>+Treinamentos[[#This Row],[Alunos]]*Treinamentos[[#This Row],[Valor]]</f>
        <v>341</v>
      </c>
    </row>
    <row r="776" spans="1:11" x14ac:dyDescent="0.25">
      <c r="A776">
        <v>5129</v>
      </c>
      <c r="B776" s="1" t="s">
        <v>16</v>
      </c>
      <c r="C776" s="1" t="s">
        <v>52</v>
      </c>
      <c r="D776" s="2">
        <v>43125.333333333336</v>
      </c>
      <c r="E776" s="2">
        <v>43138.5</v>
      </c>
      <c r="F776" s="1" t="s">
        <v>12</v>
      </c>
      <c r="G776" s="1" t="s">
        <v>38</v>
      </c>
      <c r="H776">
        <v>4</v>
      </c>
      <c r="I776">
        <v>12</v>
      </c>
      <c r="J776" s="3">
        <v>47</v>
      </c>
      <c r="K776" s="3">
        <f>+Treinamentos[[#This Row],[Alunos]]*Treinamentos[[#This Row],[Valor]]</f>
        <v>564</v>
      </c>
    </row>
    <row r="777" spans="1:11" x14ac:dyDescent="0.25">
      <c r="A777">
        <v>5130</v>
      </c>
      <c r="B777" s="1" t="s">
        <v>37</v>
      </c>
      <c r="C777" s="1" t="s">
        <v>60</v>
      </c>
      <c r="D777" s="2">
        <v>43125.333333333336</v>
      </c>
      <c r="E777" s="2">
        <v>43138.5</v>
      </c>
      <c r="F777" s="1" t="s">
        <v>21</v>
      </c>
      <c r="G777" s="1" t="s">
        <v>24</v>
      </c>
      <c r="H777">
        <v>3</v>
      </c>
      <c r="I777">
        <v>12</v>
      </c>
      <c r="J777" s="3">
        <v>41</v>
      </c>
      <c r="K777" s="3">
        <f>+Treinamentos[[#This Row],[Alunos]]*Treinamentos[[#This Row],[Valor]]</f>
        <v>492</v>
      </c>
    </row>
    <row r="778" spans="1:11" x14ac:dyDescent="0.25">
      <c r="A778">
        <v>5131</v>
      </c>
      <c r="B778" s="1" t="s">
        <v>10</v>
      </c>
      <c r="C778" s="1" t="s">
        <v>51</v>
      </c>
      <c r="D778" s="2">
        <v>43126.375</v>
      </c>
      <c r="E778" s="2">
        <v>43131.75</v>
      </c>
      <c r="F778" s="1" t="s">
        <v>12</v>
      </c>
      <c r="G778" s="1" t="s">
        <v>27</v>
      </c>
      <c r="H778">
        <v>5</v>
      </c>
      <c r="I778">
        <v>8</v>
      </c>
      <c r="J778" s="3">
        <v>61</v>
      </c>
      <c r="K778" s="3">
        <f>+Treinamentos[[#This Row],[Alunos]]*Treinamentos[[#This Row],[Valor]]</f>
        <v>488</v>
      </c>
    </row>
    <row r="779" spans="1:11" x14ac:dyDescent="0.25">
      <c r="A779">
        <v>5132</v>
      </c>
      <c r="B779" s="1" t="s">
        <v>28</v>
      </c>
      <c r="C779" s="1" t="s">
        <v>52</v>
      </c>
      <c r="D779" s="2">
        <v>43128.791666666664</v>
      </c>
      <c r="E779" s="2">
        <v>43139.958333333336</v>
      </c>
      <c r="F779" s="1" t="s">
        <v>12</v>
      </c>
      <c r="G779" s="1" t="s">
        <v>36</v>
      </c>
      <c r="H779">
        <v>5</v>
      </c>
      <c r="I779">
        <v>12</v>
      </c>
      <c r="J779" s="3">
        <v>47</v>
      </c>
      <c r="K779" s="3">
        <f>+Treinamentos[[#This Row],[Alunos]]*Treinamentos[[#This Row],[Valor]]</f>
        <v>564</v>
      </c>
    </row>
    <row r="780" spans="1:11" x14ac:dyDescent="0.25">
      <c r="A780">
        <v>5133</v>
      </c>
      <c r="B780" s="1" t="s">
        <v>30</v>
      </c>
      <c r="C780" s="1" t="s">
        <v>53</v>
      </c>
      <c r="D780" s="2">
        <v>43129.791666666664</v>
      </c>
      <c r="E780" s="2">
        <v>43142.958333333336</v>
      </c>
      <c r="F780" s="1" t="s">
        <v>21</v>
      </c>
      <c r="G780" s="1" t="s">
        <v>19</v>
      </c>
      <c r="H780">
        <v>3</v>
      </c>
      <c r="I780">
        <v>9</v>
      </c>
      <c r="J780" s="3">
        <v>31</v>
      </c>
      <c r="K780" s="3">
        <f>+Treinamentos[[#This Row],[Alunos]]*Treinamentos[[#This Row],[Valor]]</f>
        <v>279</v>
      </c>
    </row>
    <row r="781" spans="1:11" x14ac:dyDescent="0.25">
      <c r="A781">
        <v>5134</v>
      </c>
      <c r="B781" s="1" t="s">
        <v>30</v>
      </c>
      <c r="C781" s="1" t="s">
        <v>60</v>
      </c>
      <c r="D781" s="2">
        <v>43129.791666666664</v>
      </c>
      <c r="E781" s="2">
        <v>43142.958333333336</v>
      </c>
      <c r="F781" s="1" t="s">
        <v>21</v>
      </c>
      <c r="G781" s="1" t="s">
        <v>47</v>
      </c>
      <c r="H781">
        <v>5</v>
      </c>
      <c r="I781">
        <v>10</v>
      </c>
      <c r="J781" s="3">
        <v>41</v>
      </c>
      <c r="K781" s="3">
        <f>+Treinamentos[[#This Row],[Alunos]]*Treinamentos[[#This Row],[Valor]]</f>
        <v>410</v>
      </c>
    </row>
    <row r="782" spans="1:11" x14ac:dyDescent="0.25">
      <c r="A782">
        <v>5135</v>
      </c>
      <c r="B782" s="1" t="s">
        <v>10</v>
      </c>
      <c r="C782" s="1" t="s">
        <v>58</v>
      </c>
      <c r="D782" s="2">
        <v>43129.791666666664</v>
      </c>
      <c r="E782" s="2">
        <v>43142.958333333336</v>
      </c>
      <c r="F782" s="1" t="s">
        <v>12</v>
      </c>
      <c r="G782" s="1" t="s">
        <v>13</v>
      </c>
      <c r="H782">
        <v>4</v>
      </c>
      <c r="I782">
        <v>10</v>
      </c>
      <c r="J782" s="3">
        <v>47</v>
      </c>
      <c r="K782" s="3">
        <f>+Treinamentos[[#This Row],[Alunos]]*Treinamentos[[#This Row],[Valor]]</f>
        <v>470</v>
      </c>
    </row>
    <row r="783" spans="1:11" x14ac:dyDescent="0.25">
      <c r="A783">
        <v>5136</v>
      </c>
      <c r="B783" s="1" t="s">
        <v>14</v>
      </c>
      <c r="C783" s="1" t="s">
        <v>61</v>
      </c>
      <c r="D783" s="2">
        <v>43129.791666666664</v>
      </c>
      <c r="E783" s="2">
        <v>43142.958333333336</v>
      </c>
      <c r="F783" s="1" t="s">
        <v>12</v>
      </c>
      <c r="G783" s="1" t="s">
        <v>32</v>
      </c>
      <c r="H783">
        <v>2</v>
      </c>
      <c r="I783">
        <v>9</v>
      </c>
      <c r="J783" s="3">
        <v>61</v>
      </c>
      <c r="K783" s="3">
        <f>+Treinamentos[[#This Row],[Alunos]]*Treinamentos[[#This Row],[Valor]]</f>
        <v>549</v>
      </c>
    </row>
    <row r="784" spans="1:11" x14ac:dyDescent="0.25">
      <c r="A784">
        <v>5137</v>
      </c>
      <c r="B784" s="1" t="s">
        <v>30</v>
      </c>
      <c r="C784" s="1" t="s">
        <v>55</v>
      </c>
      <c r="D784" s="2">
        <v>43130.583333333336</v>
      </c>
      <c r="E784" s="2">
        <v>43143.75</v>
      </c>
      <c r="F784" s="1" t="s">
        <v>21</v>
      </c>
      <c r="G784" s="1" t="s">
        <v>13</v>
      </c>
      <c r="H784">
        <v>4</v>
      </c>
      <c r="I784">
        <v>12</v>
      </c>
      <c r="J784" s="3">
        <v>73</v>
      </c>
      <c r="K784" s="3">
        <f>+Treinamentos[[#This Row],[Alunos]]*Treinamentos[[#This Row],[Valor]]</f>
        <v>876</v>
      </c>
    </row>
    <row r="785" spans="1:11" x14ac:dyDescent="0.25">
      <c r="A785">
        <v>5138</v>
      </c>
      <c r="B785" s="1" t="s">
        <v>17</v>
      </c>
      <c r="C785" s="1" t="s">
        <v>60</v>
      </c>
      <c r="D785" s="2">
        <v>43130.583333333336</v>
      </c>
      <c r="E785" s="2">
        <v>43143.75</v>
      </c>
      <c r="F785" s="1" t="s">
        <v>21</v>
      </c>
      <c r="G785" s="1" t="s">
        <v>34</v>
      </c>
      <c r="H785">
        <v>5</v>
      </c>
      <c r="I785">
        <v>11</v>
      </c>
      <c r="J785" s="3">
        <v>41</v>
      </c>
      <c r="K785" s="3">
        <f>+Treinamentos[[#This Row],[Alunos]]*Treinamentos[[#This Row],[Valor]]</f>
        <v>451</v>
      </c>
    </row>
    <row r="786" spans="1:11" x14ac:dyDescent="0.25">
      <c r="A786">
        <v>5139</v>
      </c>
      <c r="B786" s="1" t="s">
        <v>37</v>
      </c>
      <c r="C786" s="1" t="s">
        <v>54</v>
      </c>
      <c r="D786" s="2">
        <v>43130.583333333336</v>
      </c>
      <c r="E786" s="2">
        <v>43143.75</v>
      </c>
      <c r="F786" s="1" t="s">
        <v>21</v>
      </c>
      <c r="G786" s="1" t="s">
        <v>13</v>
      </c>
      <c r="H786">
        <v>3</v>
      </c>
      <c r="I786">
        <v>9</v>
      </c>
      <c r="J786" s="3">
        <v>42</v>
      </c>
      <c r="K786" s="3">
        <f>+Treinamentos[[#This Row],[Alunos]]*Treinamentos[[#This Row],[Valor]]</f>
        <v>378</v>
      </c>
    </row>
    <row r="787" spans="1:11" x14ac:dyDescent="0.25">
      <c r="A787">
        <v>5140</v>
      </c>
      <c r="B787" s="1" t="s">
        <v>37</v>
      </c>
      <c r="C787" s="1" t="s">
        <v>61</v>
      </c>
      <c r="D787" s="2">
        <v>43133.375</v>
      </c>
      <c r="E787" s="2">
        <v>43138.75</v>
      </c>
      <c r="F787" s="1" t="s">
        <v>12</v>
      </c>
      <c r="G787" s="1" t="s">
        <v>16</v>
      </c>
      <c r="H787">
        <v>5</v>
      </c>
      <c r="I787">
        <v>9</v>
      </c>
      <c r="J787" s="3">
        <v>61</v>
      </c>
      <c r="K787" s="3">
        <f>+Treinamentos[[#This Row],[Alunos]]*Treinamentos[[#This Row],[Valor]]</f>
        <v>549</v>
      </c>
    </row>
    <row r="788" spans="1:11" x14ac:dyDescent="0.25">
      <c r="A788">
        <v>5141</v>
      </c>
      <c r="B788" s="1" t="s">
        <v>17</v>
      </c>
      <c r="C788" s="1" t="s">
        <v>56</v>
      </c>
      <c r="D788" s="2">
        <v>43133.375</v>
      </c>
      <c r="E788" s="2">
        <v>43138.75</v>
      </c>
      <c r="F788" s="1" t="s">
        <v>12</v>
      </c>
      <c r="G788" s="1" t="s">
        <v>19</v>
      </c>
      <c r="H788">
        <v>4</v>
      </c>
      <c r="I788">
        <v>10</v>
      </c>
      <c r="J788" s="3">
        <v>62</v>
      </c>
      <c r="K788" s="3">
        <f>+Treinamentos[[#This Row],[Alunos]]*Treinamentos[[#This Row],[Valor]]</f>
        <v>620</v>
      </c>
    </row>
    <row r="789" spans="1:11" x14ac:dyDescent="0.25">
      <c r="A789">
        <v>5142</v>
      </c>
      <c r="B789" s="1" t="s">
        <v>25</v>
      </c>
      <c r="C789" s="1" t="s">
        <v>54</v>
      </c>
      <c r="D789" s="2">
        <v>43135.791666666664</v>
      </c>
      <c r="E789" s="2">
        <v>43146.958333333336</v>
      </c>
      <c r="F789" s="1" t="s">
        <v>21</v>
      </c>
      <c r="G789" s="1" t="s">
        <v>27</v>
      </c>
      <c r="H789">
        <v>5</v>
      </c>
      <c r="I789">
        <v>11</v>
      </c>
      <c r="J789" s="3">
        <v>42</v>
      </c>
      <c r="K789" s="3">
        <f>+Treinamentos[[#This Row],[Alunos]]*Treinamentos[[#This Row],[Valor]]</f>
        <v>462</v>
      </c>
    </row>
    <row r="790" spans="1:11" x14ac:dyDescent="0.25">
      <c r="A790">
        <v>5143</v>
      </c>
      <c r="B790" s="1" t="s">
        <v>25</v>
      </c>
      <c r="C790" s="1" t="s">
        <v>59</v>
      </c>
      <c r="D790" s="2">
        <v>43136.791666666664</v>
      </c>
      <c r="E790" s="2">
        <v>43149.958333333336</v>
      </c>
      <c r="F790" s="1" t="s">
        <v>12</v>
      </c>
      <c r="G790" s="1" t="s">
        <v>44</v>
      </c>
      <c r="H790">
        <v>5</v>
      </c>
      <c r="I790">
        <v>8</v>
      </c>
      <c r="J790" s="3">
        <v>47</v>
      </c>
      <c r="K790" s="3">
        <f>+Treinamentos[[#This Row],[Alunos]]*Treinamentos[[#This Row],[Valor]]</f>
        <v>376</v>
      </c>
    </row>
    <row r="791" spans="1:11" x14ac:dyDescent="0.25">
      <c r="A791">
        <v>5144</v>
      </c>
      <c r="B791" s="1" t="s">
        <v>17</v>
      </c>
      <c r="C791" s="1" t="s">
        <v>53</v>
      </c>
      <c r="D791" s="2">
        <v>43138.375</v>
      </c>
      <c r="E791" s="2">
        <v>43144.75</v>
      </c>
      <c r="F791" s="1" t="s">
        <v>12</v>
      </c>
      <c r="G791" s="1" t="s">
        <v>19</v>
      </c>
      <c r="H791">
        <v>5</v>
      </c>
      <c r="I791">
        <v>11</v>
      </c>
      <c r="J791" s="3">
        <v>31</v>
      </c>
      <c r="K791" s="3">
        <f>+Treinamentos[[#This Row],[Alunos]]*Treinamentos[[#This Row],[Valor]]</f>
        <v>341</v>
      </c>
    </row>
    <row r="792" spans="1:11" x14ac:dyDescent="0.25">
      <c r="A792">
        <v>5145</v>
      </c>
      <c r="B792" s="1" t="s">
        <v>16</v>
      </c>
      <c r="C792" s="1" t="s">
        <v>55</v>
      </c>
      <c r="D792" s="2">
        <v>43139.333333333336</v>
      </c>
      <c r="E792" s="2">
        <v>43152.5</v>
      </c>
      <c r="F792" s="1" t="s">
        <v>12</v>
      </c>
      <c r="G792" s="1" t="s">
        <v>33</v>
      </c>
      <c r="H792">
        <v>4</v>
      </c>
      <c r="I792">
        <v>12</v>
      </c>
      <c r="J792" s="3">
        <v>73</v>
      </c>
      <c r="K792" s="3">
        <f>+Treinamentos[[#This Row],[Alunos]]*Treinamentos[[#This Row],[Valor]]</f>
        <v>876</v>
      </c>
    </row>
    <row r="793" spans="1:11" x14ac:dyDescent="0.25">
      <c r="A793">
        <v>5146</v>
      </c>
      <c r="B793" s="1" t="s">
        <v>25</v>
      </c>
      <c r="C793" s="1" t="s">
        <v>59</v>
      </c>
      <c r="D793" s="2">
        <v>43139.333333333336</v>
      </c>
      <c r="E793" s="2">
        <v>43152.5</v>
      </c>
      <c r="F793" s="1" t="s">
        <v>12</v>
      </c>
      <c r="G793" s="1" t="s">
        <v>19</v>
      </c>
      <c r="H793">
        <v>2</v>
      </c>
      <c r="I793">
        <v>12</v>
      </c>
      <c r="J793" s="3">
        <v>47</v>
      </c>
      <c r="K793" s="3">
        <f>+Treinamentos[[#This Row],[Alunos]]*Treinamentos[[#This Row],[Valor]]</f>
        <v>564</v>
      </c>
    </row>
    <row r="794" spans="1:11" x14ac:dyDescent="0.25">
      <c r="A794">
        <v>5147</v>
      </c>
      <c r="B794" s="1" t="s">
        <v>37</v>
      </c>
      <c r="C794" s="1" t="s">
        <v>55</v>
      </c>
      <c r="D794" s="2">
        <v>43140.375</v>
      </c>
      <c r="E794" s="2">
        <v>43145.75</v>
      </c>
      <c r="F794" s="1" t="s">
        <v>21</v>
      </c>
      <c r="G794" s="1" t="s">
        <v>36</v>
      </c>
      <c r="H794">
        <v>4</v>
      </c>
      <c r="I794">
        <v>9</v>
      </c>
      <c r="J794" s="3">
        <v>73</v>
      </c>
      <c r="K794" s="3">
        <f>+Treinamentos[[#This Row],[Alunos]]*Treinamentos[[#This Row],[Valor]]</f>
        <v>657</v>
      </c>
    </row>
    <row r="795" spans="1:11" x14ac:dyDescent="0.25">
      <c r="A795">
        <v>5148</v>
      </c>
      <c r="B795" s="1" t="s">
        <v>28</v>
      </c>
      <c r="C795" s="1" t="s">
        <v>53</v>
      </c>
      <c r="D795" s="2">
        <v>43142.791666666664</v>
      </c>
      <c r="E795" s="2">
        <v>43153.958333333336</v>
      </c>
      <c r="F795" s="1" t="s">
        <v>12</v>
      </c>
      <c r="G795" s="1" t="s">
        <v>24</v>
      </c>
      <c r="H795">
        <v>2</v>
      </c>
      <c r="I795">
        <v>9</v>
      </c>
      <c r="J795" s="3">
        <v>31</v>
      </c>
      <c r="K795" s="3">
        <f>+Treinamentos[[#This Row],[Alunos]]*Treinamentos[[#This Row],[Valor]]</f>
        <v>279</v>
      </c>
    </row>
    <row r="796" spans="1:11" x14ac:dyDescent="0.25">
      <c r="A796">
        <v>5149</v>
      </c>
      <c r="B796" s="1" t="s">
        <v>16</v>
      </c>
      <c r="C796" s="1" t="s">
        <v>50</v>
      </c>
      <c r="D796" s="2">
        <v>43143.791666666664</v>
      </c>
      <c r="E796" s="2">
        <v>43156.958333333336</v>
      </c>
      <c r="F796" s="1" t="s">
        <v>21</v>
      </c>
      <c r="G796" s="1" t="s">
        <v>24</v>
      </c>
      <c r="H796">
        <v>3</v>
      </c>
      <c r="I796">
        <v>10</v>
      </c>
      <c r="J796" s="3">
        <v>33</v>
      </c>
      <c r="K796" s="3">
        <f>+Treinamentos[[#This Row],[Alunos]]*Treinamentos[[#This Row],[Valor]]</f>
        <v>330</v>
      </c>
    </row>
    <row r="797" spans="1:11" x14ac:dyDescent="0.25">
      <c r="A797">
        <v>5150</v>
      </c>
      <c r="B797" s="1" t="s">
        <v>37</v>
      </c>
      <c r="C797" s="1" t="s">
        <v>50</v>
      </c>
      <c r="D797" s="2">
        <v>43143.791666666664</v>
      </c>
      <c r="E797" s="2">
        <v>43156.958333333336</v>
      </c>
      <c r="F797" s="1" t="s">
        <v>12</v>
      </c>
      <c r="G797" s="1" t="s">
        <v>34</v>
      </c>
      <c r="H797">
        <v>5</v>
      </c>
      <c r="I797">
        <v>11</v>
      </c>
      <c r="J797" s="3">
        <v>33</v>
      </c>
      <c r="K797" s="3">
        <f>+Treinamentos[[#This Row],[Alunos]]*Treinamentos[[#This Row],[Valor]]</f>
        <v>363</v>
      </c>
    </row>
    <row r="798" spans="1:11" x14ac:dyDescent="0.25">
      <c r="A798">
        <v>5151</v>
      </c>
      <c r="B798" s="1" t="s">
        <v>25</v>
      </c>
      <c r="C798" s="1" t="s">
        <v>59</v>
      </c>
      <c r="D798" s="2">
        <v>43144.583333333336</v>
      </c>
      <c r="E798" s="2">
        <v>43157.75</v>
      </c>
      <c r="F798" s="1" t="s">
        <v>21</v>
      </c>
      <c r="G798" s="1" t="s">
        <v>22</v>
      </c>
      <c r="H798">
        <v>2</v>
      </c>
      <c r="I798">
        <v>12</v>
      </c>
      <c r="J798" s="3">
        <v>47</v>
      </c>
      <c r="K798" s="3">
        <f>+Treinamentos[[#This Row],[Alunos]]*Treinamentos[[#This Row],[Valor]]</f>
        <v>564</v>
      </c>
    </row>
    <row r="799" spans="1:11" x14ac:dyDescent="0.25">
      <c r="A799">
        <v>5152</v>
      </c>
      <c r="B799" s="1" t="s">
        <v>17</v>
      </c>
      <c r="C799" s="1" t="s">
        <v>55</v>
      </c>
      <c r="D799" s="2">
        <v>43144.583333333336</v>
      </c>
      <c r="E799" s="2">
        <v>43157.75</v>
      </c>
      <c r="F799" s="1" t="s">
        <v>12</v>
      </c>
      <c r="G799" s="1" t="s">
        <v>24</v>
      </c>
      <c r="H799">
        <v>3</v>
      </c>
      <c r="I799">
        <v>11</v>
      </c>
      <c r="J799" s="3">
        <v>73</v>
      </c>
      <c r="K799" s="3">
        <f>+Treinamentos[[#This Row],[Alunos]]*Treinamentos[[#This Row],[Valor]]</f>
        <v>803</v>
      </c>
    </row>
    <row r="800" spans="1:11" x14ac:dyDescent="0.25">
      <c r="A800">
        <v>5153</v>
      </c>
      <c r="B800" s="1" t="s">
        <v>28</v>
      </c>
      <c r="C800" s="1" t="s">
        <v>57</v>
      </c>
      <c r="D800" s="2">
        <v>43146.333333333336</v>
      </c>
      <c r="E800" s="2">
        <v>43159.5</v>
      </c>
      <c r="F800" s="1" t="s">
        <v>12</v>
      </c>
      <c r="G800" s="1" t="s">
        <v>24</v>
      </c>
      <c r="H800">
        <v>4</v>
      </c>
      <c r="I800">
        <v>12</v>
      </c>
      <c r="J800" s="3">
        <v>51</v>
      </c>
      <c r="K800" s="3">
        <f>+Treinamentos[[#This Row],[Alunos]]*Treinamentos[[#This Row],[Valor]]</f>
        <v>612</v>
      </c>
    </row>
    <row r="801" spans="1:11" x14ac:dyDescent="0.25">
      <c r="A801">
        <v>5154</v>
      </c>
      <c r="B801" s="1" t="s">
        <v>25</v>
      </c>
      <c r="C801" s="1" t="s">
        <v>58</v>
      </c>
      <c r="D801" s="2">
        <v>43146.333333333336</v>
      </c>
      <c r="E801" s="2">
        <v>43159.5</v>
      </c>
      <c r="F801" s="1" t="s">
        <v>21</v>
      </c>
      <c r="G801" s="1" t="s">
        <v>24</v>
      </c>
      <c r="H801">
        <v>3</v>
      </c>
      <c r="I801">
        <v>8</v>
      </c>
      <c r="J801" s="3">
        <v>47</v>
      </c>
      <c r="K801" s="3">
        <f>+Treinamentos[[#This Row],[Alunos]]*Treinamentos[[#This Row],[Valor]]</f>
        <v>376</v>
      </c>
    </row>
    <row r="802" spans="1:11" x14ac:dyDescent="0.25">
      <c r="A802">
        <v>5155</v>
      </c>
      <c r="B802" s="1" t="s">
        <v>17</v>
      </c>
      <c r="C802" s="1" t="s">
        <v>56</v>
      </c>
      <c r="D802" s="2">
        <v>43147.375</v>
      </c>
      <c r="E802" s="2">
        <v>43152.75</v>
      </c>
      <c r="F802" s="1" t="s">
        <v>12</v>
      </c>
      <c r="G802" s="1" t="s">
        <v>48</v>
      </c>
      <c r="H802">
        <v>4</v>
      </c>
      <c r="I802">
        <v>12</v>
      </c>
      <c r="J802" s="3">
        <v>62</v>
      </c>
      <c r="K802" s="3">
        <f>+Treinamentos[[#This Row],[Alunos]]*Treinamentos[[#This Row],[Valor]]</f>
        <v>744</v>
      </c>
    </row>
    <row r="803" spans="1:11" x14ac:dyDescent="0.25">
      <c r="A803">
        <v>5156</v>
      </c>
      <c r="B803" s="1" t="s">
        <v>30</v>
      </c>
      <c r="C803" s="1" t="s">
        <v>56</v>
      </c>
      <c r="D803" s="2">
        <v>43147.375</v>
      </c>
      <c r="E803" s="2">
        <v>43152.75</v>
      </c>
      <c r="F803" s="1" t="s">
        <v>21</v>
      </c>
      <c r="G803" s="1" t="s">
        <v>19</v>
      </c>
      <c r="H803">
        <v>2</v>
      </c>
      <c r="I803">
        <v>12</v>
      </c>
      <c r="J803" s="3">
        <v>62</v>
      </c>
      <c r="K803" s="3">
        <f>+Treinamentos[[#This Row],[Alunos]]*Treinamentos[[#This Row],[Valor]]</f>
        <v>744</v>
      </c>
    </row>
    <row r="804" spans="1:11" x14ac:dyDescent="0.25">
      <c r="A804">
        <v>5157</v>
      </c>
      <c r="B804" s="1" t="s">
        <v>17</v>
      </c>
      <c r="C804" s="1" t="s">
        <v>52</v>
      </c>
      <c r="D804" s="2">
        <v>43149.791666666664</v>
      </c>
      <c r="E804" s="2">
        <v>43160.958333333336</v>
      </c>
      <c r="F804" s="1" t="s">
        <v>12</v>
      </c>
      <c r="G804" s="1" t="s">
        <v>32</v>
      </c>
      <c r="H804">
        <v>5</v>
      </c>
      <c r="I804">
        <v>12</v>
      </c>
      <c r="J804" s="3">
        <v>47</v>
      </c>
      <c r="K804" s="3">
        <f>+Treinamentos[[#This Row],[Alunos]]*Treinamentos[[#This Row],[Valor]]</f>
        <v>564</v>
      </c>
    </row>
    <row r="805" spans="1:11" x14ac:dyDescent="0.25">
      <c r="A805">
        <v>5158</v>
      </c>
      <c r="B805" s="1" t="s">
        <v>28</v>
      </c>
      <c r="C805" s="1" t="s">
        <v>53</v>
      </c>
      <c r="D805" s="2">
        <v>43150.791666666664</v>
      </c>
      <c r="E805" s="2">
        <v>43163.958333333336</v>
      </c>
      <c r="F805" s="1" t="s">
        <v>12</v>
      </c>
      <c r="G805" s="1" t="s">
        <v>44</v>
      </c>
      <c r="H805">
        <v>5</v>
      </c>
      <c r="I805">
        <v>8</v>
      </c>
      <c r="J805" s="3">
        <v>31</v>
      </c>
      <c r="K805" s="3">
        <f>+Treinamentos[[#This Row],[Alunos]]*Treinamentos[[#This Row],[Valor]]</f>
        <v>248</v>
      </c>
    </row>
    <row r="806" spans="1:11" x14ac:dyDescent="0.25">
      <c r="A806">
        <v>5159</v>
      </c>
      <c r="B806" s="1" t="s">
        <v>17</v>
      </c>
      <c r="C806" s="1" t="s">
        <v>53</v>
      </c>
      <c r="D806" s="2">
        <v>43150.791666666664</v>
      </c>
      <c r="E806" s="2">
        <v>43163.958333333336</v>
      </c>
      <c r="F806" s="1" t="s">
        <v>12</v>
      </c>
      <c r="G806" s="1" t="s">
        <v>33</v>
      </c>
      <c r="H806">
        <v>3</v>
      </c>
      <c r="I806">
        <v>11</v>
      </c>
      <c r="J806" s="3">
        <v>31</v>
      </c>
      <c r="K806" s="3">
        <f>+Treinamentos[[#This Row],[Alunos]]*Treinamentos[[#This Row],[Valor]]</f>
        <v>341</v>
      </c>
    </row>
    <row r="807" spans="1:11" x14ac:dyDescent="0.25">
      <c r="A807">
        <v>5160</v>
      </c>
      <c r="B807" s="1" t="s">
        <v>28</v>
      </c>
      <c r="C807" s="1" t="s">
        <v>50</v>
      </c>
      <c r="D807" s="2">
        <v>43150.791666666664</v>
      </c>
      <c r="E807" s="2">
        <v>43163.958333333336</v>
      </c>
      <c r="F807" s="1" t="s">
        <v>21</v>
      </c>
      <c r="G807" s="1" t="s">
        <v>48</v>
      </c>
      <c r="H807">
        <v>3</v>
      </c>
      <c r="I807">
        <v>11</v>
      </c>
      <c r="J807" s="3">
        <v>33</v>
      </c>
      <c r="K807" s="3">
        <f>+Treinamentos[[#This Row],[Alunos]]*Treinamentos[[#This Row],[Valor]]</f>
        <v>363</v>
      </c>
    </row>
    <row r="808" spans="1:11" x14ac:dyDescent="0.25">
      <c r="A808">
        <v>5161</v>
      </c>
      <c r="B808" s="1" t="s">
        <v>28</v>
      </c>
      <c r="C808" s="1" t="s">
        <v>56</v>
      </c>
      <c r="D808" s="2">
        <v>43150.791666666664</v>
      </c>
      <c r="E808" s="2">
        <v>43163.958333333336</v>
      </c>
      <c r="F808" s="1" t="s">
        <v>21</v>
      </c>
      <c r="G808" s="1" t="s">
        <v>46</v>
      </c>
      <c r="H808">
        <v>3</v>
      </c>
      <c r="I808">
        <v>12</v>
      </c>
      <c r="J808" s="3">
        <v>62</v>
      </c>
      <c r="K808" s="3">
        <f>+Treinamentos[[#This Row],[Alunos]]*Treinamentos[[#This Row],[Valor]]</f>
        <v>744</v>
      </c>
    </row>
    <row r="809" spans="1:11" x14ac:dyDescent="0.25">
      <c r="A809">
        <v>5162</v>
      </c>
      <c r="B809" s="1" t="s">
        <v>37</v>
      </c>
      <c r="C809" s="1" t="s">
        <v>60</v>
      </c>
      <c r="D809" s="2">
        <v>43151.583333333336</v>
      </c>
      <c r="E809" s="2">
        <v>43164.75</v>
      </c>
      <c r="F809" s="1" t="s">
        <v>12</v>
      </c>
      <c r="G809" s="1" t="s">
        <v>34</v>
      </c>
      <c r="H809">
        <v>3</v>
      </c>
      <c r="I809">
        <v>10</v>
      </c>
      <c r="J809" s="3">
        <v>41</v>
      </c>
      <c r="K809" s="3">
        <f>+Treinamentos[[#This Row],[Alunos]]*Treinamentos[[#This Row],[Valor]]</f>
        <v>410</v>
      </c>
    </row>
    <row r="810" spans="1:11" x14ac:dyDescent="0.25">
      <c r="A810">
        <v>5163</v>
      </c>
      <c r="B810" s="1" t="s">
        <v>37</v>
      </c>
      <c r="C810" s="1" t="s">
        <v>53</v>
      </c>
      <c r="D810" s="2">
        <v>43151.583333333336</v>
      </c>
      <c r="E810" s="2">
        <v>43164.75</v>
      </c>
      <c r="F810" s="1" t="s">
        <v>12</v>
      </c>
      <c r="G810" s="1" t="s">
        <v>22</v>
      </c>
      <c r="H810">
        <v>5</v>
      </c>
      <c r="I810">
        <v>12</v>
      </c>
      <c r="J810" s="3">
        <v>31</v>
      </c>
      <c r="K810" s="3">
        <f>+Treinamentos[[#This Row],[Alunos]]*Treinamentos[[#This Row],[Valor]]</f>
        <v>372</v>
      </c>
    </row>
    <row r="811" spans="1:11" x14ac:dyDescent="0.25">
      <c r="A811">
        <v>5164</v>
      </c>
      <c r="B811" s="1" t="s">
        <v>30</v>
      </c>
      <c r="C811" s="1" t="s">
        <v>60</v>
      </c>
      <c r="D811" s="2">
        <v>43151.583333333336</v>
      </c>
      <c r="E811" s="2">
        <v>43164.75</v>
      </c>
      <c r="F811" s="1" t="s">
        <v>12</v>
      </c>
      <c r="G811" s="1" t="s">
        <v>13</v>
      </c>
      <c r="H811">
        <v>3</v>
      </c>
      <c r="I811">
        <v>11</v>
      </c>
      <c r="J811" s="3">
        <v>41</v>
      </c>
      <c r="K811" s="3">
        <f>+Treinamentos[[#This Row],[Alunos]]*Treinamentos[[#This Row],[Valor]]</f>
        <v>451</v>
      </c>
    </row>
    <row r="812" spans="1:11" x14ac:dyDescent="0.25">
      <c r="A812">
        <v>5165</v>
      </c>
      <c r="B812" s="1" t="s">
        <v>30</v>
      </c>
      <c r="C812" s="1" t="s">
        <v>57</v>
      </c>
      <c r="D812" s="2">
        <v>43152.375</v>
      </c>
      <c r="E812" s="2">
        <v>43158.75</v>
      </c>
      <c r="F812" s="1" t="s">
        <v>12</v>
      </c>
      <c r="G812" s="1" t="s">
        <v>36</v>
      </c>
      <c r="H812">
        <v>5</v>
      </c>
      <c r="I812">
        <v>11</v>
      </c>
      <c r="J812" s="3">
        <v>51</v>
      </c>
      <c r="K812" s="3">
        <f>+Treinamentos[[#This Row],[Alunos]]*Treinamentos[[#This Row],[Valor]]</f>
        <v>561</v>
      </c>
    </row>
    <row r="813" spans="1:11" x14ac:dyDescent="0.25">
      <c r="A813">
        <v>5166</v>
      </c>
      <c r="B813" s="1" t="s">
        <v>28</v>
      </c>
      <c r="C813" s="1" t="s">
        <v>53</v>
      </c>
      <c r="D813" s="2">
        <v>43153.333333333336</v>
      </c>
      <c r="E813" s="2">
        <v>43166.5</v>
      </c>
      <c r="F813" s="1" t="s">
        <v>12</v>
      </c>
      <c r="G813" s="1" t="s">
        <v>44</v>
      </c>
      <c r="H813">
        <v>5</v>
      </c>
      <c r="I813">
        <v>9</v>
      </c>
      <c r="J813" s="3">
        <v>31</v>
      </c>
      <c r="K813" s="3">
        <f>+Treinamentos[[#This Row],[Alunos]]*Treinamentos[[#This Row],[Valor]]</f>
        <v>279</v>
      </c>
    </row>
    <row r="814" spans="1:11" x14ac:dyDescent="0.25">
      <c r="A814">
        <v>5167</v>
      </c>
      <c r="B814" s="1" t="s">
        <v>17</v>
      </c>
      <c r="C814" s="1" t="s">
        <v>61</v>
      </c>
      <c r="D814" s="2">
        <v>43153.333333333336</v>
      </c>
      <c r="E814" s="2">
        <v>43166.5</v>
      </c>
      <c r="F814" s="1" t="s">
        <v>21</v>
      </c>
      <c r="G814" s="1" t="s">
        <v>27</v>
      </c>
      <c r="H814">
        <v>2</v>
      </c>
      <c r="I814">
        <v>10</v>
      </c>
      <c r="J814" s="3">
        <v>61</v>
      </c>
      <c r="K814" s="3">
        <f>+Treinamentos[[#This Row],[Alunos]]*Treinamentos[[#This Row],[Valor]]</f>
        <v>610</v>
      </c>
    </row>
    <row r="815" spans="1:11" x14ac:dyDescent="0.25">
      <c r="A815">
        <v>5168</v>
      </c>
      <c r="B815" s="1" t="s">
        <v>37</v>
      </c>
      <c r="C815" s="1" t="s">
        <v>49</v>
      </c>
      <c r="D815" s="2">
        <v>43153.333333333336</v>
      </c>
      <c r="E815" s="2">
        <v>43166.5</v>
      </c>
      <c r="F815" s="1" t="s">
        <v>21</v>
      </c>
      <c r="G815" s="1" t="s">
        <v>22</v>
      </c>
      <c r="H815">
        <v>5</v>
      </c>
      <c r="I815">
        <v>12</v>
      </c>
      <c r="J815" s="3">
        <v>52</v>
      </c>
      <c r="K815" s="3">
        <f>+Treinamentos[[#This Row],[Alunos]]*Treinamentos[[#This Row],[Valor]]</f>
        <v>624</v>
      </c>
    </row>
    <row r="816" spans="1:11" x14ac:dyDescent="0.25">
      <c r="A816">
        <v>5169</v>
      </c>
      <c r="B816" s="1" t="s">
        <v>28</v>
      </c>
      <c r="C816" s="1" t="s">
        <v>50</v>
      </c>
      <c r="D816" s="2">
        <v>43154.375</v>
      </c>
      <c r="E816" s="2">
        <v>43159.75</v>
      </c>
      <c r="F816" s="1" t="s">
        <v>12</v>
      </c>
      <c r="G816" s="1" t="s">
        <v>33</v>
      </c>
      <c r="H816">
        <v>5</v>
      </c>
      <c r="I816">
        <v>8</v>
      </c>
      <c r="J816" s="3">
        <v>33</v>
      </c>
      <c r="K816" s="3">
        <f>+Treinamentos[[#This Row],[Alunos]]*Treinamentos[[#This Row],[Valor]]</f>
        <v>264</v>
      </c>
    </row>
    <row r="817" spans="1:11" x14ac:dyDescent="0.25">
      <c r="A817">
        <v>5170</v>
      </c>
      <c r="B817" s="1" t="s">
        <v>17</v>
      </c>
      <c r="C817" s="1" t="s">
        <v>60</v>
      </c>
      <c r="D817" s="2">
        <v>43154.375</v>
      </c>
      <c r="E817" s="2">
        <v>43159.75</v>
      </c>
      <c r="F817" s="1" t="s">
        <v>21</v>
      </c>
      <c r="G817" s="1" t="s">
        <v>46</v>
      </c>
      <c r="H817">
        <v>5</v>
      </c>
      <c r="I817">
        <v>10</v>
      </c>
      <c r="J817" s="3">
        <v>41</v>
      </c>
      <c r="K817" s="3">
        <f>+Treinamentos[[#This Row],[Alunos]]*Treinamentos[[#This Row],[Valor]]</f>
        <v>410</v>
      </c>
    </row>
    <row r="818" spans="1:11" x14ac:dyDescent="0.25">
      <c r="A818">
        <v>5171</v>
      </c>
      <c r="B818" s="1" t="s">
        <v>28</v>
      </c>
      <c r="C818" s="1" t="s">
        <v>61</v>
      </c>
      <c r="D818" s="2">
        <v>43154.375</v>
      </c>
      <c r="E818" s="2">
        <v>43159.75</v>
      </c>
      <c r="F818" s="1" t="s">
        <v>21</v>
      </c>
      <c r="G818" s="1" t="s">
        <v>19</v>
      </c>
      <c r="H818">
        <v>2</v>
      </c>
      <c r="I818">
        <v>10</v>
      </c>
      <c r="J818" s="3">
        <v>61</v>
      </c>
      <c r="K818" s="3">
        <f>+Treinamentos[[#This Row],[Alunos]]*Treinamentos[[#This Row],[Valor]]</f>
        <v>610</v>
      </c>
    </row>
    <row r="819" spans="1:11" x14ac:dyDescent="0.25">
      <c r="A819">
        <v>5172</v>
      </c>
      <c r="B819" s="1" t="s">
        <v>16</v>
      </c>
      <c r="C819" s="1" t="s">
        <v>50</v>
      </c>
      <c r="D819" s="2">
        <v>43156.791666666664</v>
      </c>
      <c r="E819" s="2">
        <v>43167.958333333336</v>
      </c>
      <c r="F819" s="1" t="s">
        <v>21</v>
      </c>
      <c r="G819" s="1" t="s">
        <v>27</v>
      </c>
      <c r="H819">
        <v>3</v>
      </c>
      <c r="I819">
        <v>8</v>
      </c>
      <c r="J819" s="3">
        <v>33</v>
      </c>
      <c r="K819" s="3">
        <f>+Treinamentos[[#This Row],[Alunos]]*Treinamentos[[#This Row],[Valor]]</f>
        <v>264</v>
      </c>
    </row>
    <row r="820" spans="1:11" x14ac:dyDescent="0.25">
      <c r="A820">
        <v>5173</v>
      </c>
      <c r="B820" s="1" t="s">
        <v>25</v>
      </c>
      <c r="C820" s="1" t="s">
        <v>54</v>
      </c>
      <c r="D820" s="2">
        <v>43157.791666666664</v>
      </c>
      <c r="E820" s="2">
        <v>43170.958333333336</v>
      </c>
      <c r="F820" s="1" t="s">
        <v>21</v>
      </c>
      <c r="G820" s="1" t="s">
        <v>48</v>
      </c>
      <c r="H820">
        <v>3</v>
      </c>
      <c r="I820">
        <v>12</v>
      </c>
      <c r="J820" s="3">
        <v>42</v>
      </c>
      <c r="K820" s="3">
        <f>+Treinamentos[[#This Row],[Alunos]]*Treinamentos[[#This Row],[Valor]]</f>
        <v>504</v>
      </c>
    </row>
    <row r="821" spans="1:11" x14ac:dyDescent="0.25">
      <c r="A821">
        <v>5174</v>
      </c>
      <c r="B821" s="1" t="s">
        <v>37</v>
      </c>
      <c r="C821" s="1" t="s">
        <v>60</v>
      </c>
      <c r="D821" s="2">
        <v>43158.583333333336</v>
      </c>
      <c r="E821" s="2">
        <v>43171.75</v>
      </c>
      <c r="F821" s="1" t="s">
        <v>12</v>
      </c>
      <c r="G821" s="1" t="s">
        <v>38</v>
      </c>
      <c r="H821">
        <v>4</v>
      </c>
      <c r="I821">
        <v>12</v>
      </c>
      <c r="J821" s="3">
        <v>41</v>
      </c>
      <c r="K821" s="3">
        <f>+Treinamentos[[#This Row],[Alunos]]*Treinamentos[[#This Row],[Valor]]</f>
        <v>492</v>
      </c>
    </row>
    <row r="822" spans="1:11" x14ac:dyDescent="0.25">
      <c r="A822">
        <v>5175</v>
      </c>
      <c r="B822" s="1" t="s">
        <v>10</v>
      </c>
      <c r="C822" s="1" t="s">
        <v>54</v>
      </c>
      <c r="D822" s="2">
        <v>43158.583333333336</v>
      </c>
      <c r="E822" s="2">
        <v>43171.75</v>
      </c>
      <c r="F822" s="1" t="s">
        <v>21</v>
      </c>
      <c r="G822" s="1" t="s">
        <v>36</v>
      </c>
      <c r="H822">
        <v>5</v>
      </c>
      <c r="I822">
        <v>8</v>
      </c>
      <c r="J822" s="3">
        <v>42</v>
      </c>
      <c r="K822" s="3">
        <f>+Treinamentos[[#This Row],[Alunos]]*Treinamentos[[#This Row],[Valor]]</f>
        <v>336</v>
      </c>
    </row>
    <row r="823" spans="1:11" x14ac:dyDescent="0.25">
      <c r="A823">
        <v>5176</v>
      </c>
      <c r="B823" s="1" t="s">
        <v>17</v>
      </c>
      <c r="C823" s="1" t="s">
        <v>53</v>
      </c>
      <c r="D823" s="2">
        <v>43159.375</v>
      </c>
      <c r="E823" s="2">
        <v>43165.75</v>
      </c>
      <c r="F823" s="1" t="s">
        <v>21</v>
      </c>
      <c r="G823" s="1" t="s">
        <v>16</v>
      </c>
      <c r="H823">
        <v>5</v>
      </c>
      <c r="I823">
        <v>10</v>
      </c>
      <c r="J823" s="3">
        <v>31</v>
      </c>
      <c r="K823" s="3">
        <f>+Treinamentos[[#This Row],[Alunos]]*Treinamentos[[#This Row],[Valor]]</f>
        <v>310</v>
      </c>
    </row>
    <row r="824" spans="1:11" x14ac:dyDescent="0.25">
      <c r="A824">
        <v>5177</v>
      </c>
      <c r="B824" s="1" t="s">
        <v>16</v>
      </c>
      <c r="C824" s="1" t="s">
        <v>56</v>
      </c>
      <c r="D824" s="2">
        <v>43164.791666666664</v>
      </c>
      <c r="E824" s="2">
        <v>43177.958333333336</v>
      </c>
      <c r="F824" s="1" t="s">
        <v>12</v>
      </c>
      <c r="G824" s="1" t="s">
        <v>24</v>
      </c>
      <c r="H824">
        <v>4</v>
      </c>
      <c r="I824">
        <v>8</v>
      </c>
      <c r="J824" s="3">
        <v>62</v>
      </c>
      <c r="K824" s="3">
        <f>+Treinamentos[[#This Row],[Alunos]]*Treinamentos[[#This Row],[Valor]]</f>
        <v>496</v>
      </c>
    </row>
    <row r="825" spans="1:11" x14ac:dyDescent="0.25">
      <c r="A825">
        <v>5178</v>
      </c>
      <c r="B825" s="1" t="s">
        <v>17</v>
      </c>
      <c r="C825" s="1" t="s">
        <v>55</v>
      </c>
      <c r="D825" s="2">
        <v>43165.583333333336</v>
      </c>
      <c r="E825" s="2">
        <v>43178.75</v>
      </c>
      <c r="F825" s="1" t="s">
        <v>12</v>
      </c>
      <c r="G825" s="1" t="s">
        <v>34</v>
      </c>
      <c r="H825">
        <v>5</v>
      </c>
      <c r="I825">
        <v>12</v>
      </c>
      <c r="J825" s="3">
        <v>73</v>
      </c>
      <c r="K825" s="3">
        <f>+Treinamentos[[#This Row],[Alunos]]*Treinamentos[[#This Row],[Valor]]</f>
        <v>876</v>
      </c>
    </row>
    <row r="826" spans="1:11" x14ac:dyDescent="0.25">
      <c r="A826">
        <v>5179</v>
      </c>
      <c r="B826" s="1" t="s">
        <v>14</v>
      </c>
      <c r="C826" s="1" t="s">
        <v>52</v>
      </c>
      <c r="D826" s="2">
        <v>43167.333333333336</v>
      </c>
      <c r="E826" s="2">
        <v>43180.5</v>
      </c>
      <c r="F826" s="1" t="s">
        <v>21</v>
      </c>
      <c r="G826" s="1" t="s">
        <v>38</v>
      </c>
      <c r="H826">
        <v>3</v>
      </c>
      <c r="I826">
        <v>9</v>
      </c>
      <c r="J826" s="3">
        <v>47</v>
      </c>
      <c r="K826" s="3">
        <f>+Treinamentos[[#This Row],[Alunos]]*Treinamentos[[#This Row],[Valor]]</f>
        <v>423</v>
      </c>
    </row>
    <row r="827" spans="1:11" x14ac:dyDescent="0.25">
      <c r="A827">
        <v>5180</v>
      </c>
      <c r="B827" s="1" t="s">
        <v>37</v>
      </c>
      <c r="C827" s="1" t="s">
        <v>60</v>
      </c>
      <c r="D827" s="2">
        <v>43168.375</v>
      </c>
      <c r="E827" s="2">
        <v>43173.75</v>
      </c>
      <c r="F827" s="1" t="s">
        <v>12</v>
      </c>
      <c r="G827" s="1" t="s">
        <v>44</v>
      </c>
      <c r="H827">
        <v>5</v>
      </c>
      <c r="I827">
        <v>9</v>
      </c>
      <c r="J827" s="3">
        <v>41</v>
      </c>
      <c r="K827" s="3">
        <f>+Treinamentos[[#This Row],[Alunos]]*Treinamentos[[#This Row],[Valor]]</f>
        <v>369</v>
      </c>
    </row>
    <row r="828" spans="1:11" x14ac:dyDescent="0.25">
      <c r="A828">
        <v>5181</v>
      </c>
      <c r="B828" s="1" t="s">
        <v>10</v>
      </c>
      <c r="C828" s="1" t="s">
        <v>50</v>
      </c>
      <c r="D828" s="2">
        <v>43168.375</v>
      </c>
      <c r="E828" s="2">
        <v>43173.75</v>
      </c>
      <c r="F828" s="1" t="s">
        <v>21</v>
      </c>
      <c r="G828" s="1" t="s">
        <v>19</v>
      </c>
      <c r="H828">
        <v>5</v>
      </c>
      <c r="I828">
        <v>8</v>
      </c>
      <c r="J828" s="3">
        <v>33</v>
      </c>
      <c r="K828" s="3">
        <f>+Treinamentos[[#This Row],[Alunos]]*Treinamentos[[#This Row],[Valor]]</f>
        <v>264</v>
      </c>
    </row>
    <row r="829" spans="1:11" x14ac:dyDescent="0.25">
      <c r="A829">
        <v>5182</v>
      </c>
      <c r="B829" s="1" t="s">
        <v>41</v>
      </c>
      <c r="C829" s="1" t="s">
        <v>61</v>
      </c>
      <c r="D829" s="2">
        <v>43168.375</v>
      </c>
      <c r="E829" s="2">
        <v>43173.75</v>
      </c>
      <c r="F829" s="1" t="s">
        <v>12</v>
      </c>
      <c r="G829" s="1" t="s">
        <v>32</v>
      </c>
      <c r="H829">
        <v>4</v>
      </c>
      <c r="I829">
        <v>12</v>
      </c>
      <c r="J829" s="3">
        <v>61</v>
      </c>
      <c r="K829" s="3">
        <f>+Treinamentos[[#This Row],[Alunos]]*Treinamentos[[#This Row],[Valor]]</f>
        <v>732</v>
      </c>
    </row>
    <row r="830" spans="1:11" x14ac:dyDescent="0.25">
      <c r="A830">
        <v>5183</v>
      </c>
      <c r="B830" s="1" t="s">
        <v>41</v>
      </c>
      <c r="C830" s="1" t="s">
        <v>50</v>
      </c>
      <c r="D830" s="2">
        <v>43168.375</v>
      </c>
      <c r="E830" s="2">
        <v>43173.75</v>
      </c>
      <c r="F830" s="1" t="s">
        <v>21</v>
      </c>
      <c r="G830" s="1" t="s">
        <v>22</v>
      </c>
      <c r="H830">
        <v>3</v>
      </c>
      <c r="I830">
        <v>11</v>
      </c>
      <c r="J830" s="3">
        <v>33</v>
      </c>
      <c r="K830" s="3">
        <f>+Treinamentos[[#This Row],[Alunos]]*Treinamentos[[#This Row],[Valor]]</f>
        <v>363</v>
      </c>
    </row>
    <row r="831" spans="1:11" x14ac:dyDescent="0.25">
      <c r="A831">
        <v>5184</v>
      </c>
      <c r="B831" s="1" t="s">
        <v>14</v>
      </c>
      <c r="C831" s="1" t="s">
        <v>61</v>
      </c>
      <c r="D831" s="2">
        <v>43170.791666666664</v>
      </c>
      <c r="E831" s="2">
        <v>43181.958333333336</v>
      </c>
      <c r="F831" s="1" t="s">
        <v>12</v>
      </c>
      <c r="G831" s="1" t="s">
        <v>27</v>
      </c>
      <c r="H831">
        <v>3</v>
      </c>
      <c r="I831">
        <v>10</v>
      </c>
      <c r="J831" s="3">
        <v>61</v>
      </c>
      <c r="K831" s="3">
        <f>+Treinamentos[[#This Row],[Alunos]]*Treinamentos[[#This Row],[Valor]]</f>
        <v>610</v>
      </c>
    </row>
    <row r="832" spans="1:11" x14ac:dyDescent="0.25">
      <c r="A832">
        <v>5185</v>
      </c>
      <c r="B832" s="1" t="s">
        <v>30</v>
      </c>
      <c r="C832" s="1" t="s">
        <v>49</v>
      </c>
      <c r="D832" s="2">
        <v>43170.791666666664</v>
      </c>
      <c r="E832" s="2">
        <v>43181.958333333336</v>
      </c>
      <c r="F832" s="1" t="s">
        <v>21</v>
      </c>
      <c r="G832" s="1" t="s">
        <v>42</v>
      </c>
      <c r="H832">
        <v>2</v>
      </c>
      <c r="I832">
        <v>9</v>
      </c>
      <c r="J832" s="3">
        <v>52</v>
      </c>
      <c r="K832" s="3">
        <f>+Treinamentos[[#This Row],[Alunos]]*Treinamentos[[#This Row],[Valor]]</f>
        <v>468</v>
      </c>
    </row>
    <row r="833" spans="1:11" x14ac:dyDescent="0.25">
      <c r="A833">
        <v>5186</v>
      </c>
      <c r="B833" s="1" t="s">
        <v>28</v>
      </c>
      <c r="C833" s="1" t="s">
        <v>60</v>
      </c>
      <c r="D833" s="2">
        <v>43170.791666666664</v>
      </c>
      <c r="E833" s="2">
        <v>43181.958333333336</v>
      </c>
      <c r="F833" s="1" t="s">
        <v>21</v>
      </c>
      <c r="G833" s="1" t="s">
        <v>19</v>
      </c>
      <c r="H833">
        <v>5</v>
      </c>
      <c r="I833">
        <v>10</v>
      </c>
      <c r="J833" s="3">
        <v>41</v>
      </c>
      <c r="K833" s="3">
        <f>+Treinamentos[[#This Row],[Alunos]]*Treinamentos[[#This Row],[Valor]]</f>
        <v>410</v>
      </c>
    </row>
    <row r="834" spans="1:11" x14ac:dyDescent="0.25">
      <c r="A834">
        <v>5187</v>
      </c>
      <c r="B834" s="1" t="s">
        <v>37</v>
      </c>
      <c r="C834" s="1" t="s">
        <v>59</v>
      </c>
      <c r="D834" s="2">
        <v>43173.375</v>
      </c>
      <c r="E834" s="2">
        <v>43179.75</v>
      </c>
      <c r="F834" s="1" t="s">
        <v>12</v>
      </c>
      <c r="G834" s="1" t="s">
        <v>24</v>
      </c>
      <c r="H834">
        <v>2</v>
      </c>
      <c r="I834">
        <v>12</v>
      </c>
      <c r="J834" s="3">
        <v>47</v>
      </c>
      <c r="K834" s="3">
        <f>+Treinamentos[[#This Row],[Alunos]]*Treinamentos[[#This Row],[Valor]]</f>
        <v>564</v>
      </c>
    </row>
    <row r="835" spans="1:11" x14ac:dyDescent="0.25">
      <c r="A835">
        <v>5188</v>
      </c>
      <c r="B835" s="1" t="s">
        <v>25</v>
      </c>
      <c r="C835" s="1" t="s">
        <v>57</v>
      </c>
      <c r="D835" s="2">
        <v>43173.375</v>
      </c>
      <c r="E835" s="2">
        <v>43179.75</v>
      </c>
      <c r="F835" s="1" t="s">
        <v>12</v>
      </c>
      <c r="G835" s="1" t="s">
        <v>32</v>
      </c>
      <c r="H835">
        <v>4</v>
      </c>
      <c r="I835">
        <v>12</v>
      </c>
      <c r="J835" s="3">
        <v>51</v>
      </c>
      <c r="K835" s="3">
        <f>+Treinamentos[[#This Row],[Alunos]]*Treinamentos[[#This Row],[Valor]]</f>
        <v>612</v>
      </c>
    </row>
    <row r="836" spans="1:11" x14ac:dyDescent="0.25">
      <c r="A836">
        <v>5189</v>
      </c>
      <c r="B836" s="1" t="s">
        <v>16</v>
      </c>
      <c r="C836" s="1" t="s">
        <v>54</v>
      </c>
      <c r="D836" s="2">
        <v>43174.333333333336</v>
      </c>
      <c r="E836" s="2">
        <v>43187.5</v>
      </c>
      <c r="F836" s="1" t="s">
        <v>21</v>
      </c>
      <c r="G836" s="1" t="s">
        <v>34</v>
      </c>
      <c r="H836">
        <v>2</v>
      </c>
      <c r="I836">
        <v>9</v>
      </c>
      <c r="J836" s="3">
        <v>42</v>
      </c>
      <c r="K836" s="3">
        <f>+Treinamentos[[#This Row],[Alunos]]*Treinamentos[[#This Row],[Valor]]</f>
        <v>378</v>
      </c>
    </row>
    <row r="837" spans="1:11" x14ac:dyDescent="0.25">
      <c r="A837">
        <v>5190</v>
      </c>
      <c r="B837" s="1" t="s">
        <v>28</v>
      </c>
      <c r="C837" s="1" t="s">
        <v>51</v>
      </c>
      <c r="D837" s="2">
        <v>43174.333333333336</v>
      </c>
      <c r="E837" s="2">
        <v>43187.5</v>
      </c>
      <c r="F837" s="1" t="s">
        <v>21</v>
      </c>
      <c r="G837" s="1" t="s">
        <v>33</v>
      </c>
      <c r="I837">
        <v>11</v>
      </c>
      <c r="J837" s="3">
        <v>61</v>
      </c>
      <c r="K837" s="3">
        <f>+Treinamentos[[#This Row],[Alunos]]*Treinamentos[[#This Row],[Valor]]</f>
        <v>671</v>
      </c>
    </row>
    <row r="838" spans="1:11" x14ac:dyDescent="0.25">
      <c r="A838">
        <v>5191</v>
      </c>
      <c r="B838" s="1" t="s">
        <v>17</v>
      </c>
      <c r="C838" s="1" t="s">
        <v>49</v>
      </c>
      <c r="D838" s="2">
        <v>43174.333333333336</v>
      </c>
      <c r="E838" s="2">
        <v>43187.5</v>
      </c>
      <c r="F838" s="1" t="s">
        <v>21</v>
      </c>
      <c r="G838" s="1" t="s">
        <v>34</v>
      </c>
      <c r="H838">
        <v>2</v>
      </c>
      <c r="I838">
        <v>9</v>
      </c>
      <c r="J838" s="3">
        <v>52</v>
      </c>
      <c r="K838" s="3">
        <f>+Treinamentos[[#This Row],[Alunos]]*Treinamentos[[#This Row],[Valor]]</f>
        <v>468</v>
      </c>
    </row>
    <row r="839" spans="1:11" x14ac:dyDescent="0.25">
      <c r="A839">
        <v>5192</v>
      </c>
      <c r="B839" s="1" t="s">
        <v>25</v>
      </c>
      <c r="C839" s="1" t="s">
        <v>60</v>
      </c>
      <c r="D839" s="2">
        <v>43174.333333333336</v>
      </c>
      <c r="E839" s="2">
        <v>43187.5</v>
      </c>
      <c r="F839" s="1" t="s">
        <v>21</v>
      </c>
      <c r="G839" s="1" t="s">
        <v>22</v>
      </c>
      <c r="H839">
        <v>2</v>
      </c>
      <c r="I839">
        <v>9</v>
      </c>
      <c r="J839" s="3">
        <v>41</v>
      </c>
      <c r="K839" s="3">
        <f>+Treinamentos[[#This Row],[Alunos]]*Treinamentos[[#This Row],[Valor]]</f>
        <v>369</v>
      </c>
    </row>
    <row r="840" spans="1:11" x14ac:dyDescent="0.25">
      <c r="A840">
        <v>5193</v>
      </c>
      <c r="B840" s="1" t="s">
        <v>10</v>
      </c>
      <c r="C840" s="1" t="s">
        <v>55</v>
      </c>
      <c r="D840" s="2">
        <v>43177.791666666664</v>
      </c>
      <c r="E840" s="2">
        <v>43188.958333333336</v>
      </c>
      <c r="F840" s="1" t="s">
        <v>12</v>
      </c>
      <c r="G840" s="1" t="s">
        <v>24</v>
      </c>
      <c r="H840">
        <v>3</v>
      </c>
      <c r="I840">
        <v>9</v>
      </c>
      <c r="J840" s="3">
        <v>73</v>
      </c>
      <c r="K840" s="3">
        <f>+Treinamentos[[#This Row],[Alunos]]*Treinamentos[[#This Row],[Valor]]</f>
        <v>657</v>
      </c>
    </row>
    <row r="841" spans="1:11" x14ac:dyDescent="0.25">
      <c r="A841">
        <v>5194</v>
      </c>
      <c r="B841" s="1" t="s">
        <v>16</v>
      </c>
      <c r="C841" s="1" t="s">
        <v>49</v>
      </c>
      <c r="D841" s="2">
        <v>43178.791666666664</v>
      </c>
      <c r="E841" s="2">
        <v>43191.958333333336</v>
      </c>
      <c r="F841" s="1" t="s">
        <v>21</v>
      </c>
      <c r="G841" s="1" t="s">
        <v>32</v>
      </c>
      <c r="H841">
        <v>5</v>
      </c>
      <c r="I841">
        <v>8</v>
      </c>
      <c r="J841" s="3">
        <v>52</v>
      </c>
      <c r="K841" s="3">
        <f>+Treinamentos[[#This Row],[Alunos]]*Treinamentos[[#This Row],[Valor]]</f>
        <v>416</v>
      </c>
    </row>
    <row r="842" spans="1:11" x14ac:dyDescent="0.25">
      <c r="A842">
        <v>5195</v>
      </c>
      <c r="B842" s="1" t="s">
        <v>14</v>
      </c>
      <c r="C842" s="1" t="s">
        <v>53</v>
      </c>
      <c r="D842" s="2">
        <v>43179.583333333336</v>
      </c>
      <c r="E842" s="2">
        <v>43192.75</v>
      </c>
      <c r="F842" s="1" t="s">
        <v>12</v>
      </c>
      <c r="G842" s="1" t="s">
        <v>19</v>
      </c>
      <c r="H842">
        <v>5</v>
      </c>
      <c r="I842">
        <v>9</v>
      </c>
      <c r="J842" s="3">
        <v>31</v>
      </c>
      <c r="K842" s="3">
        <f>+Treinamentos[[#This Row],[Alunos]]*Treinamentos[[#This Row],[Valor]]</f>
        <v>279</v>
      </c>
    </row>
    <row r="843" spans="1:11" x14ac:dyDescent="0.25">
      <c r="A843">
        <v>5196</v>
      </c>
      <c r="B843" s="1" t="s">
        <v>37</v>
      </c>
      <c r="C843" s="1" t="s">
        <v>51</v>
      </c>
      <c r="D843" s="2">
        <v>43179.583333333336</v>
      </c>
      <c r="E843" s="2">
        <v>43192.75</v>
      </c>
      <c r="F843" s="1" t="s">
        <v>21</v>
      </c>
      <c r="G843" s="1" t="s">
        <v>27</v>
      </c>
      <c r="H843">
        <v>4</v>
      </c>
      <c r="I843">
        <v>8</v>
      </c>
      <c r="J843" s="3">
        <v>61</v>
      </c>
      <c r="K843" s="3">
        <f>+Treinamentos[[#This Row],[Alunos]]*Treinamentos[[#This Row],[Valor]]</f>
        <v>488</v>
      </c>
    </row>
    <row r="844" spans="1:11" x14ac:dyDescent="0.25">
      <c r="A844">
        <v>5197</v>
      </c>
      <c r="B844" s="1" t="s">
        <v>17</v>
      </c>
      <c r="C844" s="1" t="s">
        <v>49</v>
      </c>
      <c r="D844" s="2">
        <v>43179.583333333336</v>
      </c>
      <c r="E844" s="2">
        <v>43192.75</v>
      </c>
      <c r="F844" s="1" t="s">
        <v>12</v>
      </c>
      <c r="G844" s="1" t="s">
        <v>19</v>
      </c>
      <c r="H844">
        <v>2</v>
      </c>
      <c r="I844">
        <v>11</v>
      </c>
      <c r="J844" s="3">
        <v>52</v>
      </c>
      <c r="K844" s="3">
        <f>+Treinamentos[[#This Row],[Alunos]]*Treinamentos[[#This Row],[Valor]]</f>
        <v>572</v>
      </c>
    </row>
    <row r="845" spans="1:11" x14ac:dyDescent="0.25">
      <c r="A845">
        <v>5198</v>
      </c>
      <c r="B845" s="1" t="s">
        <v>37</v>
      </c>
      <c r="C845" s="1" t="s">
        <v>51</v>
      </c>
      <c r="D845" s="2">
        <v>43180.375</v>
      </c>
      <c r="E845" s="2">
        <v>43186.75</v>
      </c>
      <c r="F845" s="1" t="s">
        <v>12</v>
      </c>
      <c r="G845" s="1" t="s">
        <v>33</v>
      </c>
      <c r="H845">
        <v>5</v>
      </c>
      <c r="I845">
        <v>12</v>
      </c>
      <c r="J845" s="3">
        <v>61</v>
      </c>
      <c r="K845" s="3">
        <f>+Treinamentos[[#This Row],[Alunos]]*Treinamentos[[#This Row],[Valor]]</f>
        <v>732</v>
      </c>
    </row>
    <row r="846" spans="1:11" x14ac:dyDescent="0.25">
      <c r="A846">
        <v>5199</v>
      </c>
      <c r="B846" s="1" t="s">
        <v>41</v>
      </c>
      <c r="C846" s="1" t="s">
        <v>51</v>
      </c>
      <c r="D846" s="2">
        <v>43181.333333333336</v>
      </c>
      <c r="E846" s="2">
        <v>43194.5</v>
      </c>
      <c r="F846" s="1" t="s">
        <v>12</v>
      </c>
      <c r="G846" s="1" t="s">
        <v>19</v>
      </c>
      <c r="H846">
        <v>3</v>
      </c>
      <c r="I846">
        <v>8</v>
      </c>
      <c r="J846" s="3">
        <v>61</v>
      </c>
      <c r="K846" s="3">
        <f>+Treinamentos[[#This Row],[Alunos]]*Treinamentos[[#This Row],[Valor]]</f>
        <v>488</v>
      </c>
    </row>
    <row r="847" spans="1:11" x14ac:dyDescent="0.25">
      <c r="A847">
        <v>5200</v>
      </c>
      <c r="B847" s="1" t="s">
        <v>16</v>
      </c>
      <c r="C847" s="1" t="s">
        <v>53</v>
      </c>
      <c r="D847" s="2">
        <v>43181.333333333336</v>
      </c>
      <c r="E847" s="2">
        <v>43194.5</v>
      </c>
      <c r="F847" s="1" t="s">
        <v>21</v>
      </c>
      <c r="G847" s="1" t="s">
        <v>22</v>
      </c>
      <c r="H847">
        <v>2</v>
      </c>
      <c r="I847">
        <v>12</v>
      </c>
      <c r="J847" s="3">
        <v>31</v>
      </c>
      <c r="K847" s="3">
        <f>+Treinamentos[[#This Row],[Alunos]]*Treinamentos[[#This Row],[Valor]]</f>
        <v>372</v>
      </c>
    </row>
    <row r="848" spans="1:11" x14ac:dyDescent="0.25">
      <c r="A848">
        <v>5201</v>
      </c>
      <c r="B848" s="1" t="s">
        <v>10</v>
      </c>
      <c r="C848" s="1" t="s">
        <v>55</v>
      </c>
      <c r="D848" s="2">
        <v>43181.333333333336</v>
      </c>
      <c r="E848" s="2">
        <v>43194.5</v>
      </c>
      <c r="F848" s="1" t="s">
        <v>12</v>
      </c>
      <c r="G848" s="1" t="s">
        <v>19</v>
      </c>
      <c r="H848">
        <v>2</v>
      </c>
      <c r="I848">
        <v>12</v>
      </c>
      <c r="J848" s="3">
        <v>73</v>
      </c>
      <c r="K848" s="3">
        <f>+Treinamentos[[#This Row],[Alunos]]*Treinamentos[[#This Row],[Valor]]</f>
        <v>876</v>
      </c>
    </row>
    <row r="849" spans="1:11" x14ac:dyDescent="0.25">
      <c r="A849">
        <v>5202</v>
      </c>
      <c r="B849" s="1" t="s">
        <v>37</v>
      </c>
      <c r="C849" s="1" t="s">
        <v>53</v>
      </c>
      <c r="D849" s="2">
        <v>43182.375</v>
      </c>
      <c r="E849" s="2">
        <v>43187.75</v>
      </c>
      <c r="F849" s="1" t="s">
        <v>12</v>
      </c>
      <c r="G849" s="1" t="s">
        <v>34</v>
      </c>
      <c r="H849">
        <v>3</v>
      </c>
      <c r="I849">
        <v>9</v>
      </c>
      <c r="J849" s="3">
        <v>31</v>
      </c>
      <c r="K849" s="3">
        <f>+Treinamentos[[#This Row],[Alunos]]*Treinamentos[[#This Row],[Valor]]</f>
        <v>279</v>
      </c>
    </row>
    <row r="850" spans="1:11" x14ac:dyDescent="0.25">
      <c r="A850">
        <v>5203</v>
      </c>
      <c r="B850" s="1" t="s">
        <v>41</v>
      </c>
      <c r="C850" s="1" t="s">
        <v>53</v>
      </c>
      <c r="D850" s="2">
        <v>43182.375</v>
      </c>
      <c r="E850" s="2">
        <v>43187.75</v>
      </c>
      <c r="F850" s="1" t="s">
        <v>12</v>
      </c>
      <c r="G850" s="1" t="s">
        <v>13</v>
      </c>
      <c r="H850">
        <v>3</v>
      </c>
      <c r="I850">
        <v>11</v>
      </c>
      <c r="J850" s="3">
        <v>31</v>
      </c>
      <c r="K850" s="3">
        <f>+Treinamentos[[#This Row],[Alunos]]*Treinamentos[[#This Row],[Valor]]</f>
        <v>341</v>
      </c>
    </row>
    <row r="851" spans="1:11" x14ac:dyDescent="0.25">
      <c r="A851">
        <v>5204</v>
      </c>
      <c r="B851" s="1" t="s">
        <v>25</v>
      </c>
      <c r="C851" s="1" t="s">
        <v>55</v>
      </c>
      <c r="D851" s="2">
        <v>43184.791666666664</v>
      </c>
      <c r="E851" s="2">
        <v>43195.958333333336</v>
      </c>
      <c r="F851" s="1" t="s">
        <v>12</v>
      </c>
      <c r="G851" s="1" t="s">
        <v>42</v>
      </c>
      <c r="H851">
        <v>2</v>
      </c>
      <c r="I851">
        <v>8</v>
      </c>
      <c r="J851" s="3">
        <v>73</v>
      </c>
      <c r="K851" s="3">
        <f>+Treinamentos[[#This Row],[Alunos]]*Treinamentos[[#This Row],[Valor]]</f>
        <v>584</v>
      </c>
    </row>
    <row r="852" spans="1:11" x14ac:dyDescent="0.25">
      <c r="A852">
        <v>5205</v>
      </c>
      <c r="B852" s="1" t="s">
        <v>28</v>
      </c>
      <c r="C852" s="1" t="s">
        <v>50</v>
      </c>
      <c r="D852" s="2">
        <v>43184.791666666664</v>
      </c>
      <c r="E852" s="2">
        <v>43195.958333333336</v>
      </c>
      <c r="F852" s="1" t="s">
        <v>12</v>
      </c>
      <c r="G852" s="1" t="s">
        <v>46</v>
      </c>
      <c r="H852">
        <v>5</v>
      </c>
      <c r="I852">
        <v>8</v>
      </c>
      <c r="J852" s="3">
        <v>33</v>
      </c>
      <c r="K852" s="3">
        <f>+Treinamentos[[#This Row],[Alunos]]*Treinamentos[[#This Row],[Valor]]</f>
        <v>264</v>
      </c>
    </row>
    <row r="853" spans="1:11" x14ac:dyDescent="0.25">
      <c r="A853">
        <v>5206</v>
      </c>
      <c r="B853" s="1" t="s">
        <v>16</v>
      </c>
      <c r="C853" s="1" t="s">
        <v>58</v>
      </c>
      <c r="D853" s="2">
        <v>43184.791666666664</v>
      </c>
      <c r="E853" s="2">
        <v>43195.958333333336</v>
      </c>
      <c r="F853" s="1" t="s">
        <v>12</v>
      </c>
      <c r="G853" s="1" t="s">
        <v>24</v>
      </c>
      <c r="H853">
        <v>3</v>
      </c>
      <c r="I853">
        <v>12</v>
      </c>
      <c r="J853" s="3">
        <v>47</v>
      </c>
      <c r="K853" s="3">
        <f>+Treinamentos[[#This Row],[Alunos]]*Treinamentos[[#This Row],[Valor]]</f>
        <v>564</v>
      </c>
    </row>
    <row r="854" spans="1:11" x14ac:dyDescent="0.25">
      <c r="A854">
        <v>5207</v>
      </c>
      <c r="B854" s="1" t="s">
        <v>17</v>
      </c>
      <c r="C854" s="1" t="s">
        <v>49</v>
      </c>
      <c r="D854" s="2">
        <v>43184.791666666664</v>
      </c>
      <c r="E854" s="2">
        <v>43195.958333333336</v>
      </c>
      <c r="F854" s="1" t="s">
        <v>21</v>
      </c>
      <c r="G854" s="1" t="s">
        <v>47</v>
      </c>
      <c r="H854">
        <v>2</v>
      </c>
      <c r="I854">
        <v>9</v>
      </c>
      <c r="J854" s="3">
        <v>52</v>
      </c>
      <c r="K854" s="3">
        <f>+Treinamentos[[#This Row],[Alunos]]*Treinamentos[[#This Row],[Valor]]</f>
        <v>468</v>
      </c>
    </row>
    <row r="855" spans="1:11" x14ac:dyDescent="0.25">
      <c r="A855">
        <v>5208</v>
      </c>
      <c r="B855" s="1" t="s">
        <v>16</v>
      </c>
      <c r="C855" s="1" t="s">
        <v>56</v>
      </c>
      <c r="D855" s="2">
        <v>43184.791666666664</v>
      </c>
      <c r="E855" s="2">
        <v>43195.958333333336</v>
      </c>
      <c r="F855" s="1" t="s">
        <v>12</v>
      </c>
      <c r="G855" s="1" t="s">
        <v>36</v>
      </c>
      <c r="H855">
        <v>3</v>
      </c>
      <c r="I855">
        <v>8</v>
      </c>
      <c r="J855" s="3">
        <v>62</v>
      </c>
      <c r="K855" s="3">
        <f>+Treinamentos[[#This Row],[Alunos]]*Treinamentos[[#This Row],[Valor]]</f>
        <v>496</v>
      </c>
    </row>
    <row r="856" spans="1:11" x14ac:dyDescent="0.25">
      <c r="A856">
        <v>5209</v>
      </c>
      <c r="B856" s="1" t="s">
        <v>37</v>
      </c>
      <c r="C856" s="1" t="s">
        <v>50</v>
      </c>
      <c r="D856" s="2">
        <v>43186.583333333336</v>
      </c>
      <c r="E856" s="2">
        <v>43199.75</v>
      </c>
      <c r="F856" s="1" t="s">
        <v>21</v>
      </c>
      <c r="G856" s="1" t="s">
        <v>46</v>
      </c>
      <c r="H856">
        <v>4</v>
      </c>
      <c r="I856">
        <v>9</v>
      </c>
      <c r="J856" s="3">
        <v>33</v>
      </c>
      <c r="K856" s="3">
        <f>+Treinamentos[[#This Row],[Alunos]]*Treinamentos[[#This Row],[Valor]]</f>
        <v>297</v>
      </c>
    </row>
    <row r="857" spans="1:11" x14ac:dyDescent="0.25">
      <c r="A857">
        <v>5210</v>
      </c>
      <c r="B857" s="1" t="s">
        <v>14</v>
      </c>
      <c r="C857" s="1" t="s">
        <v>50</v>
      </c>
      <c r="D857" s="2">
        <v>43187.375</v>
      </c>
      <c r="E857" s="2">
        <v>43193.75</v>
      </c>
      <c r="F857" s="1" t="s">
        <v>21</v>
      </c>
      <c r="G857" s="1" t="s">
        <v>19</v>
      </c>
      <c r="H857">
        <v>5</v>
      </c>
      <c r="I857">
        <v>11</v>
      </c>
      <c r="J857" s="3">
        <v>33</v>
      </c>
      <c r="K857" s="3">
        <f>+Treinamentos[[#This Row],[Alunos]]*Treinamentos[[#This Row],[Valor]]</f>
        <v>363</v>
      </c>
    </row>
    <row r="858" spans="1:11" x14ac:dyDescent="0.25">
      <c r="A858">
        <v>5211</v>
      </c>
      <c r="B858" s="1" t="s">
        <v>14</v>
      </c>
      <c r="C858" s="1" t="s">
        <v>58</v>
      </c>
      <c r="D858" s="2">
        <v>43187.375</v>
      </c>
      <c r="E858" s="2">
        <v>43193.75</v>
      </c>
      <c r="F858" s="1" t="s">
        <v>12</v>
      </c>
      <c r="G858" s="1" t="s">
        <v>16</v>
      </c>
      <c r="H858">
        <v>2</v>
      </c>
      <c r="I858">
        <v>8</v>
      </c>
      <c r="J858" s="3">
        <v>47</v>
      </c>
      <c r="K858" s="3">
        <f>+Treinamentos[[#This Row],[Alunos]]*Treinamentos[[#This Row],[Valor]]</f>
        <v>376</v>
      </c>
    </row>
    <row r="859" spans="1:11" x14ac:dyDescent="0.25">
      <c r="A859">
        <v>5212</v>
      </c>
      <c r="B859" s="1" t="s">
        <v>14</v>
      </c>
      <c r="C859" s="1" t="s">
        <v>59</v>
      </c>
      <c r="D859" s="2">
        <v>43188.333333333336</v>
      </c>
      <c r="E859" s="2">
        <v>43201.5</v>
      </c>
      <c r="F859" s="1" t="s">
        <v>21</v>
      </c>
      <c r="G859" s="1" t="s">
        <v>47</v>
      </c>
      <c r="H859">
        <v>5</v>
      </c>
      <c r="I859">
        <v>9</v>
      </c>
      <c r="J859" s="3">
        <v>47</v>
      </c>
      <c r="K859" s="3">
        <f>+Treinamentos[[#This Row],[Alunos]]*Treinamentos[[#This Row],[Valor]]</f>
        <v>423</v>
      </c>
    </row>
    <row r="860" spans="1:11" x14ac:dyDescent="0.25">
      <c r="A860">
        <v>5213</v>
      </c>
      <c r="B860" s="1" t="s">
        <v>41</v>
      </c>
      <c r="C860" s="1" t="s">
        <v>56</v>
      </c>
      <c r="D860" s="2">
        <v>43188.333333333336</v>
      </c>
      <c r="E860" s="2">
        <v>43201.5</v>
      </c>
      <c r="F860" s="1" t="s">
        <v>12</v>
      </c>
      <c r="G860" s="1" t="s">
        <v>42</v>
      </c>
      <c r="H860">
        <v>5</v>
      </c>
      <c r="I860">
        <v>12</v>
      </c>
      <c r="J860" s="3">
        <v>62</v>
      </c>
      <c r="K860" s="3">
        <f>+Treinamentos[[#This Row],[Alunos]]*Treinamentos[[#This Row],[Valor]]</f>
        <v>744</v>
      </c>
    </row>
    <row r="861" spans="1:11" x14ac:dyDescent="0.25">
      <c r="A861">
        <v>5214</v>
      </c>
      <c r="B861" s="1" t="s">
        <v>30</v>
      </c>
      <c r="C861" s="1" t="s">
        <v>51</v>
      </c>
      <c r="D861" s="2">
        <v>43191.791666666664</v>
      </c>
      <c r="E861" s="2">
        <v>43202.958333333336</v>
      </c>
      <c r="F861" s="1" t="s">
        <v>21</v>
      </c>
      <c r="G861" s="1" t="s">
        <v>24</v>
      </c>
      <c r="H861">
        <v>5</v>
      </c>
      <c r="I861">
        <v>8</v>
      </c>
      <c r="J861" s="3">
        <v>61</v>
      </c>
      <c r="K861" s="3">
        <f>+Treinamentos[[#This Row],[Alunos]]*Treinamentos[[#This Row],[Valor]]</f>
        <v>488</v>
      </c>
    </row>
    <row r="862" spans="1:11" x14ac:dyDescent="0.25">
      <c r="A862">
        <v>5215</v>
      </c>
      <c r="B862" s="1" t="s">
        <v>41</v>
      </c>
      <c r="C862" s="1" t="s">
        <v>56</v>
      </c>
      <c r="D862" s="2">
        <v>43191.791666666664</v>
      </c>
      <c r="E862" s="2">
        <v>43202.958333333336</v>
      </c>
      <c r="F862" s="1" t="s">
        <v>21</v>
      </c>
      <c r="G862" s="1" t="s">
        <v>38</v>
      </c>
      <c r="H862">
        <v>4</v>
      </c>
      <c r="I862">
        <v>8</v>
      </c>
      <c r="J862" s="3">
        <v>62</v>
      </c>
      <c r="K862" s="3">
        <f>+Treinamentos[[#This Row],[Alunos]]*Treinamentos[[#This Row],[Valor]]</f>
        <v>496</v>
      </c>
    </row>
    <row r="863" spans="1:11" x14ac:dyDescent="0.25">
      <c r="A863">
        <v>5216</v>
      </c>
      <c r="B863" s="1" t="s">
        <v>17</v>
      </c>
      <c r="C863" s="1" t="s">
        <v>50</v>
      </c>
      <c r="D863" s="2">
        <v>43191.791666666664</v>
      </c>
      <c r="E863" s="2">
        <v>43202.958333333336</v>
      </c>
      <c r="F863" s="1" t="s">
        <v>21</v>
      </c>
      <c r="G863" s="1" t="s">
        <v>36</v>
      </c>
      <c r="H863">
        <v>4</v>
      </c>
      <c r="I863">
        <v>11</v>
      </c>
      <c r="J863" s="3">
        <v>33</v>
      </c>
      <c r="K863" s="3">
        <f>+Treinamentos[[#This Row],[Alunos]]*Treinamentos[[#This Row],[Valor]]</f>
        <v>363</v>
      </c>
    </row>
    <row r="864" spans="1:11" x14ac:dyDescent="0.25">
      <c r="A864">
        <v>5217</v>
      </c>
      <c r="B864" s="1" t="s">
        <v>25</v>
      </c>
      <c r="C864" s="1" t="s">
        <v>59</v>
      </c>
      <c r="D864" s="2">
        <v>43191.791666666664</v>
      </c>
      <c r="E864" s="2">
        <v>43202.958333333336</v>
      </c>
      <c r="F864" s="1" t="s">
        <v>12</v>
      </c>
      <c r="G864" s="1" t="s">
        <v>13</v>
      </c>
      <c r="H864">
        <v>5</v>
      </c>
      <c r="I864">
        <v>8</v>
      </c>
      <c r="J864" s="3">
        <v>47</v>
      </c>
      <c r="K864" s="3">
        <f>+Treinamentos[[#This Row],[Alunos]]*Treinamentos[[#This Row],[Valor]]</f>
        <v>376</v>
      </c>
    </row>
    <row r="865" spans="1:11" x14ac:dyDescent="0.25">
      <c r="A865">
        <v>5218</v>
      </c>
      <c r="B865" s="1" t="s">
        <v>37</v>
      </c>
      <c r="C865" s="1" t="s">
        <v>50</v>
      </c>
      <c r="D865" s="2">
        <v>43191.791666666664</v>
      </c>
      <c r="E865" s="2">
        <v>43202.958333333336</v>
      </c>
      <c r="F865" s="1" t="s">
        <v>21</v>
      </c>
      <c r="G865" s="1" t="s">
        <v>19</v>
      </c>
      <c r="H865">
        <v>4</v>
      </c>
      <c r="I865">
        <v>8</v>
      </c>
      <c r="J865" s="3">
        <v>33</v>
      </c>
      <c r="K865" s="3">
        <f>+Treinamentos[[#This Row],[Alunos]]*Treinamentos[[#This Row],[Valor]]</f>
        <v>264</v>
      </c>
    </row>
    <row r="866" spans="1:11" x14ac:dyDescent="0.25">
      <c r="A866">
        <v>5219</v>
      </c>
      <c r="B866" s="1" t="s">
        <v>10</v>
      </c>
      <c r="C866" s="1" t="s">
        <v>61</v>
      </c>
      <c r="D866" s="2">
        <v>43192.791666666664</v>
      </c>
      <c r="E866" s="2">
        <v>43205.958333333336</v>
      </c>
      <c r="F866" s="1" t="s">
        <v>12</v>
      </c>
      <c r="G866" s="1" t="s">
        <v>48</v>
      </c>
      <c r="H866">
        <v>4</v>
      </c>
      <c r="I866">
        <v>12</v>
      </c>
      <c r="J866" s="3">
        <v>61</v>
      </c>
      <c r="K866" s="3">
        <f>+Treinamentos[[#This Row],[Alunos]]*Treinamentos[[#This Row],[Valor]]</f>
        <v>732</v>
      </c>
    </row>
    <row r="867" spans="1:11" x14ac:dyDescent="0.25">
      <c r="A867">
        <v>5220</v>
      </c>
      <c r="B867" s="1" t="s">
        <v>25</v>
      </c>
      <c r="C867" s="1" t="s">
        <v>50</v>
      </c>
      <c r="D867" s="2">
        <v>43193.583333333336</v>
      </c>
      <c r="E867" s="2">
        <v>43206.75</v>
      </c>
      <c r="F867" s="1" t="s">
        <v>12</v>
      </c>
      <c r="G867" s="1" t="s">
        <v>33</v>
      </c>
      <c r="H867">
        <v>2</v>
      </c>
      <c r="I867">
        <v>11</v>
      </c>
      <c r="J867" s="3">
        <v>33</v>
      </c>
      <c r="K867" s="3">
        <f>+Treinamentos[[#This Row],[Alunos]]*Treinamentos[[#This Row],[Valor]]</f>
        <v>363</v>
      </c>
    </row>
    <row r="868" spans="1:11" x14ac:dyDescent="0.25">
      <c r="A868">
        <v>5221</v>
      </c>
      <c r="B868" s="1" t="s">
        <v>37</v>
      </c>
      <c r="C868" s="1" t="s">
        <v>60</v>
      </c>
      <c r="D868" s="2">
        <v>43193.583333333336</v>
      </c>
      <c r="E868" s="2">
        <v>43206.75</v>
      </c>
      <c r="F868" s="1" t="s">
        <v>21</v>
      </c>
      <c r="G868" s="1" t="s">
        <v>13</v>
      </c>
      <c r="H868">
        <v>5</v>
      </c>
      <c r="I868">
        <v>10</v>
      </c>
      <c r="J868" s="3">
        <v>41</v>
      </c>
      <c r="K868" s="3">
        <f>+Treinamentos[[#This Row],[Alunos]]*Treinamentos[[#This Row],[Valor]]</f>
        <v>410</v>
      </c>
    </row>
    <row r="869" spans="1:11" x14ac:dyDescent="0.25">
      <c r="A869">
        <v>5222</v>
      </c>
      <c r="B869" s="1" t="s">
        <v>10</v>
      </c>
      <c r="C869" s="1" t="s">
        <v>50</v>
      </c>
      <c r="D869" s="2">
        <v>43194.375</v>
      </c>
      <c r="E869" s="2">
        <v>43200.75</v>
      </c>
      <c r="F869" s="1" t="s">
        <v>21</v>
      </c>
      <c r="G869" s="1" t="s">
        <v>13</v>
      </c>
      <c r="H869">
        <v>4</v>
      </c>
      <c r="I869">
        <v>9</v>
      </c>
      <c r="J869" s="3">
        <v>33</v>
      </c>
      <c r="K869" s="3">
        <f>+Treinamentos[[#This Row],[Alunos]]*Treinamentos[[#This Row],[Valor]]</f>
        <v>297</v>
      </c>
    </row>
    <row r="870" spans="1:11" x14ac:dyDescent="0.25">
      <c r="A870">
        <v>5223</v>
      </c>
      <c r="B870" s="1" t="s">
        <v>17</v>
      </c>
      <c r="C870" s="1" t="s">
        <v>51</v>
      </c>
      <c r="D870" s="2">
        <v>43194.375</v>
      </c>
      <c r="E870" s="2">
        <v>43200.75</v>
      </c>
      <c r="F870" s="1" t="s">
        <v>21</v>
      </c>
      <c r="G870" s="1" t="s">
        <v>48</v>
      </c>
      <c r="H870">
        <v>5</v>
      </c>
      <c r="I870">
        <v>12</v>
      </c>
      <c r="J870" s="3">
        <v>61</v>
      </c>
      <c r="K870" s="3">
        <f>+Treinamentos[[#This Row],[Alunos]]*Treinamentos[[#This Row],[Valor]]</f>
        <v>732</v>
      </c>
    </row>
    <row r="871" spans="1:11" x14ac:dyDescent="0.25">
      <c r="A871">
        <v>5224</v>
      </c>
      <c r="B871" s="1" t="s">
        <v>17</v>
      </c>
      <c r="C871" s="1" t="s">
        <v>61</v>
      </c>
      <c r="D871" s="2">
        <v>43195.333333333336</v>
      </c>
      <c r="E871" s="2">
        <v>43208.5</v>
      </c>
      <c r="F871" s="1" t="s">
        <v>12</v>
      </c>
      <c r="G871" s="1" t="s">
        <v>19</v>
      </c>
      <c r="H871">
        <v>2</v>
      </c>
      <c r="I871">
        <v>10</v>
      </c>
      <c r="J871" s="3">
        <v>61</v>
      </c>
      <c r="K871" s="3">
        <f>+Treinamentos[[#This Row],[Alunos]]*Treinamentos[[#This Row],[Valor]]</f>
        <v>610</v>
      </c>
    </row>
    <row r="872" spans="1:11" x14ac:dyDescent="0.25">
      <c r="A872">
        <v>5225</v>
      </c>
      <c r="B872" s="1" t="s">
        <v>41</v>
      </c>
      <c r="C872" s="1" t="s">
        <v>53</v>
      </c>
      <c r="D872" s="2">
        <v>43195.333333333336</v>
      </c>
      <c r="E872" s="2">
        <v>43208.5</v>
      </c>
      <c r="F872" s="1" t="s">
        <v>12</v>
      </c>
      <c r="G872" s="1" t="s">
        <v>38</v>
      </c>
      <c r="H872">
        <v>2</v>
      </c>
      <c r="I872">
        <v>8</v>
      </c>
      <c r="J872" s="3">
        <v>31</v>
      </c>
      <c r="K872" s="3">
        <f>+Treinamentos[[#This Row],[Alunos]]*Treinamentos[[#This Row],[Valor]]</f>
        <v>248</v>
      </c>
    </row>
    <row r="873" spans="1:11" x14ac:dyDescent="0.25">
      <c r="A873">
        <v>5226</v>
      </c>
      <c r="B873" s="1" t="s">
        <v>16</v>
      </c>
      <c r="C873" s="1" t="s">
        <v>49</v>
      </c>
      <c r="D873" s="2">
        <v>43195.333333333336</v>
      </c>
      <c r="E873" s="2">
        <v>43208.5</v>
      </c>
      <c r="F873" s="1" t="s">
        <v>12</v>
      </c>
      <c r="G873" s="1" t="s">
        <v>48</v>
      </c>
      <c r="H873">
        <v>2</v>
      </c>
      <c r="I873">
        <v>12</v>
      </c>
      <c r="J873" s="3">
        <v>52</v>
      </c>
      <c r="K873" s="3">
        <f>+Treinamentos[[#This Row],[Alunos]]*Treinamentos[[#This Row],[Valor]]</f>
        <v>624</v>
      </c>
    </row>
    <row r="874" spans="1:11" x14ac:dyDescent="0.25">
      <c r="A874">
        <v>5227</v>
      </c>
      <c r="B874" s="1" t="s">
        <v>17</v>
      </c>
      <c r="C874" s="1" t="s">
        <v>61</v>
      </c>
      <c r="D874" s="2">
        <v>43195.333333333336</v>
      </c>
      <c r="E874" s="2">
        <v>43208.5</v>
      </c>
      <c r="F874" s="1" t="s">
        <v>12</v>
      </c>
      <c r="G874" s="1" t="s">
        <v>24</v>
      </c>
      <c r="H874">
        <v>4</v>
      </c>
      <c r="I874">
        <v>11</v>
      </c>
      <c r="J874" s="3">
        <v>61</v>
      </c>
      <c r="K874" s="3">
        <f>+Treinamentos[[#This Row],[Alunos]]*Treinamentos[[#This Row],[Valor]]</f>
        <v>671</v>
      </c>
    </row>
    <row r="875" spans="1:11" x14ac:dyDescent="0.25">
      <c r="A875">
        <v>5228</v>
      </c>
      <c r="B875" s="1" t="s">
        <v>10</v>
      </c>
      <c r="C875" s="1" t="s">
        <v>56</v>
      </c>
      <c r="D875" s="2">
        <v>43196.375</v>
      </c>
      <c r="E875" s="2">
        <v>43201.75</v>
      </c>
      <c r="F875" s="1" t="s">
        <v>12</v>
      </c>
      <c r="G875" s="1" t="s">
        <v>38</v>
      </c>
      <c r="H875">
        <v>4</v>
      </c>
      <c r="I875">
        <v>11</v>
      </c>
      <c r="J875" s="3">
        <v>62</v>
      </c>
      <c r="K875" s="3">
        <f>+Treinamentos[[#This Row],[Alunos]]*Treinamentos[[#This Row],[Valor]]</f>
        <v>682</v>
      </c>
    </row>
    <row r="876" spans="1:11" x14ac:dyDescent="0.25">
      <c r="A876">
        <v>5229</v>
      </c>
      <c r="B876" s="1" t="s">
        <v>17</v>
      </c>
      <c r="C876" s="1" t="s">
        <v>58</v>
      </c>
      <c r="D876" s="2">
        <v>43198.791666666664</v>
      </c>
      <c r="E876" s="2">
        <v>43209.958333333336</v>
      </c>
      <c r="F876" s="1" t="s">
        <v>12</v>
      </c>
      <c r="G876" s="1" t="s">
        <v>46</v>
      </c>
      <c r="H876">
        <v>2</v>
      </c>
      <c r="I876">
        <v>9</v>
      </c>
      <c r="J876" s="3">
        <v>47</v>
      </c>
      <c r="K876" s="3">
        <f>+Treinamentos[[#This Row],[Alunos]]*Treinamentos[[#This Row],[Valor]]</f>
        <v>423</v>
      </c>
    </row>
    <row r="877" spans="1:11" x14ac:dyDescent="0.25">
      <c r="A877">
        <v>5230</v>
      </c>
      <c r="B877" s="1" t="s">
        <v>17</v>
      </c>
      <c r="C877" s="1" t="s">
        <v>59</v>
      </c>
      <c r="D877" s="2">
        <v>43198.791666666664</v>
      </c>
      <c r="E877" s="2">
        <v>43209.958333333336</v>
      </c>
      <c r="F877" s="1" t="s">
        <v>12</v>
      </c>
      <c r="G877" s="1" t="s">
        <v>22</v>
      </c>
      <c r="H877">
        <v>5</v>
      </c>
      <c r="I877">
        <v>9</v>
      </c>
      <c r="J877" s="3">
        <v>47</v>
      </c>
      <c r="K877" s="3">
        <f>+Treinamentos[[#This Row],[Alunos]]*Treinamentos[[#This Row],[Valor]]</f>
        <v>423</v>
      </c>
    </row>
    <row r="878" spans="1:11" x14ac:dyDescent="0.25">
      <c r="A878">
        <v>5231</v>
      </c>
      <c r="B878" s="1" t="s">
        <v>14</v>
      </c>
      <c r="C878" s="1" t="s">
        <v>61</v>
      </c>
      <c r="D878" s="2">
        <v>43199.791666666664</v>
      </c>
      <c r="E878" s="2">
        <v>43212.958333333336</v>
      </c>
      <c r="F878" s="1" t="s">
        <v>12</v>
      </c>
      <c r="G878" s="1" t="s">
        <v>22</v>
      </c>
      <c r="H878">
        <v>2</v>
      </c>
      <c r="I878">
        <v>11</v>
      </c>
      <c r="J878" s="3">
        <v>61</v>
      </c>
      <c r="K878" s="3">
        <f>+Treinamentos[[#This Row],[Alunos]]*Treinamentos[[#This Row],[Valor]]</f>
        <v>671</v>
      </c>
    </row>
    <row r="879" spans="1:11" x14ac:dyDescent="0.25">
      <c r="A879">
        <v>5232</v>
      </c>
      <c r="B879" s="1" t="s">
        <v>10</v>
      </c>
      <c r="C879" s="1" t="s">
        <v>53</v>
      </c>
      <c r="D879" s="2">
        <v>43199.791666666664</v>
      </c>
      <c r="E879" s="2">
        <v>43212.958333333336</v>
      </c>
      <c r="F879" s="1" t="s">
        <v>21</v>
      </c>
      <c r="G879" s="1" t="s">
        <v>19</v>
      </c>
      <c r="H879">
        <v>2</v>
      </c>
      <c r="I879">
        <v>9</v>
      </c>
      <c r="J879" s="3">
        <v>31</v>
      </c>
      <c r="K879" s="3">
        <f>+Treinamentos[[#This Row],[Alunos]]*Treinamentos[[#This Row],[Valor]]</f>
        <v>279</v>
      </c>
    </row>
    <row r="880" spans="1:11" x14ac:dyDescent="0.25">
      <c r="A880">
        <v>5233</v>
      </c>
      <c r="B880" s="1" t="s">
        <v>14</v>
      </c>
      <c r="C880" s="1" t="s">
        <v>61</v>
      </c>
      <c r="D880" s="2">
        <v>43199.791666666664</v>
      </c>
      <c r="E880" s="2">
        <v>43212.958333333336</v>
      </c>
      <c r="F880" s="1" t="s">
        <v>12</v>
      </c>
      <c r="G880" s="1" t="s">
        <v>48</v>
      </c>
      <c r="H880">
        <v>4</v>
      </c>
      <c r="I880">
        <v>8</v>
      </c>
      <c r="J880" s="3">
        <v>61</v>
      </c>
      <c r="K880" s="3">
        <f>+Treinamentos[[#This Row],[Alunos]]*Treinamentos[[#This Row],[Valor]]</f>
        <v>488</v>
      </c>
    </row>
    <row r="881" spans="1:11" x14ac:dyDescent="0.25">
      <c r="A881">
        <v>5234</v>
      </c>
      <c r="B881" s="1" t="s">
        <v>25</v>
      </c>
      <c r="C881" s="1" t="s">
        <v>58</v>
      </c>
      <c r="D881" s="2">
        <v>43201.375</v>
      </c>
      <c r="E881" s="2">
        <v>43207.75</v>
      </c>
      <c r="F881" s="1" t="s">
        <v>12</v>
      </c>
      <c r="G881" s="1" t="s">
        <v>19</v>
      </c>
      <c r="H881">
        <v>5</v>
      </c>
      <c r="I881">
        <v>8</v>
      </c>
      <c r="J881" s="3">
        <v>47</v>
      </c>
      <c r="K881" s="3">
        <f>+Treinamentos[[#This Row],[Alunos]]*Treinamentos[[#This Row],[Valor]]</f>
        <v>376</v>
      </c>
    </row>
    <row r="882" spans="1:11" x14ac:dyDescent="0.25">
      <c r="A882">
        <v>5235</v>
      </c>
      <c r="B882" s="1" t="s">
        <v>17</v>
      </c>
      <c r="C882" s="1" t="s">
        <v>56</v>
      </c>
      <c r="D882" s="2">
        <v>43201.375</v>
      </c>
      <c r="E882" s="2">
        <v>43207.75</v>
      </c>
      <c r="F882" s="1" t="s">
        <v>21</v>
      </c>
      <c r="G882" s="1" t="s">
        <v>42</v>
      </c>
      <c r="H882">
        <v>5</v>
      </c>
      <c r="I882">
        <v>10</v>
      </c>
      <c r="J882" s="3">
        <v>62</v>
      </c>
      <c r="K882" s="3">
        <f>+Treinamentos[[#This Row],[Alunos]]*Treinamentos[[#This Row],[Valor]]</f>
        <v>620</v>
      </c>
    </row>
    <row r="883" spans="1:11" x14ac:dyDescent="0.25">
      <c r="A883">
        <v>5236</v>
      </c>
      <c r="B883" s="1" t="s">
        <v>37</v>
      </c>
      <c r="C883" s="1" t="s">
        <v>52</v>
      </c>
      <c r="D883" s="2">
        <v>43201.375</v>
      </c>
      <c r="E883" s="2">
        <v>43207.75</v>
      </c>
      <c r="F883" s="1" t="s">
        <v>12</v>
      </c>
      <c r="G883" s="1" t="s">
        <v>34</v>
      </c>
      <c r="H883">
        <v>4</v>
      </c>
      <c r="I883">
        <v>12</v>
      </c>
      <c r="J883" s="3">
        <v>47</v>
      </c>
      <c r="K883" s="3">
        <f>+Treinamentos[[#This Row],[Alunos]]*Treinamentos[[#This Row],[Valor]]</f>
        <v>564</v>
      </c>
    </row>
    <row r="884" spans="1:11" x14ac:dyDescent="0.25">
      <c r="A884">
        <v>5237</v>
      </c>
      <c r="B884" s="1" t="s">
        <v>17</v>
      </c>
      <c r="C884" s="1" t="s">
        <v>55</v>
      </c>
      <c r="D884" s="2">
        <v>43202.333333333336</v>
      </c>
      <c r="E884" s="2">
        <v>43215.5</v>
      </c>
      <c r="F884" s="1" t="s">
        <v>12</v>
      </c>
      <c r="G884" s="1" t="s">
        <v>24</v>
      </c>
      <c r="H884">
        <v>3</v>
      </c>
      <c r="I884">
        <v>8</v>
      </c>
      <c r="J884" s="3">
        <v>73</v>
      </c>
      <c r="K884" s="3">
        <f>+Treinamentos[[#This Row],[Alunos]]*Treinamentos[[#This Row],[Valor]]</f>
        <v>584</v>
      </c>
    </row>
    <row r="885" spans="1:11" x14ac:dyDescent="0.25">
      <c r="A885">
        <v>5238</v>
      </c>
      <c r="B885" s="1" t="s">
        <v>28</v>
      </c>
      <c r="C885" s="1" t="s">
        <v>53</v>
      </c>
      <c r="D885" s="2">
        <v>43203.375</v>
      </c>
      <c r="E885" s="2">
        <v>43208.75</v>
      </c>
      <c r="F885" s="1" t="s">
        <v>12</v>
      </c>
      <c r="G885" s="1" t="s">
        <v>33</v>
      </c>
      <c r="H885">
        <v>2</v>
      </c>
      <c r="I885">
        <v>8</v>
      </c>
      <c r="J885" s="3">
        <v>31</v>
      </c>
      <c r="K885" s="3">
        <f>+Treinamentos[[#This Row],[Alunos]]*Treinamentos[[#This Row],[Valor]]</f>
        <v>248</v>
      </c>
    </row>
    <row r="886" spans="1:11" x14ac:dyDescent="0.25">
      <c r="A886">
        <v>5239</v>
      </c>
      <c r="B886" s="1" t="s">
        <v>14</v>
      </c>
      <c r="C886" s="1" t="s">
        <v>51</v>
      </c>
      <c r="D886" s="2">
        <v>43203.375</v>
      </c>
      <c r="E886" s="2">
        <v>43208.75</v>
      </c>
      <c r="F886" s="1" t="s">
        <v>12</v>
      </c>
      <c r="G886" s="1" t="s">
        <v>48</v>
      </c>
      <c r="H886">
        <v>2</v>
      </c>
      <c r="I886">
        <v>9</v>
      </c>
      <c r="J886" s="3">
        <v>61</v>
      </c>
      <c r="K886" s="3">
        <f>+Treinamentos[[#This Row],[Alunos]]*Treinamentos[[#This Row],[Valor]]</f>
        <v>549</v>
      </c>
    </row>
    <row r="887" spans="1:11" x14ac:dyDescent="0.25">
      <c r="A887">
        <v>5240</v>
      </c>
      <c r="B887" s="1" t="s">
        <v>16</v>
      </c>
      <c r="C887" s="1" t="s">
        <v>49</v>
      </c>
      <c r="D887" s="2">
        <v>43205.791666666664</v>
      </c>
      <c r="E887" s="2">
        <v>43216.958333333336</v>
      </c>
      <c r="F887" s="1" t="s">
        <v>21</v>
      </c>
      <c r="G887" s="1" t="s">
        <v>32</v>
      </c>
      <c r="H887">
        <v>4</v>
      </c>
      <c r="I887">
        <v>9</v>
      </c>
      <c r="J887" s="3">
        <v>52</v>
      </c>
      <c r="K887" s="3">
        <f>+Treinamentos[[#This Row],[Alunos]]*Treinamentos[[#This Row],[Valor]]</f>
        <v>468</v>
      </c>
    </row>
    <row r="888" spans="1:11" x14ac:dyDescent="0.25">
      <c r="A888">
        <v>5241</v>
      </c>
      <c r="B888" s="1" t="s">
        <v>25</v>
      </c>
      <c r="C888" s="1" t="s">
        <v>53</v>
      </c>
      <c r="D888" s="2">
        <v>43205.791666666664</v>
      </c>
      <c r="E888" s="2">
        <v>43216.958333333336</v>
      </c>
      <c r="F888" s="1" t="s">
        <v>12</v>
      </c>
      <c r="G888" s="1" t="s">
        <v>24</v>
      </c>
      <c r="H888">
        <v>5</v>
      </c>
      <c r="I888">
        <v>8</v>
      </c>
      <c r="J888" s="3">
        <v>31</v>
      </c>
      <c r="K888" s="3">
        <f>+Treinamentos[[#This Row],[Alunos]]*Treinamentos[[#This Row],[Valor]]</f>
        <v>248</v>
      </c>
    </row>
    <row r="889" spans="1:11" x14ac:dyDescent="0.25">
      <c r="A889">
        <v>5242</v>
      </c>
      <c r="B889" s="1" t="s">
        <v>14</v>
      </c>
      <c r="C889" s="1" t="s">
        <v>61</v>
      </c>
      <c r="D889" s="2">
        <v>43205.791666666664</v>
      </c>
      <c r="E889" s="2">
        <v>43216.958333333336</v>
      </c>
      <c r="F889" s="1" t="s">
        <v>12</v>
      </c>
      <c r="G889" s="1" t="s">
        <v>42</v>
      </c>
      <c r="H889">
        <v>2</v>
      </c>
      <c r="I889">
        <v>10</v>
      </c>
      <c r="J889" s="3">
        <v>61</v>
      </c>
      <c r="K889" s="3">
        <f>+Treinamentos[[#This Row],[Alunos]]*Treinamentos[[#This Row],[Valor]]</f>
        <v>610</v>
      </c>
    </row>
    <row r="890" spans="1:11" x14ac:dyDescent="0.25">
      <c r="A890">
        <v>5243</v>
      </c>
      <c r="B890" s="1" t="s">
        <v>16</v>
      </c>
      <c r="C890" s="1" t="s">
        <v>54</v>
      </c>
      <c r="D890" s="2">
        <v>43205.791666666664</v>
      </c>
      <c r="E890" s="2">
        <v>43216.958333333336</v>
      </c>
      <c r="F890" s="1" t="s">
        <v>12</v>
      </c>
      <c r="G890" s="1" t="s">
        <v>22</v>
      </c>
      <c r="H890">
        <v>5</v>
      </c>
      <c r="I890">
        <v>8</v>
      </c>
      <c r="J890" s="3">
        <v>42</v>
      </c>
      <c r="K890" s="3">
        <f>+Treinamentos[[#This Row],[Alunos]]*Treinamentos[[#This Row],[Valor]]</f>
        <v>336</v>
      </c>
    </row>
    <row r="891" spans="1:11" x14ac:dyDescent="0.25">
      <c r="A891">
        <v>5244</v>
      </c>
      <c r="B891" s="1" t="s">
        <v>28</v>
      </c>
      <c r="C891" s="1" t="s">
        <v>51</v>
      </c>
      <c r="D891" s="2">
        <v>43205.791666666664</v>
      </c>
      <c r="E891" s="2">
        <v>43216.958333333336</v>
      </c>
      <c r="F891" s="1" t="s">
        <v>21</v>
      </c>
      <c r="G891" s="1" t="s">
        <v>24</v>
      </c>
      <c r="H891">
        <v>5</v>
      </c>
      <c r="I891">
        <v>9</v>
      </c>
      <c r="J891" s="3">
        <v>61</v>
      </c>
      <c r="K891" s="3">
        <f>+Treinamentos[[#This Row],[Alunos]]*Treinamentos[[#This Row],[Valor]]</f>
        <v>549</v>
      </c>
    </row>
    <row r="892" spans="1:11" x14ac:dyDescent="0.25">
      <c r="A892">
        <v>5245</v>
      </c>
      <c r="B892" s="1" t="s">
        <v>25</v>
      </c>
      <c r="C892" s="1" t="s">
        <v>53</v>
      </c>
      <c r="D892" s="2">
        <v>43205.791666666664</v>
      </c>
      <c r="E892" s="2">
        <v>43216.958333333336</v>
      </c>
      <c r="F892" s="1" t="s">
        <v>12</v>
      </c>
      <c r="G892" s="1" t="s">
        <v>38</v>
      </c>
      <c r="H892">
        <v>5</v>
      </c>
      <c r="I892">
        <v>9</v>
      </c>
      <c r="J892" s="3">
        <v>31</v>
      </c>
      <c r="K892" s="3">
        <f>+Treinamentos[[#This Row],[Alunos]]*Treinamentos[[#This Row],[Valor]]</f>
        <v>279</v>
      </c>
    </row>
    <row r="893" spans="1:11" x14ac:dyDescent="0.25">
      <c r="A893">
        <v>5246</v>
      </c>
      <c r="B893" s="1" t="s">
        <v>14</v>
      </c>
      <c r="C893" s="1" t="s">
        <v>51</v>
      </c>
      <c r="D893" s="2">
        <v>43205.791666666664</v>
      </c>
      <c r="E893" s="2">
        <v>43216.958333333336</v>
      </c>
      <c r="F893" s="1" t="s">
        <v>21</v>
      </c>
      <c r="G893" s="1" t="s">
        <v>24</v>
      </c>
      <c r="H893">
        <v>3</v>
      </c>
      <c r="I893">
        <v>10</v>
      </c>
      <c r="J893" s="3">
        <v>61</v>
      </c>
      <c r="K893" s="3">
        <f>+Treinamentos[[#This Row],[Alunos]]*Treinamentos[[#This Row],[Valor]]</f>
        <v>610</v>
      </c>
    </row>
    <row r="894" spans="1:11" x14ac:dyDescent="0.25">
      <c r="A894">
        <v>5247</v>
      </c>
      <c r="B894" s="1" t="s">
        <v>17</v>
      </c>
      <c r="C894" s="1" t="s">
        <v>60</v>
      </c>
      <c r="D894" s="2">
        <v>43205.791666666664</v>
      </c>
      <c r="E894" s="2">
        <v>43216.958333333336</v>
      </c>
      <c r="F894" s="1" t="s">
        <v>21</v>
      </c>
      <c r="G894" s="1" t="s">
        <v>27</v>
      </c>
      <c r="H894">
        <v>5</v>
      </c>
      <c r="I894">
        <v>8</v>
      </c>
      <c r="J894" s="3">
        <v>41</v>
      </c>
      <c r="K894" s="3">
        <f>+Treinamentos[[#This Row],[Alunos]]*Treinamentos[[#This Row],[Valor]]</f>
        <v>328</v>
      </c>
    </row>
    <row r="895" spans="1:11" x14ac:dyDescent="0.25">
      <c r="A895">
        <v>5248</v>
      </c>
      <c r="B895" s="1" t="s">
        <v>37</v>
      </c>
      <c r="C895" s="1" t="s">
        <v>60</v>
      </c>
      <c r="D895" s="2">
        <v>43207.583333333336</v>
      </c>
      <c r="E895" s="2">
        <v>43220.75</v>
      </c>
      <c r="F895" s="1" t="s">
        <v>21</v>
      </c>
      <c r="G895" s="1" t="s">
        <v>16</v>
      </c>
      <c r="H895">
        <v>4</v>
      </c>
      <c r="I895">
        <v>11</v>
      </c>
      <c r="J895" s="3">
        <v>41</v>
      </c>
      <c r="K895" s="3">
        <f>+Treinamentos[[#This Row],[Alunos]]*Treinamentos[[#This Row],[Valor]]</f>
        <v>451</v>
      </c>
    </row>
    <row r="896" spans="1:11" x14ac:dyDescent="0.25">
      <c r="A896">
        <v>5249</v>
      </c>
      <c r="B896" s="1" t="s">
        <v>17</v>
      </c>
      <c r="C896" s="1" t="s">
        <v>52</v>
      </c>
      <c r="D896" s="2">
        <v>43208.375</v>
      </c>
      <c r="E896" s="2">
        <v>43214.75</v>
      </c>
      <c r="F896" s="1" t="s">
        <v>12</v>
      </c>
      <c r="G896" s="1" t="s">
        <v>48</v>
      </c>
      <c r="H896">
        <v>5</v>
      </c>
      <c r="I896">
        <v>11</v>
      </c>
      <c r="J896" s="3">
        <v>47</v>
      </c>
      <c r="K896" s="3">
        <f>+Treinamentos[[#This Row],[Alunos]]*Treinamentos[[#This Row],[Valor]]</f>
        <v>517</v>
      </c>
    </row>
    <row r="897" spans="1:11" x14ac:dyDescent="0.25">
      <c r="A897">
        <v>5250</v>
      </c>
      <c r="B897" s="1" t="s">
        <v>28</v>
      </c>
      <c r="C897" s="1" t="s">
        <v>61</v>
      </c>
      <c r="D897" s="2">
        <v>43210.375</v>
      </c>
      <c r="E897" s="2">
        <v>43215.75</v>
      </c>
      <c r="F897" s="1" t="s">
        <v>12</v>
      </c>
      <c r="G897" s="1" t="s">
        <v>22</v>
      </c>
      <c r="H897">
        <v>3</v>
      </c>
      <c r="I897">
        <v>10</v>
      </c>
      <c r="J897" s="3">
        <v>61</v>
      </c>
      <c r="K897" s="3">
        <f>+Treinamentos[[#This Row],[Alunos]]*Treinamentos[[#This Row],[Valor]]</f>
        <v>610</v>
      </c>
    </row>
    <row r="898" spans="1:11" x14ac:dyDescent="0.25">
      <c r="A898">
        <v>5251</v>
      </c>
      <c r="B898" s="1" t="s">
        <v>30</v>
      </c>
      <c r="C898" s="1" t="s">
        <v>56</v>
      </c>
      <c r="D898" s="2">
        <v>43210.375</v>
      </c>
      <c r="E898" s="2">
        <v>43215.75</v>
      </c>
      <c r="F898" s="1" t="s">
        <v>21</v>
      </c>
      <c r="G898" s="1" t="s">
        <v>32</v>
      </c>
      <c r="H898">
        <v>2</v>
      </c>
      <c r="I898">
        <v>8</v>
      </c>
      <c r="J898" s="3">
        <v>62</v>
      </c>
      <c r="K898" s="3">
        <f>+Treinamentos[[#This Row],[Alunos]]*Treinamentos[[#This Row],[Valor]]</f>
        <v>496</v>
      </c>
    </row>
    <row r="899" spans="1:11" x14ac:dyDescent="0.25">
      <c r="A899">
        <v>5252</v>
      </c>
      <c r="B899" s="1" t="s">
        <v>25</v>
      </c>
      <c r="C899" s="1" t="s">
        <v>59</v>
      </c>
      <c r="D899" s="2">
        <v>43212.791666666664</v>
      </c>
      <c r="E899" s="2">
        <v>43223.958333333336</v>
      </c>
      <c r="F899" s="1" t="s">
        <v>21</v>
      </c>
      <c r="G899" s="1" t="s">
        <v>48</v>
      </c>
      <c r="H899">
        <v>5</v>
      </c>
      <c r="I899">
        <v>10</v>
      </c>
      <c r="J899" s="3">
        <v>47</v>
      </c>
      <c r="K899" s="3">
        <f>+Treinamentos[[#This Row],[Alunos]]*Treinamentos[[#This Row],[Valor]]</f>
        <v>470</v>
      </c>
    </row>
    <row r="900" spans="1:11" x14ac:dyDescent="0.25">
      <c r="A900">
        <v>5253</v>
      </c>
      <c r="B900" s="1" t="s">
        <v>30</v>
      </c>
      <c r="C900" s="1" t="s">
        <v>57</v>
      </c>
      <c r="D900" s="2">
        <v>43212.791666666664</v>
      </c>
      <c r="E900" s="2">
        <v>43223.958333333336</v>
      </c>
      <c r="F900" s="1" t="s">
        <v>12</v>
      </c>
      <c r="G900" s="1" t="s">
        <v>27</v>
      </c>
      <c r="H900">
        <v>4</v>
      </c>
      <c r="I900">
        <v>11</v>
      </c>
      <c r="J900" s="3">
        <v>51</v>
      </c>
      <c r="K900" s="3">
        <f>+Treinamentos[[#This Row],[Alunos]]*Treinamentos[[#This Row],[Valor]]</f>
        <v>561</v>
      </c>
    </row>
    <row r="901" spans="1:11" x14ac:dyDescent="0.25">
      <c r="A901">
        <v>5254</v>
      </c>
      <c r="B901" s="1" t="s">
        <v>16</v>
      </c>
      <c r="C901" s="1" t="s">
        <v>56</v>
      </c>
      <c r="D901" s="2">
        <v>43213.791666666664</v>
      </c>
      <c r="E901" s="2">
        <v>43226.958333333336</v>
      </c>
      <c r="F901" s="1" t="s">
        <v>21</v>
      </c>
      <c r="G901" s="1" t="s">
        <v>24</v>
      </c>
      <c r="H901">
        <v>2</v>
      </c>
      <c r="I901">
        <v>8</v>
      </c>
      <c r="J901" s="3">
        <v>62</v>
      </c>
      <c r="K901" s="3">
        <f>+Treinamentos[[#This Row],[Alunos]]*Treinamentos[[#This Row],[Valor]]</f>
        <v>496</v>
      </c>
    </row>
    <row r="902" spans="1:11" x14ac:dyDescent="0.25">
      <c r="A902">
        <v>5255</v>
      </c>
      <c r="B902" s="1" t="s">
        <v>28</v>
      </c>
      <c r="C902" s="1" t="s">
        <v>57</v>
      </c>
      <c r="D902" s="2">
        <v>43213.791666666664</v>
      </c>
      <c r="E902" s="2">
        <v>43226.958333333336</v>
      </c>
      <c r="F902" s="1" t="s">
        <v>12</v>
      </c>
      <c r="G902" s="1" t="s">
        <v>13</v>
      </c>
      <c r="H902">
        <v>2</v>
      </c>
      <c r="I902">
        <v>8</v>
      </c>
      <c r="J902" s="3">
        <v>51</v>
      </c>
      <c r="K902" s="3">
        <f>+Treinamentos[[#This Row],[Alunos]]*Treinamentos[[#This Row],[Valor]]</f>
        <v>408</v>
      </c>
    </row>
    <row r="903" spans="1:11" x14ac:dyDescent="0.25">
      <c r="A903">
        <v>5256</v>
      </c>
      <c r="B903" s="1" t="s">
        <v>14</v>
      </c>
      <c r="C903" s="1" t="s">
        <v>53</v>
      </c>
      <c r="D903" s="2">
        <v>43213.791666666664</v>
      </c>
      <c r="E903" s="2">
        <v>43226.958333333336</v>
      </c>
      <c r="F903" s="1" t="s">
        <v>21</v>
      </c>
      <c r="G903" s="1" t="s">
        <v>19</v>
      </c>
      <c r="H903">
        <v>4</v>
      </c>
      <c r="I903">
        <v>9</v>
      </c>
      <c r="J903" s="3">
        <v>31</v>
      </c>
      <c r="K903" s="3">
        <f>+Treinamentos[[#This Row],[Alunos]]*Treinamentos[[#This Row],[Valor]]</f>
        <v>279</v>
      </c>
    </row>
    <row r="904" spans="1:11" x14ac:dyDescent="0.25">
      <c r="A904">
        <v>5257</v>
      </c>
      <c r="B904" s="1" t="s">
        <v>17</v>
      </c>
      <c r="C904" s="1" t="s">
        <v>51</v>
      </c>
      <c r="D904" s="2">
        <v>43214.583333333336</v>
      </c>
      <c r="E904" s="2">
        <v>43227.75</v>
      </c>
      <c r="F904" s="1" t="s">
        <v>21</v>
      </c>
      <c r="G904" s="1" t="s">
        <v>19</v>
      </c>
      <c r="H904">
        <v>2</v>
      </c>
      <c r="I904">
        <v>8</v>
      </c>
      <c r="J904" s="3">
        <v>61</v>
      </c>
      <c r="K904" s="3">
        <f>+Treinamentos[[#This Row],[Alunos]]*Treinamentos[[#This Row],[Valor]]</f>
        <v>488</v>
      </c>
    </row>
    <row r="905" spans="1:11" x14ac:dyDescent="0.25">
      <c r="A905">
        <v>5258</v>
      </c>
      <c r="B905" s="1" t="s">
        <v>10</v>
      </c>
      <c r="C905" s="1" t="s">
        <v>57</v>
      </c>
      <c r="D905" s="2">
        <v>43215.375</v>
      </c>
      <c r="E905" s="2">
        <v>43221.75</v>
      </c>
      <c r="F905" s="1" t="s">
        <v>12</v>
      </c>
      <c r="G905" s="1" t="s">
        <v>42</v>
      </c>
      <c r="H905">
        <v>3</v>
      </c>
      <c r="I905">
        <v>11</v>
      </c>
      <c r="J905" s="3">
        <v>51</v>
      </c>
      <c r="K905" s="3">
        <f>+Treinamentos[[#This Row],[Alunos]]*Treinamentos[[#This Row],[Valor]]</f>
        <v>561</v>
      </c>
    </row>
    <row r="906" spans="1:11" x14ac:dyDescent="0.25">
      <c r="A906">
        <v>5259</v>
      </c>
      <c r="B906" s="1" t="s">
        <v>28</v>
      </c>
      <c r="C906" s="1" t="s">
        <v>50</v>
      </c>
      <c r="D906" s="2">
        <v>43216.333333333336</v>
      </c>
      <c r="E906" s="2">
        <v>43229.5</v>
      </c>
      <c r="F906" s="1" t="s">
        <v>21</v>
      </c>
      <c r="G906" s="1" t="s">
        <v>13</v>
      </c>
      <c r="H906">
        <v>4</v>
      </c>
      <c r="I906">
        <v>11</v>
      </c>
      <c r="J906" s="3">
        <v>33</v>
      </c>
      <c r="K906" s="3">
        <f>+Treinamentos[[#This Row],[Alunos]]*Treinamentos[[#This Row],[Valor]]</f>
        <v>363</v>
      </c>
    </row>
    <row r="907" spans="1:11" x14ac:dyDescent="0.25">
      <c r="A907">
        <v>5260</v>
      </c>
      <c r="B907" s="1" t="s">
        <v>37</v>
      </c>
      <c r="C907" s="1" t="s">
        <v>57</v>
      </c>
      <c r="D907" s="2">
        <v>43217.375</v>
      </c>
      <c r="E907" s="2">
        <v>43222.75</v>
      </c>
      <c r="F907" s="1" t="s">
        <v>12</v>
      </c>
      <c r="G907" s="1" t="s">
        <v>33</v>
      </c>
      <c r="H907">
        <v>3</v>
      </c>
      <c r="I907">
        <v>8</v>
      </c>
      <c r="J907" s="3">
        <v>51</v>
      </c>
      <c r="K907" s="3">
        <f>+Treinamentos[[#This Row],[Alunos]]*Treinamentos[[#This Row],[Valor]]</f>
        <v>408</v>
      </c>
    </row>
    <row r="908" spans="1:11" x14ac:dyDescent="0.25">
      <c r="A908">
        <v>5261</v>
      </c>
      <c r="B908" s="1" t="s">
        <v>14</v>
      </c>
      <c r="C908" s="1" t="s">
        <v>51</v>
      </c>
      <c r="D908" s="2">
        <v>43217.375</v>
      </c>
      <c r="E908" s="2">
        <v>43222.75</v>
      </c>
      <c r="F908" s="1" t="s">
        <v>21</v>
      </c>
      <c r="G908" s="1" t="s">
        <v>16</v>
      </c>
      <c r="H908">
        <v>2</v>
      </c>
      <c r="I908">
        <v>12</v>
      </c>
      <c r="J908" s="3">
        <v>61</v>
      </c>
      <c r="K908" s="3">
        <f>+Treinamentos[[#This Row],[Alunos]]*Treinamentos[[#This Row],[Valor]]</f>
        <v>732</v>
      </c>
    </row>
    <row r="909" spans="1:11" x14ac:dyDescent="0.25">
      <c r="A909">
        <v>5262</v>
      </c>
      <c r="B909" s="1" t="s">
        <v>14</v>
      </c>
      <c r="C909" s="1" t="s">
        <v>54</v>
      </c>
      <c r="D909" s="2">
        <v>43217.375</v>
      </c>
      <c r="E909" s="2">
        <v>43222.75</v>
      </c>
      <c r="F909" s="1" t="s">
        <v>21</v>
      </c>
      <c r="G909" s="1" t="s">
        <v>44</v>
      </c>
      <c r="H909">
        <v>3</v>
      </c>
      <c r="I909">
        <v>12</v>
      </c>
      <c r="J909" s="3">
        <v>42</v>
      </c>
      <c r="K909" s="3">
        <f>+Treinamentos[[#This Row],[Alunos]]*Treinamentos[[#This Row],[Valor]]</f>
        <v>504</v>
      </c>
    </row>
    <row r="910" spans="1:11" x14ac:dyDescent="0.25">
      <c r="A910">
        <v>5263</v>
      </c>
      <c r="B910" s="1" t="s">
        <v>30</v>
      </c>
      <c r="C910" s="1" t="s">
        <v>49</v>
      </c>
      <c r="D910" s="2">
        <v>43219.791666666664</v>
      </c>
      <c r="E910" s="2">
        <v>43230.958333333336</v>
      </c>
      <c r="F910" s="1" t="s">
        <v>21</v>
      </c>
      <c r="G910" s="1" t="s">
        <v>16</v>
      </c>
      <c r="H910">
        <v>2</v>
      </c>
      <c r="I910">
        <v>10</v>
      </c>
      <c r="J910" s="3">
        <v>52</v>
      </c>
      <c r="K910" s="3">
        <f>+Treinamentos[[#This Row],[Alunos]]*Treinamentos[[#This Row],[Valor]]</f>
        <v>520</v>
      </c>
    </row>
    <row r="911" spans="1:11" x14ac:dyDescent="0.25">
      <c r="A911">
        <v>5264</v>
      </c>
      <c r="B911" s="1" t="s">
        <v>37</v>
      </c>
      <c r="C911" s="1" t="s">
        <v>60</v>
      </c>
      <c r="D911" s="2">
        <v>43220.791666666664</v>
      </c>
      <c r="E911" s="2">
        <v>43233.958333333336</v>
      </c>
      <c r="F911" s="1" t="s">
        <v>21</v>
      </c>
      <c r="G911" s="1" t="s">
        <v>34</v>
      </c>
      <c r="H911">
        <v>3</v>
      </c>
      <c r="I911">
        <v>11</v>
      </c>
      <c r="J911" s="3">
        <v>41</v>
      </c>
      <c r="K911" s="3">
        <f>+Treinamentos[[#This Row],[Alunos]]*Treinamentos[[#This Row],[Valor]]</f>
        <v>451</v>
      </c>
    </row>
    <row r="912" spans="1:11" x14ac:dyDescent="0.25">
      <c r="A912">
        <v>5265</v>
      </c>
      <c r="B912" s="1" t="s">
        <v>41</v>
      </c>
      <c r="C912" s="1" t="s">
        <v>56</v>
      </c>
      <c r="D912" s="2">
        <v>43220.791666666664</v>
      </c>
      <c r="E912" s="2">
        <v>43233.958333333336</v>
      </c>
      <c r="F912" s="1" t="s">
        <v>21</v>
      </c>
      <c r="G912" s="1" t="s">
        <v>48</v>
      </c>
      <c r="H912">
        <v>2</v>
      </c>
      <c r="I912">
        <v>12</v>
      </c>
      <c r="J912" s="3">
        <v>62</v>
      </c>
      <c r="K912" s="3">
        <f>+Treinamentos[[#This Row],[Alunos]]*Treinamentos[[#This Row],[Valor]]</f>
        <v>744</v>
      </c>
    </row>
    <row r="913" spans="1:11" x14ac:dyDescent="0.25">
      <c r="A913">
        <v>5266</v>
      </c>
      <c r="B913" s="1" t="s">
        <v>10</v>
      </c>
      <c r="C913" s="1" t="s">
        <v>52</v>
      </c>
      <c r="D913" s="2">
        <v>43220.791666666664</v>
      </c>
      <c r="E913" s="2">
        <v>43233.958333333336</v>
      </c>
      <c r="F913" s="1" t="s">
        <v>12</v>
      </c>
      <c r="G913" s="1" t="s">
        <v>46</v>
      </c>
      <c r="H913">
        <v>3</v>
      </c>
      <c r="I913">
        <v>12</v>
      </c>
      <c r="J913" s="3">
        <v>47</v>
      </c>
      <c r="K913" s="3">
        <f>+Treinamentos[[#This Row],[Alunos]]*Treinamentos[[#This Row],[Valor]]</f>
        <v>564</v>
      </c>
    </row>
    <row r="914" spans="1:11" x14ac:dyDescent="0.25">
      <c r="A914">
        <v>5267</v>
      </c>
      <c r="B914" s="1" t="s">
        <v>30</v>
      </c>
      <c r="C914" s="1" t="s">
        <v>49</v>
      </c>
      <c r="D914" s="2">
        <v>43221.583333333336</v>
      </c>
      <c r="E914" s="2">
        <v>43234.75</v>
      </c>
      <c r="F914" s="1" t="s">
        <v>21</v>
      </c>
      <c r="G914" s="1" t="s">
        <v>19</v>
      </c>
      <c r="H914">
        <v>5</v>
      </c>
      <c r="I914">
        <v>11</v>
      </c>
      <c r="J914" s="3">
        <v>53</v>
      </c>
      <c r="K914" s="3">
        <f>+Treinamentos[[#This Row],[Alunos]]*Treinamentos[[#This Row],[Valor]]</f>
        <v>583</v>
      </c>
    </row>
    <row r="915" spans="1:11" x14ac:dyDescent="0.25">
      <c r="A915">
        <v>5268</v>
      </c>
      <c r="B915" s="1" t="s">
        <v>17</v>
      </c>
      <c r="C915" s="1" t="s">
        <v>49</v>
      </c>
      <c r="D915" s="2">
        <v>43222.375</v>
      </c>
      <c r="E915" s="2">
        <v>43228.75</v>
      </c>
      <c r="F915" s="1" t="s">
        <v>21</v>
      </c>
      <c r="G915" s="1" t="s">
        <v>22</v>
      </c>
      <c r="H915">
        <v>2</v>
      </c>
      <c r="I915">
        <v>11</v>
      </c>
      <c r="J915" s="3">
        <v>53</v>
      </c>
      <c r="K915" s="3">
        <f>+Treinamentos[[#This Row],[Alunos]]*Treinamentos[[#This Row],[Valor]]</f>
        <v>583</v>
      </c>
    </row>
    <row r="916" spans="1:11" x14ac:dyDescent="0.25">
      <c r="A916">
        <v>5269</v>
      </c>
      <c r="B916" s="1" t="s">
        <v>10</v>
      </c>
      <c r="C916" s="1" t="s">
        <v>50</v>
      </c>
      <c r="D916" s="2">
        <v>43223.333333333336</v>
      </c>
      <c r="E916" s="2">
        <v>43236.5</v>
      </c>
      <c r="F916" s="1" t="s">
        <v>21</v>
      </c>
      <c r="G916" s="1" t="s">
        <v>24</v>
      </c>
      <c r="H916">
        <v>5</v>
      </c>
      <c r="I916">
        <v>10</v>
      </c>
      <c r="J916" s="3">
        <v>35</v>
      </c>
      <c r="K916" s="3">
        <f>+Treinamentos[[#This Row],[Alunos]]*Treinamentos[[#This Row],[Valor]]</f>
        <v>350</v>
      </c>
    </row>
    <row r="917" spans="1:11" x14ac:dyDescent="0.25">
      <c r="A917">
        <v>5270</v>
      </c>
      <c r="B917" s="1" t="s">
        <v>37</v>
      </c>
      <c r="C917" s="1" t="s">
        <v>49</v>
      </c>
      <c r="D917" s="2">
        <v>43224.375</v>
      </c>
      <c r="E917" s="2">
        <v>43229.75</v>
      </c>
      <c r="F917" s="1" t="s">
        <v>21</v>
      </c>
      <c r="G917" s="1" t="s">
        <v>33</v>
      </c>
      <c r="H917">
        <v>5</v>
      </c>
      <c r="I917">
        <v>9</v>
      </c>
      <c r="J917" s="3">
        <v>53</v>
      </c>
      <c r="K917" s="3">
        <f>+Treinamentos[[#This Row],[Alunos]]*Treinamentos[[#This Row],[Valor]]</f>
        <v>477</v>
      </c>
    </row>
    <row r="918" spans="1:11" x14ac:dyDescent="0.25">
      <c r="A918">
        <v>5271</v>
      </c>
      <c r="B918" s="1" t="s">
        <v>25</v>
      </c>
      <c r="C918" s="1" t="s">
        <v>51</v>
      </c>
      <c r="D918" s="2">
        <v>43226.791666666664</v>
      </c>
      <c r="E918" s="2">
        <v>43237.958333333336</v>
      </c>
      <c r="F918" s="1" t="s">
        <v>21</v>
      </c>
      <c r="G918" s="1" t="s">
        <v>47</v>
      </c>
      <c r="H918">
        <v>3</v>
      </c>
      <c r="I918">
        <v>8</v>
      </c>
      <c r="J918" s="3">
        <v>62</v>
      </c>
      <c r="K918" s="3">
        <f>+Treinamentos[[#This Row],[Alunos]]*Treinamentos[[#This Row],[Valor]]</f>
        <v>496</v>
      </c>
    </row>
    <row r="919" spans="1:11" x14ac:dyDescent="0.25">
      <c r="A919">
        <v>5272</v>
      </c>
      <c r="B919" s="1" t="s">
        <v>16</v>
      </c>
      <c r="C919" s="1" t="s">
        <v>49</v>
      </c>
      <c r="D919" s="2">
        <v>43226.791666666664</v>
      </c>
      <c r="E919" s="2">
        <v>43237.958333333336</v>
      </c>
      <c r="F919" s="1" t="s">
        <v>12</v>
      </c>
      <c r="G919" s="1" t="s">
        <v>27</v>
      </c>
      <c r="H919">
        <v>3</v>
      </c>
      <c r="I919">
        <v>8</v>
      </c>
      <c r="J919" s="3">
        <v>53</v>
      </c>
      <c r="K919" s="3">
        <f>+Treinamentos[[#This Row],[Alunos]]*Treinamentos[[#This Row],[Valor]]</f>
        <v>424</v>
      </c>
    </row>
    <row r="920" spans="1:11" x14ac:dyDescent="0.25">
      <c r="A920">
        <v>5273</v>
      </c>
      <c r="B920" s="1" t="s">
        <v>30</v>
      </c>
      <c r="C920" s="1" t="s">
        <v>52</v>
      </c>
      <c r="D920" s="2">
        <v>43227.791666666664</v>
      </c>
      <c r="E920" s="2">
        <v>43240.958333333336</v>
      </c>
      <c r="F920" s="1" t="s">
        <v>21</v>
      </c>
      <c r="G920" s="1" t="s">
        <v>46</v>
      </c>
      <c r="H920">
        <v>2</v>
      </c>
      <c r="I920">
        <v>11</v>
      </c>
      <c r="J920" s="3">
        <v>48</v>
      </c>
      <c r="K920" s="3">
        <f>+Treinamentos[[#This Row],[Alunos]]*Treinamentos[[#This Row],[Valor]]</f>
        <v>528</v>
      </c>
    </row>
    <row r="921" spans="1:11" x14ac:dyDescent="0.25">
      <c r="A921">
        <v>5274</v>
      </c>
      <c r="B921" s="1" t="s">
        <v>37</v>
      </c>
      <c r="C921" s="1" t="s">
        <v>53</v>
      </c>
      <c r="D921" s="2">
        <v>43228.583333333336</v>
      </c>
      <c r="E921" s="2">
        <v>43241.75</v>
      </c>
      <c r="F921" s="1" t="s">
        <v>12</v>
      </c>
      <c r="G921" s="1" t="s">
        <v>32</v>
      </c>
      <c r="H921">
        <v>5</v>
      </c>
      <c r="I921">
        <v>10</v>
      </c>
      <c r="J921" s="3">
        <v>32</v>
      </c>
      <c r="K921" s="3">
        <f>+Treinamentos[[#This Row],[Alunos]]*Treinamentos[[#This Row],[Valor]]</f>
        <v>320</v>
      </c>
    </row>
    <row r="922" spans="1:11" x14ac:dyDescent="0.25">
      <c r="A922">
        <v>5275</v>
      </c>
      <c r="B922" s="1" t="s">
        <v>28</v>
      </c>
      <c r="C922" s="1" t="s">
        <v>51</v>
      </c>
      <c r="D922" s="2">
        <v>43229.375</v>
      </c>
      <c r="E922" s="2">
        <v>43235.75</v>
      </c>
      <c r="F922" s="1" t="s">
        <v>21</v>
      </c>
      <c r="G922" s="1" t="s">
        <v>47</v>
      </c>
      <c r="H922">
        <v>3</v>
      </c>
      <c r="I922">
        <v>11</v>
      </c>
      <c r="J922" s="3">
        <v>62</v>
      </c>
      <c r="K922" s="3">
        <f>+Treinamentos[[#This Row],[Alunos]]*Treinamentos[[#This Row],[Valor]]</f>
        <v>682</v>
      </c>
    </row>
    <row r="923" spans="1:11" x14ac:dyDescent="0.25">
      <c r="A923">
        <v>5276</v>
      </c>
      <c r="B923" s="1" t="s">
        <v>30</v>
      </c>
      <c r="C923" s="1" t="s">
        <v>54</v>
      </c>
      <c r="D923" s="2">
        <v>43230.333333333336</v>
      </c>
      <c r="E923" s="2">
        <v>43243.5</v>
      </c>
      <c r="F923" s="1" t="s">
        <v>21</v>
      </c>
      <c r="G923" s="1" t="s">
        <v>44</v>
      </c>
      <c r="H923">
        <v>3</v>
      </c>
      <c r="I923">
        <v>10</v>
      </c>
      <c r="J923" s="3">
        <v>43</v>
      </c>
      <c r="K923" s="3">
        <f>+Treinamentos[[#This Row],[Alunos]]*Treinamentos[[#This Row],[Valor]]</f>
        <v>430</v>
      </c>
    </row>
    <row r="924" spans="1:11" x14ac:dyDescent="0.25">
      <c r="A924">
        <v>5277</v>
      </c>
      <c r="B924" s="1" t="s">
        <v>17</v>
      </c>
      <c r="C924" s="1" t="s">
        <v>55</v>
      </c>
      <c r="D924" s="2">
        <v>43231.375</v>
      </c>
      <c r="E924" s="2">
        <v>43236.75</v>
      </c>
      <c r="F924" s="1" t="s">
        <v>12</v>
      </c>
      <c r="G924" s="1" t="s">
        <v>16</v>
      </c>
      <c r="H924">
        <v>2</v>
      </c>
      <c r="I924">
        <v>10</v>
      </c>
      <c r="J924" s="3">
        <v>75</v>
      </c>
      <c r="K924" s="3">
        <f>+Treinamentos[[#This Row],[Alunos]]*Treinamentos[[#This Row],[Valor]]</f>
        <v>750</v>
      </c>
    </row>
    <row r="925" spans="1:11" x14ac:dyDescent="0.25">
      <c r="A925">
        <v>5278</v>
      </c>
      <c r="B925" s="1" t="s">
        <v>30</v>
      </c>
      <c r="C925" s="1" t="s">
        <v>49</v>
      </c>
      <c r="D925" s="2">
        <v>43233.791666666664</v>
      </c>
      <c r="E925" s="2">
        <v>43244.958333333336</v>
      </c>
      <c r="F925" s="1" t="s">
        <v>21</v>
      </c>
      <c r="G925" s="1" t="s">
        <v>48</v>
      </c>
      <c r="H925">
        <v>3</v>
      </c>
      <c r="I925">
        <v>9</v>
      </c>
      <c r="J925" s="3">
        <v>53</v>
      </c>
      <c r="K925" s="3">
        <f>+Treinamentos[[#This Row],[Alunos]]*Treinamentos[[#This Row],[Valor]]</f>
        <v>477</v>
      </c>
    </row>
    <row r="926" spans="1:11" x14ac:dyDescent="0.25">
      <c r="A926">
        <v>5279</v>
      </c>
      <c r="B926" s="1" t="s">
        <v>16</v>
      </c>
      <c r="C926" s="1" t="s">
        <v>56</v>
      </c>
      <c r="D926" s="2">
        <v>43233.791666666664</v>
      </c>
      <c r="E926" s="2">
        <v>43244.958333333336</v>
      </c>
      <c r="F926" s="1" t="s">
        <v>12</v>
      </c>
      <c r="G926" s="1" t="s">
        <v>42</v>
      </c>
      <c r="H926">
        <v>3</v>
      </c>
      <c r="I926">
        <v>8</v>
      </c>
      <c r="J926" s="3">
        <v>63</v>
      </c>
      <c r="K926" s="3">
        <f>+Treinamentos[[#This Row],[Alunos]]*Treinamentos[[#This Row],[Valor]]</f>
        <v>504</v>
      </c>
    </row>
    <row r="927" spans="1:11" x14ac:dyDescent="0.25">
      <c r="A927">
        <v>5280</v>
      </c>
      <c r="B927" s="1" t="s">
        <v>10</v>
      </c>
      <c r="C927" s="1" t="s">
        <v>52</v>
      </c>
      <c r="D927" s="2">
        <v>43234.791666666664</v>
      </c>
      <c r="E927" s="2">
        <v>43247.958333333336</v>
      </c>
      <c r="F927" s="1" t="s">
        <v>12</v>
      </c>
      <c r="G927" s="1" t="s">
        <v>32</v>
      </c>
      <c r="H927">
        <v>2</v>
      </c>
      <c r="I927">
        <v>11</v>
      </c>
      <c r="J927" s="3">
        <v>48</v>
      </c>
      <c r="K927" s="3">
        <f>+Treinamentos[[#This Row],[Alunos]]*Treinamentos[[#This Row],[Valor]]</f>
        <v>528</v>
      </c>
    </row>
    <row r="928" spans="1:11" x14ac:dyDescent="0.25">
      <c r="A928">
        <v>5281</v>
      </c>
      <c r="B928" s="1" t="s">
        <v>10</v>
      </c>
      <c r="C928" s="1" t="s">
        <v>53</v>
      </c>
      <c r="D928" s="2">
        <v>43235.583333333336</v>
      </c>
      <c r="E928" s="2">
        <v>43248.75</v>
      </c>
      <c r="F928" s="1" t="s">
        <v>12</v>
      </c>
      <c r="G928" s="1" t="s">
        <v>19</v>
      </c>
      <c r="H928">
        <v>3</v>
      </c>
      <c r="I928">
        <v>10</v>
      </c>
      <c r="J928" s="3">
        <v>32</v>
      </c>
      <c r="K928" s="3">
        <f>+Treinamentos[[#This Row],[Alunos]]*Treinamentos[[#This Row],[Valor]]</f>
        <v>320</v>
      </c>
    </row>
    <row r="929" spans="1:11" x14ac:dyDescent="0.25">
      <c r="A929">
        <v>5282</v>
      </c>
      <c r="B929" s="1" t="s">
        <v>16</v>
      </c>
      <c r="C929" s="1" t="s">
        <v>57</v>
      </c>
      <c r="D929" s="2">
        <v>43236.375</v>
      </c>
      <c r="E929" s="2">
        <v>43242.75</v>
      </c>
      <c r="F929" s="1" t="s">
        <v>12</v>
      </c>
      <c r="G929" s="1" t="s">
        <v>42</v>
      </c>
      <c r="H929">
        <v>3</v>
      </c>
      <c r="I929">
        <v>9</v>
      </c>
      <c r="J929" s="3">
        <v>52</v>
      </c>
      <c r="K929" s="3">
        <f>+Treinamentos[[#This Row],[Alunos]]*Treinamentos[[#This Row],[Valor]]</f>
        <v>468</v>
      </c>
    </row>
    <row r="930" spans="1:11" x14ac:dyDescent="0.25">
      <c r="A930">
        <v>5283</v>
      </c>
      <c r="B930" s="1" t="s">
        <v>28</v>
      </c>
      <c r="C930" s="1" t="s">
        <v>52</v>
      </c>
      <c r="D930" s="2">
        <v>43237.333333333336</v>
      </c>
      <c r="E930" s="2">
        <v>43250.5</v>
      </c>
      <c r="F930" s="1" t="s">
        <v>21</v>
      </c>
      <c r="G930" s="1" t="s">
        <v>36</v>
      </c>
      <c r="H930">
        <v>4</v>
      </c>
      <c r="I930">
        <v>10</v>
      </c>
      <c r="J930" s="3">
        <v>48</v>
      </c>
      <c r="K930" s="3">
        <f>+Treinamentos[[#This Row],[Alunos]]*Treinamentos[[#This Row],[Valor]]</f>
        <v>480</v>
      </c>
    </row>
    <row r="931" spans="1:11" x14ac:dyDescent="0.25">
      <c r="A931">
        <v>5284</v>
      </c>
      <c r="B931" s="1" t="s">
        <v>28</v>
      </c>
      <c r="C931" s="1" t="s">
        <v>55</v>
      </c>
      <c r="D931" s="2">
        <v>43238.375</v>
      </c>
      <c r="E931" s="2">
        <v>43243.75</v>
      </c>
      <c r="F931" s="1" t="s">
        <v>12</v>
      </c>
      <c r="G931" s="1" t="s">
        <v>19</v>
      </c>
      <c r="H931">
        <v>2</v>
      </c>
      <c r="I931">
        <v>11</v>
      </c>
      <c r="J931" s="3">
        <v>75</v>
      </c>
      <c r="K931" s="3">
        <f>+Treinamentos[[#This Row],[Alunos]]*Treinamentos[[#This Row],[Valor]]</f>
        <v>825</v>
      </c>
    </row>
    <row r="932" spans="1:11" x14ac:dyDescent="0.25">
      <c r="A932">
        <v>5285</v>
      </c>
      <c r="B932" s="1" t="s">
        <v>25</v>
      </c>
      <c r="C932" s="1" t="s">
        <v>55</v>
      </c>
      <c r="D932" s="2">
        <v>43240.791666666664</v>
      </c>
      <c r="E932" s="2">
        <v>43251.958333333336</v>
      </c>
      <c r="F932" s="1" t="s">
        <v>12</v>
      </c>
      <c r="G932" s="1" t="s">
        <v>34</v>
      </c>
      <c r="H932">
        <v>4</v>
      </c>
      <c r="I932">
        <v>11</v>
      </c>
      <c r="J932" s="3">
        <v>75</v>
      </c>
      <c r="K932" s="3">
        <f>+Treinamentos[[#This Row],[Alunos]]*Treinamentos[[#This Row],[Valor]]</f>
        <v>825</v>
      </c>
    </row>
    <row r="933" spans="1:11" x14ac:dyDescent="0.25">
      <c r="A933">
        <v>5286</v>
      </c>
      <c r="B933" s="1" t="s">
        <v>41</v>
      </c>
      <c r="C933" s="1" t="s">
        <v>58</v>
      </c>
      <c r="D933" s="2">
        <v>43240.791666666664</v>
      </c>
      <c r="E933" s="2">
        <v>43251.958333333336</v>
      </c>
      <c r="F933" s="1" t="s">
        <v>21</v>
      </c>
      <c r="G933" s="1" t="s">
        <v>38</v>
      </c>
      <c r="H933">
        <v>4</v>
      </c>
      <c r="I933">
        <v>12</v>
      </c>
      <c r="J933" s="3">
        <v>48</v>
      </c>
      <c r="K933" s="3">
        <f>+Treinamentos[[#This Row],[Alunos]]*Treinamentos[[#This Row],[Valor]]</f>
        <v>576</v>
      </c>
    </row>
    <row r="934" spans="1:11" x14ac:dyDescent="0.25">
      <c r="A934">
        <v>5287</v>
      </c>
      <c r="B934" s="1" t="s">
        <v>17</v>
      </c>
      <c r="C934" s="1" t="s">
        <v>51</v>
      </c>
      <c r="D934" s="2">
        <v>43241.791666666664</v>
      </c>
      <c r="E934" s="2">
        <v>43254.958333333336</v>
      </c>
      <c r="F934" s="1" t="s">
        <v>21</v>
      </c>
      <c r="G934" s="1" t="s">
        <v>24</v>
      </c>
      <c r="H934">
        <v>5</v>
      </c>
      <c r="I934">
        <v>8</v>
      </c>
      <c r="J934" s="3">
        <v>62</v>
      </c>
      <c r="K934" s="3">
        <f>+Treinamentos[[#This Row],[Alunos]]*Treinamentos[[#This Row],[Valor]]</f>
        <v>496</v>
      </c>
    </row>
    <row r="935" spans="1:11" x14ac:dyDescent="0.25">
      <c r="A935">
        <v>5288</v>
      </c>
      <c r="B935" s="1" t="s">
        <v>37</v>
      </c>
      <c r="C935" s="1" t="s">
        <v>59</v>
      </c>
      <c r="D935" s="2">
        <v>43242.583333333336</v>
      </c>
      <c r="E935" s="2">
        <v>43255.75</v>
      </c>
      <c r="F935" s="1" t="s">
        <v>12</v>
      </c>
      <c r="G935" s="1" t="s">
        <v>47</v>
      </c>
      <c r="H935">
        <v>3</v>
      </c>
      <c r="I935">
        <v>10</v>
      </c>
      <c r="J935" s="3">
        <v>48</v>
      </c>
      <c r="K935" s="3">
        <f>+Treinamentos[[#This Row],[Alunos]]*Treinamentos[[#This Row],[Valor]]</f>
        <v>480</v>
      </c>
    </row>
    <row r="936" spans="1:11" x14ac:dyDescent="0.25">
      <c r="A936">
        <v>5289</v>
      </c>
      <c r="B936" s="1" t="s">
        <v>41</v>
      </c>
      <c r="C936" s="1" t="s">
        <v>55</v>
      </c>
      <c r="D936" s="2">
        <v>43243.375</v>
      </c>
      <c r="E936" s="2">
        <v>43249.75</v>
      </c>
      <c r="F936" s="1" t="s">
        <v>12</v>
      </c>
      <c r="G936" s="1" t="s">
        <v>44</v>
      </c>
      <c r="H936">
        <v>3</v>
      </c>
      <c r="I936">
        <v>11</v>
      </c>
      <c r="J936" s="3">
        <v>75</v>
      </c>
      <c r="K936" s="3">
        <f>+Treinamentos[[#This Row],[Alunos]]*Treinamentos[[#This Row],[Valor]]</f>
        <v>825</v>
      </c>
    </row>
    <row r="937" spans="1:11" x14ac:dyDescent="0.25">
      <c r="A937">
        <v>5290</v>
      </c>
      <c r="B937" s="1" t="s">
        <v>30</v>
      </c>
      <c r="C937" s="1" t="s">
        <v>53</v>
      </c>
      <c r="D937" s="2">
        <v>43244.333333333336</v>
      </c>
      <c r="E937" s="2">
        <v>43257.5</v>
      </c>
      <c r="F937" s="1" t="s">
        <v>12</v>
      </c>
      <c r="G937" s="1" t="s">
        <v>19</v>
      </c>
      <c r="H937">
        <v>4</v>
      </c>
      <c r="I937">
        <v>8</v>
      </c>
      <c r="J937" s="3">
        <v>32</v>
      </c>
      <c r="K937" s="3">
        <f>+Treinamentos[[#This Row],[Alunos]]*Treinamentos[[#This Row],[Valor]]</f>
        <v>256</v>
      </c>
    </row>
    <row r="938" spans="1:11" x14ac:dyDescent="0.25">
      <c r="A938">
        <v>5291</v>
      </c>
      <c r="B938" s="1" t="s">
        <v>10</v>
      </c>
      <c r="C938" s="1" t="s">
        <v>53</v>
      </c>
      <c r="D938" s="2">
        <v>43245.375</v>
      </c>
      <c r="E938" s="2">
        <v>43250.75</v>
      </c>
      <c r="F938" s="1" t="s">
        <v>12</v>
      </c>
      <c r="G938" s="1" t="s">
        <v>44</v>
      </c>
      <c r="H938">
        <v>2</v>
      </c>
      <c r="I938">
        <v>11</v>
      </c>
      <c r="J938" s="3">
        <v>32</v>
      </c>
      <c r="K938" s="3">
        <f>+Treinamentos[[#This Row],[Alunos]]*Treinamentos[[#This Row],[Valor]]</f>
        <v>352</v>
      </c>
    </row>
    <row r="939" spans="1:11" x14ac:dyDescent="0.25">
      <c r="A939">
        <v>5292</v>
      </c>
      <c r="B939" s="1" t="s">
        <v>30</v>
      </c>
      <c r="C939" s="1" t="s">
        <v>55</v>
      </c>
      <c r="D939" s="2">
        <v>43247.791666666664</v>
      </c>
      <c r="E939" s="2">
        <v>43258.958333333336</v>
      </c>
      <c r="F939" s="1" t="s">
        <v>12</v>
      </c>
      <c r="G939" s="1" t="s">
        <v>13</v>
      </c>
      <c r="H939">
        <v>2</v>
      </c>
      <c r="I939">
        <v>11</v>
      </c>
      <c r="J939" s="3">
        <v>75</v>
      </c>
      <c r="K939" s="3">
        <f>+Treinamentos[[#This Row],[Alunos]]*Treinamentos[[#This Row],[Valor]]</f>
        <v>825</v>
      </c>
    </row>
    <row r="940" spans="1:11" x14ac:dyDescent="0.25">
      <c r="A940">
        <v>5293</v>
      </c>
      <c r="B940" s="1" t="s">
        <v>17</v>
      </c>
      <c r="C940" s="1" t="s">
        <v>57</v>
      </c>
      <c r="D940" s="2">
        <v>43247.791666666664</v>
      </c>
      <c r="E940" s="2">
        <v>43258.958333333336</v>
      </c>
      <c r="F940" s="1" t="s">
        <v>12</v>
      </c>
      <c r="G940" s="1" t="s">
        <v>13</v>
      </c>
      <c r="H940">
        <v>3</v>
      </c>
      <c r="I940">
        <v>12</v>
      </c>
      <c r="J940" s="3">
        <v>52</v>
      </c>
      <c r="K940" s="3">
        <f>+Treinamentos[[#This Row],[Alunos]]*Treinamentos[[#This Row],[Valor]]</f>
        <v>624</v>
      </c>
    </row>
    <row r="941" spans="1:11" x14ac:dyDescent="0.25">
      <c r="A941">
        <v>5294</v>
      </c>
      <c r="B941" s="1" t="s">
        <v>30</v>
      </c>
      <c r="C941" s="1" t="s">
        <v>59</v>
      </c>
      <c r="D941" s="2">
        <v>43248.791666666664</v>
      </c>
      <c r="E941" s="2">
        <v>43261.958333333336</v>
      </c>
      <c r="F941" s="1" t="s">
        <v>21</v>
      </c>
      <c r="G941" s="1" t="s">
        <v>19</v>
      </c>
      <c r="H941">
        <v>3</v>
      </c>
      <c r="I941">
        <v>10</v>
      </c>
      <c r="J941" s="3">
        <v>48</v>
      </c>
      <c r="K941" s="3">
        <f>+Treinamentos[[#This Row],[Alunos]]*Treinamentos[[#This Row],[Valor]]</f>
        <v>480</v>
      </c>
    </row>
    <row r="942" spans="1:11" x14ac:dyDescent="0.25">
      <c r="A942">
        <v>5295</v>
      </c>
      <c r="B942" s="1" t="s">
        <v>16</v>
      </c>
      <c r="C942" s="1" t="s">
        <v>53</v>
      </c>
      <c r="D942" s="2">
        <v>43249.583333333336</v>
      </c>
      <c r="E942" s="2">
        <v>43262.75</v>
      </c>
      <c r="F942" s="1" t="s">
        <v>12</v>
      </c>
      <c r="G942" s="1" t="s">
        <v>13</v>
      </c>
      <c r="H942">
        <v>3</v>
      </c>
      <c r="I942">
        <v>12</v>
      </c>
      <c r="J942" s="3">
        <v>32</v>
      </c>
      <c r="K942" s="3">
        <f>+Treinamentos[[#This Row],[Alunos]]*Treinamentos[[#This Row],[Valor]]</f>
        <v>384</v>
      </c>
    </row>
    <row r="943" spans="1:11" x14ac:dyDescent="0.25">
      <c r="A943">
        <v>5296</v>
      </c>
      <c r="B943" s="1" t="s">
        <v>30</v>
      </c>
      <c r="C943" s="1" t="s">
        <v>55</v>
      </c>
      <c r="D943" s="2">
        <v>43250.375</v>
      </c>
      <c r="E943" s="2">
        <v>43256.75</v>
      </c>
      <c r="F943" s="1" t="s">
        <v>12</v>
      </c>
      <c r="G943" s="1" t="s">
        <v>48</v>
      </c>
      <c r="H943">
        <v>3</v>
      </c>
      <c r="I943">
        <v>10</v>
      </c>
      <c r="J943" s="3">
        <v>75</v>
      </c>
      <c r="K943" s="3">
        <f>+Treinamentos[[#This Row],[Alunos]]*Treinamentos[[#This Row],[Valor]]</f>
        <v>750</v>
      </c>
    </row>
    <row r="944" spans="1:11" x14ac:dyDescent="0.25">
      <c r="A944">
        <v>5297</v>
      </c>
      <c r="B944" s="1" t="s">
        <v>37</v>
      </c>
      <c r="C944" s="1" t="s">
        <v>59</v>
      </c>
      <c r="D944" s="2">
        <v>43251.333333333336</v>
      </c>
      <c r="E944" s="2">
        <v>43264.5</v>
      </c>
      <c r="F944" s="1" t="s">
        <v>12</v>
      </c>
      <c r="G944" s="1" t="s">
        <v>36</v>
      </c>
      <c r="H944">
        <v>5</v>
      </c>
      <c r="I944">
        <v>11</v>
      </c>
      <c r="J944" s="3">
        <v>48</v>
      </c>
      <c r="K944" s="3">
        <f>+Treinamentos[[#This Row],[Alunos]]*Treinamentos[[#This Row],[Valor]]</f>
        <v>528</v>
      </c>
    </row>
    <row r="945" spans="1:11" x14ac:dyDescent="0.25">
      <c r="A945">
        <v>5298</v>
      </c>
      <c r="B945" s="1" t="s">
        <v>25</v>
      </c>
      <c r="C945" s="1" t="s">
        <v>53</v>
      </c>
      <c r="D945" s="2">
        <v>43252.375</v>
      </c>
      <c r="E945" s="2">
        <v>43257.75</v>
      </c>
      <c r="F945" s="1" t="s">
        <v>21</v>
      </c>
      <c r="G945" s="1" t="s">
        <v>47</v>
      </c>
      <c r="H945">
        <v>4</v>
      </c>
      <c r="I945">
        <v>8</v>
      </c>
      <c r="J945" s="3">
        <v>32</v>
      </c>
      <c r="K945" s="3">
        <f>+Treinamentos[[#This Row],[Alunos]]*Treinamentos[[#This Row],[Valor]]</f>
        <v>256</v>
      </c>
    </row>
    <row r="946" spans="1:11" x14ac:dyDescent="0.25">
      <c r="A946">
        <v>5299</v>
      </c>
      <c r="B946" s="1" t="s">
        <v>14</v>
      </c>
      <c r="C946" s="1" t="s">
        <v>49</v>
      </c>
      <c r="D946" s="2">
        <v>43254.791666666664</v>
      </c>
      <c r="E946" s="2">
        <v>43265.958333333336</v>
      </c>
      <c r="F946" s="1" t="s">
        <v>12</v>
      </c>
      <c r="G946" s="1" t="s">
        <v>36</v>
      </c>
      <c r="H946">
        <v>3</v>
      </c>
      <c r="I946">
        <v>9</v>
      </c>
      <c r="J946" s="3">
        <v>53</v>
      </c>
      <c r="K946" s="3">
        <f>+Treinamentos[[#This Row],[Alunos]]*Treinamentos[[#This Row],[Valor]]</f>
        <v>477</v>
      </c>
    </row>
    <row r="947" spans="1:11" x14ac:dyDescent="0.25">
      <c r="A947">
        <v>5300</v>
      </c>
      <c r="B947" s="1" t="s">
        <v>28</v>
      </c>
      <c r="C947" s="1" t="s">
        <v>55</v>
      </c>
      <c r="D947" s="2">
        <v>43254.791666666664</v>
      </c>
      <c r="E947" s="2">
        <v>43265.958333333336</v>
      </c>
      <c r="F947" s="1" t="s">
        <v>12</v>
      </c>
      <c r="G947" s="1" t="s">
        <v>36</v>
      </c>
      <c r="H947">
        <v>5</v>
      </c>
      <c r="I947">
        <v>8</v>
      </c>
      <c r="J947" s="3">
        <v>75</v>
      </c>
      <c r="K947" s="3">
        <f>+Treinamentos[[#This Row],[Alunos]]*Treinamentos[[#This Row],[Valor]]</f>
        <v>600</v>
      </c>
    </row>
    <row r="948" spans="1:11" x14ac:dyDescent="0.25">
      <c r="A948">
        <v>5301</v>
      </c>
      <c r="B948" s="1" t="s">
        <v>28</v>
      </c>
      <c r="C948" s="1" t="s">
        <v>51</v>
      </c>
      <c r="D948" s="2">
        <v>43255.791666666664</v>
      </c>
      <c r="E948" s="2">
        <v>43268.958333333336</v>
      </c>
      <c r="F948" s="1" t="s">
        <v>21</v>
      </c>
      <c r="G948" s="1" t="s">
        <v>32</v>
      </c>
      <c r="H948">
        <v>5</v>
      </c>
      <c r="I948">
        <v>10</v>
      </c>
      <c r="J948" s="3">
        <v>62</v>
      </c>
      <c r="K948" s="3">
        <f>+Treinamentos[[#This Row],[Alunos]]*Treinamentos[[#This Row],[Valor]]</f>
        <v>620</v>
      </c>
    </row>
    <row r="949" spans="1:11" x14ac:dyDescent="0.25">
      <c r="A949">
        <v>5302</v>
      </c>
      <c r="B949" s="1" t="s">
        <v>30</v>
      </c>
      <c r="C949" s="1" t="s">
        <v>56</v>
      </c>
      <c r="D949" s="2">
        <v>43256.583333333336</v>
      </c>
      <c r="E949" s="2">
        <v>43269.75</v>
      </c>
      <c r="F949" s="1" t="s">
        <v>21</v>
      </c>
      <c r="G949" s="1" t="s">
        <v>24</v>
      </c>
      <c r="H949">
        <v>3</v>
      </c>
      <c r="I949">
        <v>11</v>
      </c>
      <c r="J949" s="3">
        <v>63</v>
      </c>
      <c r="K949" s="3">
        <f>+Treinamentos[[#This Row],[Alunos]]*Treinamentos[[#This Row],[Valor]]</f>
        <v>693</v>
      </c>
    </row>
    <row r="950" spans="1:11" x14ac:dyDescent="0.25">
      <c r="A950">
        <v>5303</v>
      </c>
      <c r="B950" s="1" t="s">
        <v>14</v>
      </c>
      <c r="C950" s="1" t="s">
        <v>54</v>
      </c>
      <c r="D950" s="2">
        <v>43257.375</v>
      </c>
      <c r="E950" s="2">
        <v>43263.75</v>
      </c>
      <c r="F950" s="1" t="s">
        <v>12</v>
      </c>
      <c r="G950" s="1" t="s">
        <v>38</v>
      </c>
      <c r="H950">
        <v>5</v>
      </c>
      <c r="I950">
        <v>8</v>
      </c>
      <c r="J950" s="3">
        <v>42</v>
      </c>
      <c r="K950" s="3">
        <f>+Treinamentos[[#This Row],[Alunos]]*Treinamentos[[#This Row],[Valor]]</f>
        <v>336</v>
      </c>
    </row>
    <row r="951" spans="1:11" x14ac:dyDescent="0.25">
      <c r="A951">
        <v>5304</v>
      </c>
      <c r="B951" s="1" t="s">
        <v>30</v>
      </c>
      <c r="C951" s="1" t="s">
        <v>51</v>
      </c>
      <c r="D951" s="2">
        <v>43258.333333333336</v>
      </c>
      <c r="E951" s="2">
        <v>43271.5</v>
      </c>
      <c r="F951" s="1" t="s">
        <v>12</v>
      </c>
      <c r="G951" s="1" t="s">
        <v>24</v>
      </c>
      <c r="H951">
        <v>4</v>
      </c>
      <c r="I951">
        <v>8</v>
      </c>
      <c r="J951" s="3">
        <v>62</v>
      </c>
      <c r="K951" s="3">
        <f>+Treinamentos[[#This Row],[Alunos]]*Treinamentos[[#This Row],[Valor]]</f>
        <v>496</v>
      </c>
    </row>
    <row r="952" spans="1:11" x14ac:dyDescent="0.25">
      <c r="A952">
        <v>5305</v>
      </c>
      <c r="B952" s="1" t="s">
        <v>17</v>
      </c>
      <c r="C952" s="1" t="s">
        <v>54</v>
      </c>
      <c r="D952" s="2">
        <v>43259.375</v>
      </c>
      <c r="E952" s="2">
        <v>43264.75</v>
      </c>
      <c r="F952" s="1" t="s">
        <v>21</v>
      </c>
      <c r="G952" s="1" t="s">
        <v>24</v>
      </c>
      <c r="H952">
        <v>2</v>
      </c>
      <c r="I952">
        <v>9</v>
      </c>
      <c r="J952" s="3">
        <v>43</v>
      </c>
      <c r="K952" s="3">
        <f>+Treinamentos[[#This Row],[Alunos]]*Treinamentos[[#This Row],[Valor]]</f>
        <v>387</v>
      </c>
    </row>
    <row r="953" spans="1:11" x14ac:dyDescent="0.25">
      <c r="A953">
        <v>5306</v>
      </c>
      <c r="B953" s="1" t="s">
        <v>16</v>
      </c>
      <c r="C953" s="1" t="s">
        <v>53</v>
      </c>
      <c r="D953" s="2">
        <v>43261.791666666664</v>
      </c>
      <c r="E953" s="2">
        <v>43272.958333333336</v>
      </c>
      <c r="F953" s="1" t="s">
        <v>12</v>
      </c>
      <c r="G953" s="1" t="s">
        <v>19</v>
      </c>
      <c r="H953">
        <v>4</v>
      </c>
      <c r="I953">
        <v>11</v>
      </c>
      <c r="J953" s="3">
        <v>32</v>
      </c>
      <c r="K953" s="3">
        <f>+Treinamentos[[#This Row],[Alunos]]*Treinamentos[[#This Row],[Valor]]</f>
        <v>352</v>
      </c>
    </row>
    <row r="954" spans="1:11" x14ac:dyDescent="0.25">
      <c r="A954">
        <v>5307</v>
      </c>
      <c r="B954" s="1" t="s">
        <v>28</v>
      </c>
      <c r="C954" s="1" t="s">
        <v>50</v>
      </c>
      <c r="D954" s="2">
        <v>43261.791666666664</v>
      </c>
      <c r="E954" s="2">
        <v>43272.958333333336</v>
      </c>
      <c r="F954" s="1" t="s">
        <v>12</v>
      </c>
      <c r="G954" s="1" t="s">
        <v>44</v>
      </c>
      <c r="H954">
        <v>5</v>
      </c>
      <c r="I954">
        <v>11</v>
      </c>
      <c r="J954" s="3">
        <v>35</v>
      </c>
      <c r="K954" s="3">
        <f>+Treinamentos[[#This Row],[Alunos]]*Treinamentos[[#This Row],[Valor]]</f>
        <v>385</v>
      </c>
    </row>
    <row r="955" spans="1:11" x14ac:dyDescent="0.25">
      <c r="A955">
        <v>5308</v>
      </c>
      <c r="B955" s="1" t="s">
        <v>16</v>
      </c>
      <c r="C955" s="1" t="s">
        <v>49</v>
      </c>
      <c r="D955" s="2">
        <v>43262.791666666664</v>
      </c>
      <c r="E955" s="2">
        <v>43275.958333333336</v>
      </c>
      <c r="F955" s="1" t="s">
        <v>21</v>
      </c>
      <c r="G955" s="1" t="s">
        <v>47</v>
      </c>
      <c r="H955">
        <v>3</v>
      </c>
      <c r="I955">
        <v>12</v>
      </c>
      <c r="J955" s="3">
        <v>53</v>
      </c>
      <c r="K955" s="3">
        <f>+Treinamentos[[#This Row],[Alunos]]*Treinamentos[[#This Row],[Valor]]</f>
        <v>636</v>
      </c>
    </row>
    <row r="956" spans="1:11" x14ac:dyDescent="0.25">
      <c r="A956">
        <v>5309</v>
      </c>
      <c r="B956" s="1" t="s">
        <v>25</v>
      </c>
      <c r="C956" s="1" t="s">
        <v>54</v>
      </c>
      <c r="D956" s="2">
        <v>43263.583333333336</v>
      </c>
      <c r="E956" s="2">
        <v>43276.75</v>
      </c>
      <c r="F956" s="1" t="s">
        <v>21</v>
      </c>
      <c r="G956" s="1" t="s">
        <v>34</v>
      </c>
      <c r="H956">
        <v>5</v>
      </c>
      <c r="I956">
        <v>11</v>
      </c>
      <c r="J956" s="3">
        <v>43</v>
      </c>
      <c r="K956" s="3">
        <f>+Treinamentos[[#This Row],[Alunos]]*Treinamentos[[#This Row],[Valor]]</f>
        <v>473</v>
      </c>
    </row>
    <row r="957" spans="1:11" x14ac:dyDescent="0.25">
      <c r="A957">
        <v>5310</v>
      </c>
      <c r="B957" s="1" t="s">
        <v>16</v>
      </c>
      <c r="C957" s="1" t="s">
        <v>60</v>
      </c>
      <c r="D957" s="2">
        <v>43264.375</v>
      </c>
      <c r="E957" s="2">
        <v>43270.75</v>
      </c>
      <c r="F957" s="1" t="s">
        <v>12</v>
      </c>
      <c r="G957" s="1" t="s">
        <v>33</v>
      </c>
      <c r="H957">
        <v>4</v>
      </c>
      <c r="I957">
        <v>12</v>
      </c>
      <c r="J957" s="3">
        <v>42</v>
      </c>
      <c r="K957" s="3">
        <f>+Treinamentos[[#This Row],[Alunos]]*Treinamentos[[#This Row],[Valor]]</f>
        <v>504</v>
      </c>
    </row>
    <row r="958" spans="1:11" x14ac:dyDescent="0.25">
      <c r="A958">
        <v>5311</v>
      </c>
      <c r="B958" s="1" t="s">
        <v>37</v>
      </c>
      <c r="C958" s="1" t="s">
        <v>60</v>
      </c>
      <c r="D958" s="2">
        <v>43265.333333333336</v>
      </c>
      <c r="E958" s="2">
        <v>43278.5</v>
      </c>
      <c r="F958" s="1" t="s">
        <v>21</v>
      </c>
      <c r="G958" s="1" t="s">
        <v>34</v>
      </c>
      <c r="H958">
        <v>5</v>
      </c>
      <c r="I958">
        <v>12</v>
      </c>
      <c r="J958" s="3">
        <v>42</v>
      </c>
      <c r="K958" s="3">
        <f>+Treinamentos[[#This Row],[Alunos]]*Treinamentos[[#This Row],[Valor]]</f>
        <v>504</v>
      </c>
    </row>
    <row r="959" spans="1:11" x14ac:dyDescent="0.25">
      <c r="A959">
        <v>5312</v>
      </c>
      <c r="B959" s="1" t="s">
        <v>30</v>
      </c>
      <c r="C959" s="1" t="s">
        <v>59</v>
      </c>
      <c r="D959" s="2">
        <v>43266.375</v>
      </c>
      <c r="E959" s="2">
        <v>43271.75</v>
      </c>
      <c r="F959" s="1" t="s">
        <v>21</v>
      </c>
      <c r="G959" s="1" t="s">
        <v>34</v>
      </c>
      <c r="H959">
        <v>5</v>
      </c>
      <c r="I959">
        <v>8</v>
      </c>
      <c r="J959" s="3">
        <v>48</v>
      </c>
      <c r="K959" s="3">
        <f>+Treinamentos[[#This Row],[Alunos]]*Treinamentos[[#This Row],[Valor]]</f>
        <v>384</v>
      </c>
    </row>
    <row r="960" spans="1:11" x14ac:dyDescent="0.25">
      <c r="A960">
        <v>5313</v>
      </c>
      <c r="B960" s="1" t="s">
        <v>37</v>
      </c>
      <c r="C960" s="1" t="s">
        <v>52</v>
      </c>
      <c r="D960" s="2">
        <v>43268.791666666664</v>
      </c>
      <c r="E960" s="2">
        <v>43279.958333333336</v>
      </c>
      <c r="F960" s="1" t="s">
        <v>12</v>
      </c>
      <c r="G960" s="1" t="s">
        <v>32</v>
      </c>
      <c r="H960">
        <v>5</v>
      </c>
      <c r="I960">
        <v>8</v>
      </c>
      <c r="J960" s="3">
        <v>48</v>
      </c>
      <c r="K960" s="3">
        <f>+Treinamentos[[#This Row],[Alunos]]*Treinamentos[[#This Row],[Valor]]</f>
        <v>384</v>
      </c>
    </row>
    <row r="961" spans="1:11" x14ac:dyDescent="0.25">
      <c r="A961">
        <v>5314</v>
      </c>
      <c r="B961" s="1" t="s">
        <v>28</v>
      </c>
      <c r="C961" s="1" t="s">
        <v>49</v>
      </c>
      <c r="D961" s="2">
        <v>43268.791666666664</v>
      </c>
      <c r="E961" s="2">
        <v>43279.958333333336</v>
      </c>
      <c r="F961" s="1" t="s">
        <v>21</v>
      </c>
      <c r="G961" s="1" t="s">
        <v>33</v>
      </c>
      <c r="H961">
        <v>4</v>
      </c>
      <c r="I961">
        <v>9</v>
      </c>
      <c r="J961" s="3">
        <v>53</v>
      </c>
      <c r="K961" s="3">
        <f>+Treinamentos[[#This Row],[Alunos]]*Treinamentos[[#This Row],[Valor]]</f>
        <v>477</v>
      </c>
    </row>
    <row r="962" spans="1:11" x14ac:dyDescent="0.25">
      <c r="A962">
        <v>5315</v>
      </c>
      <c r="B962" s="1" t="s">
        <v>14</v>
      </c>
      <c r="C962" s="1" t="s">
        <v>53</v>
      </c>
      <c r="D962" s="2">
        <v>43269.791666666664</v>
      </c>
      <c r="E962" s="2">
        <v>43282.958333333336</v>
      </c>
      <c r="F962" s="1" t="s">
        <v>12</v>
      </c>
      <c r="G962" s="1" t="s">
        <v>22</v>
      </c>
      <c r="H962">
        <v>2</v>
      </c>
      <c r="I962">
        <v>8</v>
      </c>
      <c r="J962" s="3">
        <v>32</v>
      </c>
      <c r="K962" s="3">
        <f>+Treinamentos[[#This Row],[Alunos]]*Treinamentos[[#This Row],[Valor]]</f>
        <v>256</v>
      </c>
    </row>
    <row r="963" spans="1:11" x14ac:dyDescent="0.25">
      <c r="A963">
        <v>5316</v>
      </c>
      <c r="B963" s="1" t="s">
        <v>14</v>
      </c>
      <c r="C963" s="1" t="s">
        <v>53</v>
      </c>
      <c r="D963" s="2">
        <v>43270.583333333336</v>
      </c>
      <c r="E963" s="2">
        <v>43283.75</v>
      </c>
      <c r="F963" s="1" t="s">
        <v>12</v>
      </c>
      <c r="G963" s="1" t="s">
        <v>24</v>
      </c>
      <c r="H963">
        <v>4</v>
      </c>
      <c r="I963">
        <v>11</v>
      </c>
      <c r="J963" s="3">
        <v>32</v>
      </c>
      <c r="K963" s="3">
        <f>+Treinamentos[[#This Row],[Alunos]]*Treinamentos[[#This Row],[Valor]]</f>
        <v>352</v>
      </c>
    </row>
    <row r="964" spans="1:11" x14ac:dyDescent="0.25">
      <c r="A964">
        <v>5317</v>
      </c>
      <c r="B964" s="1" t="s">
        <v>30</v>
      </c>
      <c r="C964" s="1" t="s">
        <v>50</v>
      </c>
      <c r="D964" s="2">
        <v>43271.375</v>
      </c>
      <c r="E964" s="2">
        <v>43277.75</v>
      </c>
      <c r="F964" s="1" t="s">
        <v>21</v>
      </c>
      <c r="G964" s="1" t="s">
        <v>33</v>
      </c>
      <c r="H964">
        <v>2</v>
      </c>
      <c r="I964">
        <v>12</v>
      </c>
      <c r="J964" s="3">
        <v>35</v>
      </c>
      <c r="K964" s="3">
        <f>+Treinamentos[[#This Row],[Alunos]]*Treinamentos[[#This Row],[Valor]]</f>
        <v>420</v>
      </c>
    </row>
    <row r="965" spans="1:11" x14ac:dyDescent="0.25">
      <c r="A965">
        <v>5318</v>
      </c>
      <c r="B965" s="1" t="s">
        <v>30</v>
      </c>
      <c r="C965" s="1" t="s">
        <v>56</v>
      </c>
      <c r="D965" s="2">
        <v>43272.333333333336</v>
      </c>
      <c r="E965" s="2">
        <v>43285.5</v>
      </c>
      <c r="F965" s="1" t="s">
        <v>21</v>
      </c>
      <c r="G965" s="1" t="s">
        <v>38</v>
      </c>
      <c r="H965">
        <v>3</v>
      </c>
      <c r="I965">
        <v>9</v>
      </c>
      <c r="J965" s="3">
        <v>63</v>
      </c>
      <c r="K965" s="3">
        <f>+Treinamentos[[#This Row],[Alunos]]*Treinamentos[[#This Row],[Valor]]</f>
        <v>567</v>
      </c>
    </row>
    <row r="966" spans="1:11" x14ac:dyDescent="0.25">
      <c r="A966">
        <v>5319</v>
      </c>
      <c r="B966" s="1" t="s">
        <v>16</v>
      </c>
      <c r="C966" s="1" t="s">
        <v>56</v>
      </c>
      <c r="D966" s="2">
        <v>43273.375</v>
      </c>
      <c r="E966" s="2">
        <v>43278.75</v>
      </c>
      <c r="F966" s="1" t="s">
        <v>21</v>
      </c>
      <c r="G966" s="1" t="s">
        <v>19</v>
      </c>
      <c r="H966">
        <v>5</v>
      </c>
      <c r="I966">
        <v>8</v>
      </c>
      <c r="J966" s="3">
        <v>63</v>
      </c>
      <c r="K966" s="3">
        <f>+Treinamentos[[#This Row],[Alunos]]*Treinamentos[[#This Row],[Valor]]</f>
        <v>504</v>
      </c>
    </row>
    <row r="967" spans="1:11" x14ac:dyDescent="0.25">
      <c r="A967">
        <v>5320</v>
      </c>
      <c r="B967" s="1" t="s">
        <v>14</v>
      </c>
      <c r="C967" s="1" t="s">
        <v>50</v>
      </c>
      <c r="D967" s="2">
        <v>43275.791666666664</v>
      </c>
      <c r="E967" s="2">
        <v>43286.958333333336</v>
      </c>
      <c r="F967" s="1" t="s">
        <v>12</v>
      </c>
      <c r="G967" s="1" t="s">
        <v>33</v>
      </c>
      <c r="H967">
        <v>2</v>
      </c>
      <c r="I967">
        <v>9</v>
      </c>
      <c r="J967" s="3">
        <v>35</v>
      </c>
      <c r="K967" s="3">
        <f>+Treinamentos[[#This Row],[Alunos]]*Treinamentos[[#This Row],[Valor]]</f>
        <v>315</v>
      </c>
    </row>
    <row r="968" spans="1:11" x14ac:dyDescent="0.25">
      <c r="A968">
        <v>5321</v>
      </c>
      <c r="B968" s="1" t="s">
        <v>41</v>
      </c>
      <c r="C968" s="1" t="s">
        <v>60</v>
      </c>
      <c r="D968" s="2">
        <v>43275.791666666664</v>
      </c>
      <c r="E968" s="2">
        <v>43286.958333333336</v>
      </c>
      <c r="F968" s="1" t="s">
        <v>21</v>
      </c>
      <c r="G968" s="1" t="s">
        <v>34</v>
      </c>
      <c r="H968">
        <v>3</v>
      </c>
      <c r="I968">
        <v>12</v>
      </c>
      <c r="J968" s="3">
        <v>42</v>
      </c>
      <c r="K968" s="3">
        <f>+Treinamentos[[#This Row],[Alunos]]*Treinamentos[[#This Row],[Valor]]</f>
        <v>504</v>
      </c>
    </row>
    <row r="969" spans="1:11" x14ac:dyDescent="0.25">
      <c r="A969">
        <v>5322</v>
      </c>
      <c r="B969" s="1" t="s">
        <v>41</v>
      </c>
      <c r="C969" s="1" t="s">
        <v>53</v>
      </c>
      <c r="D969" s="2">
        <v>43276.791666666664</v>
      </c>
      <c r="E969" s="2">
        <v>43289.958333333336</v>
      </c>
      <c r="F969" s="1" t="s">
        <v>12</v>
      </c>
      <c r="G969" s="1" t="s">
        <v>47</v>
      </c>
      <c r="H969">
        <v>4</v>
      </c>
      <c r="I969">
        <v>11</v>
      </c>
      <c r="J969" s="3">
        <v>32</v>
      </c>
      <c r="K969" s="3">
        <f>+Treinamentos[[#This Row],[Alunos]]*Treinamentos[[#This Row],[Valor]]</f>
        <v>352</v>
      </c>
    </row>
    <row r="970" spans="1:11" x14ac:dyDescent="0.25">
      <c r="A970">
        <v>5323</v>
      </c>
      <c r="B970" s="1" t="s">
        <v>41</v>
      </c>
      <c r="C970" s="1" t="s">
        <v>49</v>
      </c>
      <c r="D970" s="2">
        <v>43277.583333333336</v>
      </c>
      <c r="E970" s="2">
        <v>43290.75</v>
      </c>
      <c r="F970" s="1" t="s">
        <v>21</v>
      </c>
      <c r="G970" s="1" t="s">
        <v>32</v>
      </c>
      <c r="H970">
        <v>3</v>
      </c>
      <c r="I970">
        <v>12</v>
      </c>
      <c r="J970" s="3">
        <v>53</v>
      </c>
      <c r="K970" s="3">
        <f>+Treinamentos[[#This Row],[Alunos]]*Treinamentos[[#This Row],[Valor]]</f>
        <v>636</v>
      </c>
    </row>
    <row r="971" spans="1:11" x14ac:dyDescent="0.25">
      <c r="A971">
        <v>5324</v>
      </c>
      <c r="B971" s="1" t="s">
        <v>25</v>
      </c>
      <c r="C971" s="1" t="s">
        <v>54</v>
      </c>
      <c r="D971" s="2">
        <v>43278.375</v>
      </c>
      <c r="E971" s="2">
        <v>43284.75</v>
      </c>
      <c r="F971" s="1" t="s">
        <v>12</v>
      </c>
      <c r="G971" s="1" t="s">
        <v>19</v>
      </c>
      <c r="H971">
        <v>4</v>
      </c>
      <c r="I971">
        <v>9</v>
      </c>
      <c r="J971" s="3">
        <v>43</v>
      </c>
      <c r="K971" s="3">
        <f>+Treinamentos[[#This Row],[Alunos]]*Treinamentos[[#This Row],[Valor]]</f>
        <v>387</v>
      </c>
    </row>
    <row r="972" spans="1:11" x14ac:dyDescent="0.25">
      <c r="A972">
        <v>5325</v>
      </c>
      <c r="B972" s="1" t="s">
        <v>10</v>
      </c>
      <c r="C972" s="1" t="s">
        <v>58</v>
      </c>
      <c r="D972" s="2">
        <v>43279.333333333336</v>
      </c>
      <c r="E972" s="2">
        <v>43292.5</v>
      </c>
      <c r="F972" s="1" t="s">
        <v>21</v>
      </c>
      <c r="G972" s="1" t="s">
        <v>34</v>
      </c>
      <c r="H972">
        <v>2</v>
      </c>
      <c r="I972">
        <v>12</v>
      </c>
      <c r="J972" s="3">
        <v>48</v>
      </c>
      <c r="K972" s="3">
        <f>+Treinamentos[[#This Row],[Alunos]]*Treinamentos[[#This Row],[Valor]]</f>
        <v>576</v>
      </c>
    </row>
    <row r="973" spans="1:11" x14ac:dyDescent="0.25">
      <c r="A973">
        <v>5326</v>
      </c>
      <c r="B973" s="1" t="s">
        <v>30</v>
      </c>
      <c r="C973" s="1" t="s">
        <v>53</v>
      </c>
      <c r="D973" s="2">
        <v>43280.375</v>
      </c>
      <c r="E973" s="2">
        <v>43285.75</v>
      </c>
      <c r="F973" s="1" t="s">
        <v>21</v>
      </c>
      <c r="G973" s="1" t="s">
        <v>19</v>
      </c>
      <c r="H973">
        <v>5</v>
      </c>
      <c r="I973">
        <v>12</v>
      </c>
      <c r="J973" s="3">
        <v>32</v>
      </c>
      <c r="K973" s="3">
        <f>+Treinamentos[[#This Row],[Alunos]]*Treinamentos[[#This Row],[Valor]]</f>
        <v>384</v>
      </c>
    </row>
    <row r="974" spans="1:11" x14ac:dyDescent="0.25">
      <c r="A974">
        <v>5327</v>
      </c>
      <c r="B974" s="1" t="s">
        <v>10</v>
      </c>
      <c r="C974" s="1" t="s">
        <v>52</v>
      </c>
      <c r="D974" s="2">
        <v>43282.791666666664</v>
      </c>
      <c r="E974" s="2">
        <v>43293.958333333336</v>
      </c>
      <c r="F974" s="1" t="s">
        <v>12</v>
      </c>
      <c r="G974" s="1" t="s">
        <v>24</v>
      </c>
      <c r="H974">
        <v>5</v>
      </c>
      <c r="I974">
        <v>8</v>
      </c>
      <c r="J974" s="3">
        <v>48</v>
      </c>
      <c r="K974" s="3">
        <f>+Treinamentos[[#This Row],[Alunos]]*Treinamentos[[#This Row],[Valor]]</f>
        <v>384</v>
      </c>
    </row>
    <row r="975" spans="1:11" x14ac:dyDescent="0.25">
      <c r="A975">
        <v>5329</v>
      </c>
      <c r="B975" s="1" t="s">
        <v>17</v>
      </c>
      <c r="C975" s="1" t="s">
        <v>56</v>
      </c>
      <c r="D975" s="2">
        <v>43283.791666666664</v>
      </c>
      <c r="E975" s="2">
        <v>43296.958333333336</v>
      </c>
      <c r="F975" s="1" t="s">
        <v>21</v>
      </c>
      <c r="G975" s="1" t="s">
        <v>36</v>
      </c>
      <c r="H975">
        <v>3</v>
      </c>
      <c r="I975">
        <v>8</v>
      </c>
      <c r="J975" s="3">
        <v>63</v>
      </c>
      <c r="K975" s="3">
        <f>+Treinamentos[[#This Row],[Alunos]]*Treinamentos[[#This Row],[Valor]]</f>
        <v>504</v>
      </c>
    </row>
    <row r="976" spans="1:11" x14ac:dyDescent="0.25">
      <c r="A976">
        <v>5330</v>
      </c>
      <c r="B976" s="1" t="s">
        <v>17</v>
      </c>
      <c r="C976" s="1" t="s">
        <v>53</v>
      </c>
      <c r="D976" s="2">
        <v>43284.583333333336</v>
      </c>
      <c r="E976" s="2">
        <v>43297.75</v>
      </c>
      <c r="F976" s="1" t="s">
        <v>12</v>
      </c>
      <c r="G976" s="1" t="s">
        <v>16</v>
      </c>
      <c r="H976">
        <v>3</v>
      </c>
      <c r="I976">
        <v>10</v>
      </c>
      <c r="J976" s="3">
        <v>32</v>
      </c>
      <c r="K976" s="3">
        <f>+Treinamentos[[#This Row],[Alunos]]*Treinamentos[[#This Row],[Valor]]</f>
        <v>320</v>
      </c>
    </row>
    <row r="977" spans="1:11" x14ac:dyDescent="0.25">
      <c r="A977">
        <v>5331</v>
      </c>
      <c r="B977" s="1" t="s">
        <v>14</v>
      </c>
      <c r="C977" s="1" t="s">
        <v>54</v>
      </c>
      <c r="D977" s="2">
        <v>43285.375</v>
      </c>
      <c r="E977" s="2">
        <v>43291.75</v>
      </c>
      <c r="F977" s="1" t="s">
        <v>21</v>
      </c>
      <c r="G977" s="1" t="s">
        <v>24</v>
      </c>
      <c r="H977">
        <v>3</v>
      </c>
      <c r="I977">
        <v>10</v>
      </c>
      <c r="J977" s="3">
        <v>43</v>
      </c>
      <c r="K977" s="3">
        <f>+Treinamentos[[#This Row],[Alunos]]*Treinamentos[[#This Row],[Valor]]</f>
        <v>430</v>
      </c>
    </row>
    <row r="978" spans="1:11" x14ac:dyDescent="0.25">
      <c r="A978">
        <v>5332</v>
      </c>
      <c r="B978" s="1" t="s">
        <v>30</v>
      </c>
      <c r="C978" s="1" t="s">
        <v>53</v>
      </c>
      <c r="D978" s="2">
        <v>43286.333333333336</v>
      </c>
      <c r="E978" s="2">
        <v>43299.5</v>
      </c>
      <c r="F978" s="1" t="s">
        <v>12</v>
      </c>
      <c r="G978" s="1" t="s">
        <v>24</v>
      </c>
      <c r="H978">
        <v>5</v>
      </c>
      <c r="I978">
        <v>11</v>
      </c>
      <c r="J978" s="3">
        <v>32</v>
      </c>
      <c r="K978" s="3">
        <f>+Treinamentos[[#This Row],[Alunos]]*Treinamentos[[#This Row],[Valor]]</f>
        <v>352</v>
      </c>
    </row>
    <row r="979" spans="1:11" x14ac:dyDescent="0.25">
      <c r="A979">
        <v>5333</v>
      </c>
      <c r="B979" s="1" t="s">
        <v>17</v>
      </c>
      <c r="C979" s="1" t="s">
        <v>53</v>
      </c>
      <c r="D979" s="2">
        <v>43287.375</v>
      </c>
      <c r="E979" s="2">
        <v>43292.75</v>
      </c>
      <c r="F979" s="1" t="s">
        <v>21</v>
      </c>
      <c r="G979" s="1" t="s">
        <v>16</v>
      </c>
      <c r="H979">
        <v>3</v>
      </c>
      <c r="I979">
        <v>8</v>
      </c>
      <c r="J979" s="3">
        <v>32</v>
      </c>
      <c r="K979" s="3">
        <f>+Treinamentos[[#This Row],[Alunos]]*Treinamentos[[#This Row],[Valor]]</f>
        <v>256</v>
      </c>
    </row>
    <row r="980" spans="1:11" x14ac:dyDescent="0.25">
      <c r="A980">
        <v>5334</v>
      </c>
      <c r="B980" s="1" t="s">
        <v>25</v>
      </c>
      <c r="C980" s="1" t="s">
        <v>53</v>
      </c>
      <c r="D980" s="2">
        <v>43289.791666666664</v>
      </c>
      <c r="E980" s="2">
        <v>43300.958333333336</v>
      </c>
      <c r="F980" s="1" t="s">
        <v>12</v>
      </c>
      <c r="G980" s="1" t="s">
        <v>13</v>
      </c>
      <c r="H980">
        <v>5</v>
      </c>
      <c r="I980">
        <v>9</v>
      </c>
      <c r="J980" s="3">
        <v>32</v>
      </c>
      <c r="K980" s="3">
        <f>+Treinamentos[[#This Row],[Alunos]]*Treinamentos[[#This Row],[Valor]]</f>
        <v>288</v>
      </c>
    </row>
    <row r="981" spans="1:11" x14ac:dyDescent="0.25">
      <c r="A981">
        <v>5335</v>
      </c>
      <c r="B981" s="1" t="s">
        <v>25</v>
      </c>
      <c r="C981" s="1" t="s">
        <v>53</v>
      </c>
      <c r="D981" s="2">
        <v>43289.791666666664</v>
      </c>
      <c r="E981" s="2">
        <v>43300.958333333336</v>
      </c>
      <c r="F981" s="1" t="s">
        <v>12</v>
      </c>
      <c r="G981" s="1" t="s">
        <v>33</v>
      </c>
      <c r="H981">
        <v>5</v>
      </c>
      <c r="I981">
        <v>10</v>
      </c>
      <c r="J981" s="3">
        <v>32</v>
      </c>
      <c r="K981" s="3">
        <f>+Treinamentos[[#This Row],[Alunos]]*Treinamentos[[#This Row],[Valor]]</f>
        <v>320</v>
      </c>
    </row>
    <row r="982" spans="1:11" x14ac:dyDescent="0.25">
      <c r="A982">
        <v>5336</v>
      </c>
      <c r="B982" s="1" t="s">
        <v>17</v>
      </c>
      <c r="C982" s="1" t="s">
        <v>58</v>
      </c>
      <c r="D982" s="2">
        <v>43290.791666666664</v>
      </c>
      <c r="E982" s="2">
        <v>43303.958333333336</v>
      </c>
      <c r="F982" s="1" t="s">
        <v>12</v>
      </c>
      <c r="G982" s="1" t="s">
        <v>48</v>
      </c>
      <c r="H982">
        <v>2</v>
      </c>
      <c r="I982">
        <v>9</v>
      </c>
      <c r="J982" s="3">
        <v>48</v>
      </c>
      <c r="K982" s="3">
        <f>+Treinamentos[[#This Row],[Alunos]]*Treinamentos[[#This Row],[Valor]]</f>
        <v>432</v>
      </c>
    </row>
    <row r="983" spans="1:11" x14ac:dyDescent="0.25">
      <c r="A983">
        <v>5337</v>
      </c>
      <c r="B983" s="1" t="s">
        <v>10</v>
      </c>
      <c r="C983" s="1" t="s">
        <v>58</v>
      </c>
      <c r="D983" s="2">
        <v>43291.583333333336</v>
      </c>
      <c r="E983" s="2">
        <v>43304.75</v>
      </c>
      <c r="F983" s="1" t="s">
        <v>12</v>
      </c>
      <c r="G983" s="1" t="s">
        <v>24</v>
      </c>
      <c r="H983">
        <v>5</v>
      </c>
      <c r="I983">
        <v>12</v>
      </c>
      <c r="J983" s="3">
        <v>48</v>
      </c>
      <c r="K983" s="3">
        <f>+Treinamentos[[#This Row],[Alunos]]*Treinamentos[[#This Row],[Valor]]</f>
        <v>576</v>
      </c>
    </row>
    <row r="984" spans="1:11" x14ac:dyDescent="0.25">
      <c r="A984">
        <v>5338</v>
      </c>
      <c r="B984" s="1" t="s">
        <v>10</v>
      </c>
      <c r="C984" s="1" t="s">
        <v>58</v>
      </c>
      <c r="D984" s="2">
        <v>43292.375</v>
      </c>
      <c r="E984" s="2">
        <v>43298.75</v>
      </c>
      <c r="F984" s="1" t="s">
        <v>12</v>
      </c>
      <c r="G984" s="1" t="s">
        <v>38</v>
      </c>
      <c r="H984">
        <v>5</v>
      </c>
      <c r="I984">
        <v>10</v>
      </c>
      <c r="J984" s="3">
        <v>48</v>
      </c>
      <c r="K984" s="3">
        <f>+Treinamentos[[#This Row],[Alunos]]*Treinamentos[[#This Row],[Valor]]</f>
        <v>480</v>
      </c>
    </row>
    <row r="985" spans="1:11" x14ac:dyDescent="0.25">
      <c r="A985">
        <v>5339</v>
      </c>
      <c r="B985" s="1" t="s">
        <v>41</v>
      </c>
      <c r="C985" s="1" t="s">
        <v>50</v>
      </c>
      <c r="D985" s="2">
        <v>43293.333333333336</v>
      </c>
      <c r="E985" s="2">
        <v>43306.5</v>
      </c>
      <c r="F985" s="1" t="s">
        <v>12</v>
      </c>
      <c r="G985" s="1" t="s">
        <v>38</v>
      </c>
      <c r="H985">
        <v>5</v>
      </c>
      <c r="I985">
        <v>12</v>
      </c>
      <c r="J985" s="3">
        <v>35</v>
      </c>
      <c r="K985" s="3">
        <f>+Treinamentos[[#This Row],[Alunos]]*Treinamentos[[#This Row],[Valor]]</f>
        <v>420</v>
      </c>
    </row>
    <row r="986" spans="1:11" x14ac:dyDescent="0.25">
      <c r="A986">
        <v>5340</v>
      </c>
      <c r="B986" s="1" t="s">
        <v>10</v>
      </c>
      <c r="C986" s="1" t="s">
        <v>55</v>
      </c>
      <c r="D986" s="2">
        <v>43294.375</v>
      </c>
      <c r="E986" s="2">
        <v>43299.75</v>
      </c>
      <c r="F986" s="1" t="s">
        <v>12</v>
      </c>
      <c r="G986" s="1" t="s">
        <v>48</v>
      </c>
      <c r="H986">
        <v>2</v>
      </c>
      <c r="I986">
        <v>11</v>
      </c>
      <c r="J986" s="3">
        <v>75</v>
      </c>
      <c r="K986" s="3">
        <f>+Treinamentos[[#This Row],[Alunos]]*Treinamentos[[#This Row],[Valor]]</f>
        <v>825</v>
      </c>
    </row>
    <row r="987" spans="1:11" x14ac:dyDescent="0.25">
      <c r="A987">
        <v>5341</v>
      </c>
      <c r="B987" s="1" t="s">
        <v>10</v>
      </c>
      <c r="C987" s="1" t="s">
        <v>60</v>
      </c>
      <c r="D987" s="2">
        <v>43296.791666666664</v>
      </c>
      <c r="E987" s="2">
        <v>43307.958333333336</v>
      </c>
      <c r="F987" s="1" t="s">
        <v>21</v>
      </c>
      <c r="G987" s="1" t="s">
        <v>33</v>
      </c>
      <c r="H987">
        <v>3</v>
      </c>
      <c r="I987">
        <v>10</v>
      </c>
      <c r="J987" s="3">
        <v>42</v>
      </c>
      <c r="K987" s="3">
        <f>+Treinamentos[[#This Row],[Alunos]]*Treinamentos[[#This Row],[Valor]]</f>
        <v>420</v>
      </c>
    </row>
    <row r="988" spans="1:11" x14ac:dyDescent="0.25">
      <c r="A988">
        <v>5342</v>
      </c>
      <c r="B988" s="1" t="s">
        <v>28</v>
      </c>
      <c r="C988" s="1" t="s">
        <v>53</v>
      </c>
      <c r="D988" s="2">
        <v>43296.791666666664</v>
      </c>
      <c r="E988" s="2">
        <v>43307.958333333336</v>
      </c>
      <c r="F988" s="1" t="s">
        <v>12</v>
      </c>
      <c r="G988" s="1" t="s">
        <v>24</v>
      </c>
      <c r="H988">
        <v>3</v>
      </c>
      <c r="I988">
        <v>11</v>
      </c>
      <c r="J988" s="3">
        <v>32</v>
      </c>
      <c r="K988" s="3">
        <f>+Treinamentos[[#This Row],[Alunos]]*Treinamentos[[#This Row],[Valor]]</f>
        <v>352</v>
      </c>
    </row>
    <row r="989" spans="1:11" x14ac:dyDescent="0.25">
      <c r="A989">
        <v>5343</v>
      </c>
      <c r="B989" s="1" t="s">
        <v>30</v>
      </c>
      <c r="C989" s="1" t="s">
        <v>52</v>
      </c>
      <c r="D989" s="2">
        <v>43297.791666666664</v>
      </c>
      <c r="E989" s="2">
        <v>43310.958333333336</v>
      </c>
      <c r="F989" s="1" t="s">
        <v>12</v>
      </c>
      <c r="G989" s="1" t="s">
        <v>47</v>
      </c>
      <c r="H989">
        <v>4</v>
      </c>
      <c r="I989">
        <v>8</v>
      </c>
      <c r="J989" s="3">
        <v>48</v>
      </c>
      <c r="K989" s="3">
        <f>+Treinamentos[[#This Row],[Alunos]]*Treinamentos[[#This Row],[Valor]]</f>
        <v>384</v>
      </c>
    </row>
    <row r="990" spans="1:11" x14ac:dyDescent="0.25">
      <c r="A990">
        <v>5344</v>
      </c>
      <c r="B990" s="1" t="s">
        <v>14</v>
      </c>
      <c r="C990" s="1" t="s">
        <v>55</v>
      </c>
      <c r="D990" s="2">
        <v>43298.583333333336</v>
      </c>
      <c r="E990" s="2">
        <v>43311.75</v>
      </c>
      <c r="F990" s="1" t="s">
        <v>12</v>
      </c>
      <c r="G990" s="1" t="s">
        <v>22</v>
      </c>
      <c r="H990">
        <v>5</v>
      </c>
      <c r="I990">
        <v>10</v>
      </c>
      <c r="J990" s="3">
        <v>75</v>
      </c>
      <c r="K990" s="3">
        <f>+Treinamentos[[#This Row],[Alunos]]*Treinamentos[[#This Row],[Valor]]</f>
        <v>750</v>
      </c>
    </row>
    <row r="991" spans="1:11" x14ac:dyDescent="0.25">
      <c r="A991">
        <v>5345</v>
      </c>
      <c r="B991" s="1" t="s">
        <v>41</v>
      </c>
      <c r="C991" s="1" t="s">
        <v>61</v>
      </c>
      <c r="D991" s="2">
        <v>43299.375</v>
      </c>
      <c r="E991" s="2">
        <v>43305.75</v>
      </c>
      <c r="F991" s="1" t="s">
        <v>12</v>
      </c>
      <c r="G991" s="1" t="s">
        <v>24</v>
      </c>
      <c r="H991">
        <v>5</v>
      </c>
      <c r="I991">
        <v>11</v>
      </c>
      <c r="J991" s="3">
        <v>62</v>
      </c>
      <c r="K991" s="3">
        <f>+Treinamentos[[#This Row],[Alunos]]*Treinamentos[[#This Row],[Valor]]</f>
        <v>682</v>
      </c>
    </row>
    <row r="992" spans="1:11" x14ac:dyDescent="0.25">
      <c r="A992">
        <v>5346</v>
      </c>
      <c r="B992" s="1" t="s">
        <v>37</v>
      </c>
      <c r="C992" s="1" t="s">
        <v>50</v>
      </c>
      <c r="D992" s="2">
        <v>43300.333333333336</v>
      </c>
      <c r="E992" s="2">
        <v>43313.5</v>
      </c>
      <c r="F992" s="1" t="s">
        <v>21</v>
      </c>
      <c r="G992" s="1" t="s">
        <v>34</v>
      </c>
      <c r="H992">
        <v>4</v>
      </c>
      <c r="I992">
        <v>9</v>
      </c>
      <c r="J992" s="3">
        <v>35</v>
      </c>
      <c r="K992" s="3">
        <f>+Treinamentos[[#This Row],[Alunos]]*Treinamentos[[#This Row],[Valor]]</f>
        <v>315</v>
      </c>
    </row>
    <row r="993" spans="1:11" x14ac:dyDescent="0.25">
      <c r="A993">
        <v>5347</v>
      </c>
      <c r="B993" s="1" t="s">
        <v>30</v>
      </c>
      <c r="C993" s="1" t="s">
        <v>57</v>
      </c>
      <c r="D993" s="2">
        <v>43301.375</v>
      </c>
      <c r="E993" s="2">
        <v>43306.75</v>
      </c>
      <c r="F993" s="1" t="s">
        <v>12</v>
      </c>
      <c r="G993" s="1" t="s">
        <v>48</v>
      </c>
      <c r="H993">
        <v>5</v>
      </c>
      <c r="I993">
        <v>12</v>
      </c>
      <c r="J993" s="3">
        <v>52</v>
      </c>
      <c r="K993" s="3">
        <f>+Treinamentos[[#This Row],[Alunos]]*Treinamentos[[#This Row],[Valor]]</f>
        <v>624</v>
      </c>
    </row>
    <row r="994" spans="1:11" x14ac:dyDescent="0.25">
      <c r="A994">
        <v>5348</v>
      </c>
      <c r="B994" s="1" t="s">
        <v>14</v>
      </c>
      <c r="C994" s="1" t="s">
        <v>58</v>
      </c>
      <c r="D994" s="2">
        <v>43303.791666666664</v>
      </c>
      <c r="E994" s="2">
        <v>43314.958333333336</v>
      </c>
      <c r="F994" s="1" t="s">
        <v>21</v>
      </c>
      <c r="G994" s="1" t="s">
        <v>34</v>
      </c>
      <c r="H994">
        <v>3</v>
      </c>
      <c r="I994">
        <v>8</v>
      </c>
      <c r="J994" s="3">
        <v>48</v>
      </c>
      <c r="K994" s="3">
        <f>+Treinamentos[[#This Row],[Alunos]]*Treinamentos[[#This Row],[Valor]]</f>
        <v>384</v>
      </c>
    </row>
    <row r="995" spans="1:11" x14ac:dyDescent="0.25">
      <c r="A995">
        <v>5349</v>
      </c>
      <c r="B995" s="1" t="s">
        <v>28</v>
      </c>
      <c r="C995" s="1" t="s">
        <v>57</v>
      </c>
      <c r="D995" s="2">
        <v>43303.791666666664</v>
      </c>
      <c r="E995" s="2">
        <v>43314.958333333336</v>
      </c>
      <c r="F995" s="1" t="s">
        <v>12</v>
      </c>
      <c r="G995" s="1" t="s">
        <v>24</v>
      </c>
      <c r="H995">
        <v>5</v>
      </c>
      <c r="I995">
        <v>12</v>
      </c>
      <c r="J995" s="3">
        <v>52</v>
      </c>
      <c r="K995" s="3">
        <f>+Treinamentos[[#This Row],[Alunos]]*Treinamentos[[#This Row],[Valor]]</f>
        <v>624</v>
      </c>
    </row>
    <row r="996" spans="1:11" x14ac:dyDescent="0.25">
      <c r="A996">
        <v>5350</v>
      </c>
      <c r="B996" s="1" t="s">
        <v>14</v>
      </c>
      <c r="C996" s="1" t="s">
        <v>50</v>
      </c>
      <c r="D996" s="2">
        <v>43304.791666666664</v>
      </c>
      <c r="E996" s="2">
        <v>43317.958333333336</v>
      </c>
      <c r="F996" s="1" t="s">
        <v>21</v>
      </c>
      <c r="G996" s="1" t="s">
        <v>44</v>
      </c>
      <c r="H996">
        <v>5</v>
      </c>
      <c r="I996">
        <v>8</v>
      </c>
      <c r="J996" s="3">
        <v>35</v>
      </c>
      <c r="K996" s="3">
        <f>+Treinamentos[[#This Row],[Alunos]]*Treinamentos[[#This Row],[Valor]]</f>
        <v>280</v>
      </c>
    </row>
    <row r="997" spans="1:11" x14ac:dyDescent="0.25">
      <c r="A997">
        <v>5351</v>
      </c>
      <c r="B997" s="1" t="s">
        <v>28</v>
      </c>
      <c r="C997" s="1" t="s">
        <v>53</v>
      </c>
      <c r="D997" s="2">
        <v>43305.583333333336</v>
      </c>
      <c r="E997" s="2">
        <v>43318.75</v>
      </c>
      <c r="F997" s="1" t="s">
        <v>12</v>
      </c>
      <c r="G997" s="1" t="s">
        <v>34</v>
      </c>
      <c r="H997">
        <v>4</v>
      </c>
      <c r="I997">
        <v>10</v>
      </c>
      <c r="J997" s="3">
        <v>32</v>
      </c>
      <c r="K997" s="3">
        <f>+Treinamentos[[#This Row],[Alunos]]*Treinamentos[[#This Row],[Valor]]</f>
        <v>320</v>
      </c>
    </row>
    <row r="998" spans="1:11" x14ac:dyDescent="0.25">
      <c r="A998">
        <v>5352</v>
      </c>
      <c r="B998" s="1" t="s">
        <v>30</v>
      </c>
      <c r="C998" s="1" t="s">
        <v>59</v>
      </c>
      <c r="D998" s="2">
        <v>43306.375</v>
      </c>
      <c r="E998" s="2">
        <v>43312.75</v>
      </c>
      <c r="F998" s="1" t="s">
        <v>21</v>
      </c>
      <c r="G998" s="1" t="s">
        <v>19</v>
      </c>
      <c r="H998">
        <v>3</v>
      </c>
      <c r="I998">
        <v>12</v>
      </c>
      <c r="J998" s="3">
        <v>48</v>
      </c>
      <c r="K998" s="3">
        <f>+Treinamentos[[#This Row],[Alunos]]*Treinamentos[[#This Row],[Valor]]</f>
        <v>576</v>
      </c>
    </row>
    <row r="999" spans="1:11" x14ac:dyDescent="0.25">
      <c r="A999">
        <v>5353</v>
      </c>
      <c r="B999" s="1" t="s">
        <v>37</v>
      </c>
      <c r="C999" s="1" t="s">
        <v>58</v>
      </c>
      <c r="D999" s="2">
        <v>43307.333333333336</v>
      </c>
      <c r="E999" s="2">
        <v>43320.5</v>
      </c>
      <c r="F999" s="1" t="s">
        <v>21</v>
      </c>
      <c r="G999" s="1" t="s">
        <v>13</v>
      </c>
      <c r="H999">
        <v>3</v>
      </c>
      <c r="I999">
        <v>9</v>
      </c>
      <c r="J999" s="3">
        <v>48</v>
      </c>
      <c r="K999" s="3">
        <f>+Treinamentos[[#This Row],[Alunos]]*Treinamentos[[#This Row],[Valor]]</f>
        <v>432</v>
      </c>
    </row>
    <row r="1000" spans="1:11" x14ac:dyDescent="0.25">
      <c r="A1000">
        <v>5354</v>
      </c>
      <c r="B1000" s="1" t="s">
        <v>28</v>
      </c>
      <c r="C1000" s="1" t="s">
        <v>59</v>
      </c>
      <c r="D1000" s="2">
        <v>43308.375</v>
      </c>
      <c r="E1000" s="2">
        <v>43313.75</v>
      </c>
      <c r="F1000" s="1" t="s">
        <v>21</v>
      </c>
      <c r="G1000" s="1" t="s">
        <v>19</v>
      </c>
      <c r="H1000">
        <v>2</v>
      </c>
      <c r="I1000">
        <v>12</v>
      </c>
      <c r="J1000" s="3">
        <v>48</v>
      </c>
      <c r="K1000" s="3">
        <f>+Treinamentos[[#This Row],[Alunos]]*Treinamentos[[#This Row],[Valor]]</f>
        <v>576</v>
      </c>
    </row>
    <row r="1001" spans="1:11" x14ac:dyDescent="0.25">
      <c r="A1001">
        <v>5355</v>
      </c>
      <c r="B1001" s="1" t="s">
        <v>17</v>
      </c>
      <c r="C1001" s="1" t="s">
        <v>60</v>
      </c>
      <c r="D1001" s="2">
        <v>43310.791666666664</v>
      </c>
      <c r="E1001" s="2">
        <v>43321.958333333336</v>
      </c>
      <c r="F1001" s="1" t="s">
        <v>12</v>
      </c>
      <c r="G1001" s="1" t="s">
        <v>32</v>
      </c>
      <c r="H1001">
        <v>5</v>
      </c>
      <c r="I1001">
        <v>9</v>
      </c>
      <c r="J1001" s="3">
        <v>42</v>
      </c>
      <c r="K1001" s="3">
        <f>+Treinamentos[[#This Row],[Alunos]]*Treinamentos[[#This Row],[Valor]]</f>
        <v>378</v>
      </c>
    </row>
    <row r="1002" spans="1:11" x14ac:dyDescent="0.25">
      <c r="A1002">
        <v>5356</v>
      </c>
      <c r="B1002" s="1" t="s">
        <v>10</v>
      </c>
      <c r="C1002" s="1" t="s">
        <v>60</v>
      </c>
      <c r="D1002" s="2">
        <v>43310.791666666664</v>
      </c>
      <c r="E1002" s="2">
        <v>43321.958333333336</v>
      </c>
      <c r="F1002" s="1" t="s">
        <v>21</v>
      </c>
      <c r="G1002" s="1" t="s">
        <v>48</v>
      </c>
      <c r="H1002">
        <v>2</v>
      </c>
      <c r="I1002">
        <v>12</v>
      </c>
      <c r="J1002" s="3">
        <v>42</v>
      </c>
      <c r="K1002" s="3">
        <f>+Treinamentos[[#This Row],[Alunos]]*Treinamentos[[#This Row],[Valor]]</f>
        <v>504</v>
      </c>
    </row>
    <row r="1003" spans="1:11" x14ac:dyDescent="0.25">
      <c r="A1003">
        <v>5357</v>
      </c>
      <c r="B1003" s="1" t="s">
        <v>30</v>
      </c>
      <c r="C1003" s="1" t="s">
        <v>56</v>
      </c>
      <c r="D1003" s="2">
        <v>43311.791666666664</v>
      </c>
      <c r="E1003" s="2">
        <v>43324.958333333336</v>
      </c>
      <c r="F1003" s="1" t="s">
        <v>21</v>
      </c>
      <c r="G1003" s="1" t="s">
        <v>44</v>
      </c>
      <c r="H1003">
        <v>4</v>
      </c>
      <c r="I1003">
        <v>9</v>
      </c>
      <c r="J1003" s="3">
        <v>63</v>
      </c>
      <c r="K1003" s="3">
        <f>+Treinamentos[[#This Row],[Alunos]]*Treinamentos[[#This Row],[Valor]]</f>
        <v>567</v>
      </c>
    </row>
    <row r="1004" spans="1:11" x14ac:dyDescent="0.25">
      <c r="A1004">
        <v>5358</v>
      </c>
      <c r="B1004" s="1" t="s">
        <v>41</v>
      </c>
      <c r="C1004" s="1" t="s">
        <v>52</v>
      </c>
      <c r="D1004" s="2">
        <v>43312.583333333336</v>
      </c>
      <c r="E1004" s="2">
        <v>43325.75</v>
      </c>
      <c r="F1004" s="1" t="s">
        <v>12</v>
      </c>
      <c r="G1004" s="1" t="s">
        <v>19</v>
      </c>
      <c r="H1004">
        <v>2</v>
      </c>
      <c r="I1004">
        <v>9</v>
      </c>
      <c r="J1004" s="3">
        <v>48</v>
      </c>
      <c r="K1004" s="3">
        <f>+Treinamentos[[#This Row],[Alunos]]*Treinamentos[[#This Row],[Valor]]</f>
        <v>432</v>
      </c>
    </row>
    <row r="1005" spans="1:11" x14ac:dyDescent="0.25">
      <c r="A1005">
        <v>5359</v>
      </c>
      <c r="B1005" s="1" t="s">
        <v>16</v>
      </c>
      <c r="C1005" s="1" t="s">
        <v>54</v>
      </c>
      <c r="D1005" s="2">
        <v>43313.375</v>
      </c>
      <c r="E1005" s="2">
        <v>43319.75</v>
      </c>
      <c r="F1005" s="1" t="s">
        <v>12</v>
      </c>
      <c r="G1005" s="1" t="s">
        <v>36</v>
      </c>
      <c r="I1005">
        <v>9</v>
      </c>
      <c r="J1005" s="3">
        <v>43</v>
      </c>
      <c r="K1005" s="3">
        <f>+Treinamentos[[#This Row],[Alunos]]*Treinamentos[[#This Row],[Valor]]</f>
        <v>387</v>
      </c>
    </row>
    <row r="1006" spans="1:11" x14ac:dyDescent="0.25">
      <c r="A1006">
        <v>5360</v>
      </c>
      <c r="B1006" s="1" t="s">
        <v>28</v>
      </c>
      <c r="C1006" s="1" t="s">
        <v>53</v>
      </c>
      <c r="D1006" s="2">
        <v>43314.333333333336</v>
      </c>
      <c r="E1006" s="2">
        <v>43327.5</v>
      </c>
      <c r="F1006" s="1" t="s">
        <v>12</v>
      </c>
      <c r="G1006" s="1" t="s">
        <v>16</v>
      </c>
      <c r="H1006">
        <v>2</v>
      </c>
      <c r="I1006">
        <v>8</v>
      </c>
      <c r="J1006" s="3">
        <v>32</v>
      </c>
      <c r="K1006" s="3">
        <f>+Treinamentos[[#This Row],[Alunos]]*Treinamentos[[#This Row],[Valor]]</f>
        <v>256</v>
      </c>
    </row>
    <row r="1007" spans="1:11" x14ac:dyDescent="0.25">
      <c r="A1007">
        <v>5361</v>
      </c>
      <c r="B1007" s="1" t="s">
        <v>30</v>
      </c>
      <c r="C1007" s="1" t="s">
        <v>57</v>
      </c>
      <c r="D1007" s="2">
        <v>43315.375</v>
      </c>
      <c r="E1007" s="2">
        <v>43320.75</v>
      </c>
      <c r="F1007" s="1" t="s">
        <v>12</v>
      </c>
      <c r="G1007" s="1" t="s">
        <v>38</v>
      </c>
      <c r="H1007">
        <v>2</v>
      </c>
      <c r="I1007">
        <v>11</v>
      </c>
      <c r="J1007" s="3">
        <v>52</v>
      </c>
      <c r="K1007" s="3">
        <f>+Treinamentos[[#This Row],[Alunos]]*Treinamentos[[#This Row],[Valor]]</f>
        <v>572</v>
      </c>
    </row>
    <row r="1008" spans="1:11" x14ac:dyDescent="0.25">
      <c r="A1008">
        <v>5362</v>
      </c>
      <c r="B1008" s="1" t="s">
        <v>25</v>
      </c>
      <c r="C1008" s="1" t="s">
        <v>53</v>
      </c>
      <c r="D1008" s="2">
        <v>43317.791666666664</v>
      </c>
      <c r="E1008" s="2">
        <v>43328.958333333336</v>
      </c>
      <c r="F1008" s="1" t="s">
        <v>21</v>
      </c>
      <c r="G1008" s="1" t="s">
        <v>46</v>
      </c>
      <c r="H1008">
        <v>3</v>
      </c>
      <c r="I1008">
        <v>12</v>
      </c>
      <c r="J1008" s="3">
        <v>32</v>
      </c>
      <c r="K1008" s="3">
        <f>+Treinamentos[[#This Row],[Alunos]]*Treinamentos[[#This Row],[Valor]]</f>
        <v>384</v>
      </c>
    </row>
    <row r="1009" spans="1:11" x14ac:dyDescent="0.25">
      <c r="A1009">
        <v>5363</v>
      </c>
      <c r="B1009" s="1" t="s">
        <v>14</v>
      </c>
      <c r="C1009" s="1" t="s">
        <v>50</v>
      </c>
      <c r="D1009" s="2">
        <v>43317.791666666664</v>
      </c>
      <c r="E1009" s="2">
        <v>43328.958333333336</v>
      </c>
      <c r="F1009" s="1" t="s">
        <v>21</v>
      </c>
      <c r="G1009" s="1" t="s">
        <v>24</v>
      </c>
      <c r="H1009">
        <v>5</v>
      </c>
      <c r="I1009">
        <v>12</v>
      </c>
      <c r="J1009" s="3">
        <v>35</v>
      </c>
      <c r="K1009" s="3">
        <f>+Treinamentos[[#This Row],[Alunos]]*Treinamentos[[#This Row],[Valor]]</f>
        <v>420</v>
      </c>
    </row>
    <row r="1010" spans="1:11" x14ac:dyDescent="0.25">
      <c r="A1010">
        <v>5364</v>
      </c>
      <c r="B1010" s="1" t="s">
        <v>25</v>
      </c>
      <c r="C1010" s="1" t="s">
        <v>53</v>
      </c>
      <c r="D1010" s="2">
        <v>43318.791666666664</v>
      </c>
      <c r="E1010" s="2">
        <v>43331.958333333336</v>
      </c>
      <c r="F1010" s="1" t="s">
        <v>12</v>
      </c>
      <c r="G1010" s="1" t="s">
        <v>46</v>
      </c>
      <c r="H1010">
        <v>5</v>
      </c>
      <c r="I1010">
        <v>12</v>
      </c>
      <c r="J1010" s="3">
        <v>32</v>
      </c>
      <c r="K1010" s="3">
        <f>+Treinamentos[[#This Row],[Alunos]]*Treinamentos[[#This Row],[Valor]]</f>
        <v>384</v>
      </c>
    </row>
    <row r="1011" spans="1:11" x14ac:dyDescent="0.25">
      <c r="A1011">
        <v>5365</v>
      </c>
      <c r="B1011" s="1" t="s">
        <v>30</v>
      </c>
      <c r="C1011" s="1" t="s">
        <v>61</v>
      </c>
      <c r="D1011" s="2">
        <v>43319.583333333336</v>
      </c>
      <c r="E1011" s="2">
        <v>43332.75</v>
      </c>
      <c r="F1011" s="1" t="s">
        <v>12</v>
      </c>
      <c r="G1011" s="1" t="s">
        <v>24</v>
      </c>
      <c r="H1011">
        <v>4</v>
      </c>
      <c r="I1011">
        <v>8</v>
      </c>
      <c r="J1011" s="3">
        <v>62</v>
      </c>
      <c r="K1011" s="3">
        <f>+Treinamentos[[#This Row],[Alunos]]*Treinamentos[[#This Row],[Valor]]</f>
        <v>496</v>
      </c>
    </row>
    <row r="1012" spans="1:11" x14ac:dyDescent="0.25">
      <c r="A1012">
        <v>5366</v>
      </c>
      <c r="B1012" s="1" t="s">
        <v>37</v>
      </c>
      <c r="C1012" s="1" t="s">
        <v>54</v>
      </c>
      <c r="D1012" s="2">
        <v>43320.375</v>
      </c>
      <c r="E1012" s="2">
        <v>43326.75</v>
      </c>
      <c r="F1012" s="1" t="s">
        <v>12</v>
      </c>
      <c r="G1012" s="1" t="s">
        <v>48</v>
      </c>
      <c r="H1012">
        <v>2</v>
      </c>
      <c r="I1012">
        <v>9</v>
      </c>
      <c r="J1012" s="3">
        <v>43</v>
      </c>
      <c r="K1012" s="3">
        <f>+Treinamentos[[#This Row],[Alunos]]*Treinamentos[[#This Row],[Valor]]</f>
        <v>387</v>
      </c>
    </row>
    <row r="1013" spans="1:11" x14ac:dyDescent="0.25">
      <c r="A1013">
        <v>5367</v>
      </c>
      <c r="B1013" s="1" t="s">
        <v>16</v>
      </c>
      <c r="C1013" s="1" t="s">
        <v>60</v>
      </c>
      <c r="D1013" s="2">
        <v>43321.333333333336</v>
      </c>
      <c r="E1013" s="2">
        <v>43334.5</v>
      </c>
      <c r="F1013" s="1" t="s">
        <v>21</v>
      </c>
      <c r="G1013" s="1" t="s">
        <v>19</v>
      </c>
      <c r="H1013">
        <v>5</v>
      </c>
      <c r="I1013">
        <v>8</v>
      </c>
      <c r="J1013" s="3">
        <v>42</v>
      </c>
      <c r="K1013" s="3">
        <f>+Treinamentos[[#This Row],[Alunos]]*Treinamentos[[#This Row],[Valor]]</f>
        <v>336</v>
      </c>
    </row>
    <row r="1014" spans="1:11" x14ac:dyDescent="0.25">
      <c r="A1014">
        <v>5368</v>
      </c>
      <c r="B1014" s="1" t="s">
        <v>28</v>
      </c>
      <c r="C1014" s="1" t="s">
        <v>58</v>
      </c>
      <c r="D1014" s="2">
        <v>43322.375</v>
      </c>
      <c r="E1014" s="2">
        <v>43327.75</v>
      </c>
      <c r="F1014" s="1" t="s">
        <v>21</v>
      </c>
      <c r="G1014" s="1" t="s">
        <v>48</v>
      </c>
      <c r="H1014">
        <v>3</v>
      </c>
      <c r="I1014">
        <v>9</v>
      </c>
      <c r="J1014" s="3">
        <v>48</v>
      </c>
      <c r="K1014" s="3">
        <f>+Treinamentos[[#This Row],[Alunos]]*Treinamentos[[#This Row],[Valor]]</f>
        <v>432</v>
      </c>
    </row>
    <row r="1015" spans="1:11" x14ac:dyDescent="0.25">
      <c r="A1015">
        <v>5369</v>
      </c>
      <c r="B1015" s="1" t="s">
        <v>17</v>
      </c>
      <c r="C1015" s="1" t="s">
        <v>60</v>
      </c>
      <c r="D1015" s="2">
        <v>43324.791666666664</v>
      </c>
      <c r="E1015" s="2">
        <v>43335.958333333336</v>
      </c>
      <c r="F1015" s="1" t="s">
        <v>21</v>
      </c>
      <c r="G1015" s="1" t="s">
        <v>24</v>
      </c>
      <c r="H1015">
        <v>2</v>
      </c>
      <c r="I1015">
        <v>11</v>
      </c>
      <c r="J1015" s="3">
        <v>42</v>
      </c>
      <c r="K1015" s="3">
        <f>+Treinamentos[[#This Row],[Alunos]]*Treinamentos[[#This Row],[Valor]]</f>
        <v>462</v>
      </c>
    </row>
    <row r="1016" spans="1:11" x14ac:dyDescent="0.25">
      <c r="A1016">
        <v>5370</v>
      </c>
      <c r="B1016" s="1" t="s">
        <v>28</v>
      </c>
      <c r="C1016" s="1" t="s">
        <v>50</v>
      </c>
      <c r="D1016" s="2">
        <v>43324.791666666664</v>
      </c>
      <c r="E1016" s="2">
        <v>43335.958333333336</v>
      </c>
      <c r="F1016" s="1" t="s">
        <v>21</v>
      </c>
      <c r="G1016" s="1" t="s">
        <v>32</v>
      </c>
      <c r="H1016">
        <v>2</v>
      </c>
      <c r="I1016">
        <v>11</v>
      </c>
      <c r="J1016" s="3">
        <v>35</v>
      </c>
      <c r="K1016" s="3">
        <f>+Treinamentos[[#This Row],[Alunos]]*Treinamentos[[#This Row],[Valor]]</f>
        <v>385</v>
      </c>
    </row>
    <row r="1017" spans="1:11" x14ac:dyDescent="0.25">
      <c r="A1017">
        <v>5371</v>
      </c>
      <c r="B1017" s="1" t="s">
        <v>41</v>
      </c>
      <c r="C1017" s="1" t="s">
        <v>49</v>
      </c>
      <c r="D1017" s="2">
        <v>43325.791666666664</v>
      </c>
      <c r="E1017" s="2">
        <v>43338.958333333336</v>
      </c>
      <c r="F1017" s="1" t="s">
        <v>21</v>
      </c>
      <c r="G1017" s="1" t="s">
        <v>44</v>
      </c>
      <c r="H1017">
        <v>3</v>
      </c>
      <c r="I1017">
        <v>8</v>
      </c>
      <c r="J1017" s="3">
        <v>53</v>
      </c>
      <c r="K1017" s="3">
        <f>+Treinamentos[[#This Row],[Alunos]]*Treinamentos[[#This Row],[Valor]]</f>
        <v>424</v>
      </c>
    </row>
    <row r="1018" spans="1:11" x14ac:dyDescent="0.25">
      <c r="A1018">
        <v>5372</v>
      </c>
      <c r="B1018" s="1" t="s">
        <v>37</v>
      </c>
      <c r="C1018" s="1" t="s">
        <v>52</v>
      </c>
      <c r="D1018" s="2">
        <v>43326.583333333336</v>
      </c>
      <c r="E1018" s="2">
        <v>43339.75</v>
      </c>
      <c r="F1018" s="1" t="s">
        <v>12</v>
      </c>
      <c r="G1018" s="1" t="s">
        <v>47</v>
      </c>
      <c r="H1018">
        <v>3</v>
      </c>
      <c r="I1018">
        <v>9</v>
      </c>
      <c r="J1018" s="3">
        <v>48</v>
      </c>
      <c r="K1018" s="3">
        <f>+Treinamentos[[#This Row],[Alunos]]*Treinamentos[[#This Row],[Valor]]</f>
        <v>432</v>
      </c>
    </row>
    <row r="1019" spans="1:11" x14ac:dyDescent="0.25">
      <c r="A1019">
        <v>5373</v>
      </c>
      <c r="B1019" s="1" t="s">
        <v>37</v>
      </c>
      <c r="C1019" s="1" t="s">
        <v>51</v>
      </c>
      <c r="D1019" s="2">
        <v>43327.375</v>
      </c>
      <c r="E1019" s="2">
        <v>43333.75</v>
      </c>
      <c r="F1019" s="1" t="s">
        <v>21</v>
      </c>
      <c r="G1019" s="1" t="s">
        <v>42</v>
      </c>
      <c r="H1019">
        <v>2</v>
      </c>
      <c r="I1019">
        <v>10</v>
      </c>
      <c r="J1019" s="3">
        <v>62</v>
      </c>
      <c r="K1019" s="3">
        <f>+Treinamentos[[#This Row],[Alunos]]*Treinamentos[[#This Row],[Valor]]</f>
        <v>620</v>
      </c>
    </row>
    <row r="1020" spans="1:11" x14ac:dyDescent="0.25">
      <c r="A1020">
        <v>5374</v>
      </c>
      <c r="B1020" s="1" t="s">
        <v>10</v>
      </c>
      <c r="C1020" s="1" t="s">
        <v>53</v>
      </c>
      <c r="D1020" s="2">
        <v>43328.333333333336</v>
      </c>
      <c r="E1020" s="2">
        <v>43341.5</v>
      </c>
      <c r="F1020" s="1" t="s">
        <v>12</v>
      </c>
      <c r="G1020" s="1" t="s">
        <v>42</v>
      </c>
      <c r="H1020">
        <v>5</v>
      </c>
      <c r="I1020">
        <v>10</v>
      </c>
      <c r="J1020" s="3">
        <v>32</v>
      </c>
      <c r="K1020" s="3">
        <f>+Treinamentos[[#This Row],[Alunos]]*Treinamentos[[#This Row],[Valor]]</f>
        <v>320</v>
      </c>
    </row>
    <row r="1021" spans="1:11" x14ac:dyDescent="0.25">
      <c r="A1021">
        <v>5375</v>
      </c>
      <c r="B1021" s="1" t="s">
        <v>25</v>
      </c>
      <c r="C1021" s="1" t="s">
        <v>56</v>
      </c>
      <c r="D1021" s="2">
        <v>43329.375</v>
      </c>
      <c r="E1021" s="2">
        <v>43334.75</v>
      </c>
      <c r="F1021" s="1" t="s">
        <v>21</v>
      </c>
      <c r="G1021" s="1" t="s">
        <v>34</v>
      </c>
      <c r="H1021">
        <v>3</v>
      </c>
      <c r="I1021">
        <v>8</v>
      </c>
      <c r="J1021" s="3">
        <v>63</v>
      </c>
      <c r="K1021" s="3">
        <f>+Treinamentos[[#This Row],[Alunos]]*Treinamentos[[#This Row],[Valor]]</f>
        <v>504</v>
      </c>
    </row>
    <row r="1022" spans="1:11" x14ac:dyDescent="0.25">
      <c r="A1022">
        <v>5376</v>
      </c>
      <c r="B1022" s="1" t="s">
        <v>10</v>
      </c>
      <c r="C1022" s="1" t="s">
        <v>54</v>
      </c>
      <c r="D1022" s="2">
        <v>43331.791666666664</v>
      </c>
      <c r="E1022" s="2">
        <v>43342.958333333336</v>
      </c>
      <c r="F1022" s="1" t="s">
        <v>12</v>
      </c>
      <c r="G1022" s="1" t="s">
        <v>19</v>
      </c>
      <c r="H1022">
        <v>2</v>
      </c>
      <c r="I1022">
        <v>8</v>
      </c>
      <c r="J1022" s="3">
        <v>43</v>
      </c>
      <c r="K1022" s="3">
        <f>+Treinamentos[[#This Row],[Alunos]]*Treinamentos[[#This Row],[Valor]]</f>
        <v>344</v>
      </c>
    </row>
    <row r="1023" spans="1:11" x14ac:dyDescent="0.25">
      <c r="A1023">
        <v>5377</v>
      </c>
      <c r="B1023" s="1" t="s">
        <v>25</v>
      </c>
      <c r="C1023" s="1" t="s">
        <v>52</v>
      </c>
      <c r="D1023" s="2">
        <v>43331.791666666664</v>
      </c>
      <c r="E1023" s="2">
        <v>43342.958333333336</v>
      </c>
      <c r="F1023" s="1" t="s">
        <v>12</v>
      </c>
      <c r="G1023" s="1" t="s">
        <v>16</v>
      </c>
      <c r="H1023">
        <v>3</v>
      </c>
      <c r="I1023">
        <v>10</v>
      </c>
      <c r="J1023" s="3">
        <v>48</v>
      </c>
      <c r="K1023" s="3">
        <f>+Treinamentos[[#This Row],[Alunos]]*Treinamentos[[#This Row],[Valor]]</f>
        <v>480</v>
      </c>
    </row>
    <row r="1024" spans="1:11" x14ac:dyDescent="0.25">
      <c r="A1024">
        <v>5378</v>
      </c>
      <c r="B1024" s="1" t="s">
        <v>28</v>
      </c>
      <c r="C1024" s="1" t="s">
        <v>61</v>
      </c>
      <c r="D1024" s="2">
        <v>43332.791666666664</v>
      </c>
      <c r="E1024" s="2">
        <v>43345.958333333336</v>
      </c>
      <c r="F1024" s="1" t="s">
        <v>12</v>
      </c>
      <c r="G1024" s="1" t="s">
        <v>33</v>
      </c>
      <c r="H1024">
        <v>4</v>
      </c>
      <c r="I1024">
        <v>9</v>
      </c>
      <c r="J1024" s="3">
        <v>62</v>
      </c>
      <c r="K1024" s="3">
        <f>+Treinamentos[[#This Row],[Alunos]]*Treinamentos[[#This Row],[Valor]]</f>
        <v>558</v>
      </c>
    </row>
    <row r="1025" spans="1:11" x14ac:dyDescent="0.25">
      <c r="A1025">
        <v>5379</v>
      </c>
      <c r="B1025" s="1" t="s">
        <v>16</v>
      </c>
      <c r="C1025" s="1" t="s">
        <v>57</v>
      </c>
      <c r="D1025" s="2">
        <v>43333.583333333336</v>
      </c>
      <c r="E1025" s="2">
        <v>43346.75</v>
      </c>
      <c r="F1025" s="1" t="s">
        <v>12</v>
      </c>
      <c r="G1025" s="1" t="s">
        <v>22</v>
      </c>
      <c r="H1025">
        <v>5</v>
      </c>
      <c r="I1025">
        <v>11</v>
      </c>
      <c r="J1025" s="3">
        <v>52</v>
      </c>
      <c r="K1025" s="3">
        <f>+Treinamentos[[#This Row],[Alunos]]*Treinamentos[[#This Row],[Valor]]</f>
        <v>572</v>
      </c>
    </row>
    <row r="1026" spans="1:11" x14ac:dyDescent="0.25">
      <c r="A1026">
        <v>5380</v>
      </c>
      <c r="B1026" s="1" t="s">
        <v>10</v>
      </c>
      <c r="C1026" s="1" t="s">
        <v>52</v>
      </c>
      <c r="D1026" s="2">
        <v>43334.375</v>
      </c>
      <c r="E1026" s="2">
        <v>43340.75</v>
      </c>
      <c r="F1026" s="1" t="s">
        <v>12</v>
      </c>
      <c r="G1026" s="1" t="s">
        <v>36</v>
      </c>
      <c r="H1026">
        <v>2</v>
      </c>
      <c r="I1026">
        <v>8</v>
      </c>
      <c r="J1026" s="3">
        <v>48</v>
      </c>
      <c r="K1026" s="3">
        <f>+Treinamentos[[#This Row],[Alunos]]*Treinamentos[[#This Row],[Valor]]</f>
        <v>384</v>
      </c>
    </row>
    <row r="1027" spans="1:11" x14ac:dyDescent="0.25">
      <c r="A1027">
        <v>5381</v>
      </c>
      <c r="B1027" s="1" t="s">
        <v>10</v>
      </c>
      <c r="C1027" s="1" t="s">
        <v>53</v>
      </c>
      <c r="D1027" s="2">
        <v>43335.333333333336</v>
      </c>
      <c r="E1027" s="2">
        <v>43348.5</v>
      </c>
      <c r="F1027" s="1" t="s">
        <v>21</v>
      </c>
      <c r="G1027" s="1" t="s">
        <v>33</v>
      </c>
      <c r="H1027">
        <v>5</v>
      </c>
      <c r="I1027">
        <v>9</v>
      </c>
      <c r="J1027" s="3">
        <v>32</v>
      </c>
      <c r="K1027" s="3">
        <f>+Treinamentos[[#This Row],[Alunos]]*Treinamentos[[#This Row],[Valor]]</f>
        <v>288</v>
      </c>
    </row>
    <row r="1028" spans="1:11" x14ac:dyDescent="0.25">
      <c r="A1028">
        <v>5382</v>
      </c>
      <c r="B1028" s="1" t="s">
        <v>10</v>
      </c>
      <c r="C1028" s="1" t="s">
        <v>58</v>
      </c>
      <c r="D1028" s="2">
        <v>43336.375</v>
      </c>
      <c r="E1028" s="2">
        <v>43341.75</v>
      </c>
      <c r="F1028" s="1" t="s">
        <v>12</v>
      </c>
      <c r="G1028" s="1" t="s">
        <v>34</v>
      </c>
      <c r="H1028">
        <v>5</v>
      </c>
      <c r="I1028">
        <v>9</v>
      </c>
      <c r="J1028" s="3">
        <v>48</v>
      </c>
      <c r="K1028" s="3">
        <f>+Treinamentos[[#This Row],[Alunos]]*Treinamentos[[#This Row],[Valor]]</f>
        <v>432</v>
      </c>
    </row>
    <row r="1029" spans="1:11" x14ac:dyDescent="0.25">
      <c r="A1029">
        <v>5383</v>
      </c>
      <c r="B1029" s="1" t="s">
        <v>37</v>
      </c>
      <c r="C1029" s="1" t="s">
        <v>57</v>
      </c>
      <c r="D1029" s="2">
        <v>43338.791666666664</v>
      </c>
      <c r="E1029" s="2">
        <v>43349.958333333336</v>
      </c>
      <c r="F1029" s="1" t="s">
        <v>12</v>
      </c>
      <c r="G1029" s="1" t="s">
        <v>33</v>
      </c>
      <c r="H1029">
        <v>5</v>
      </c>
      <c r="I1029">
        <v>11</v>
      </c>
      <c r="J1029" s="3">
        <v>52</v>
      </c>
      <c r="K1029" s="3">
        <f>+Treinamentos[[#This Row],[Alunos]]*Treinamentos[[#This Row],[Valor]]</f>
        <v>572</v>
      </c>
    </row>
    <row r="1030" spans="1:11" x14ac:dyDescent="0.25">
      <c r="A1030">
        <v>5384</v>
      </c>
      <c r="B1030" s="1" t="s">
        <v>37</v>
      </c>
      <c r="C1030" s="1" t="s">
        <v>60</v>
      </c>
      <c r="D1030" s="2">
        <v>43338.791666666664</v>
      </c>
      <c r="E1030" s="2">
        <v>43349.958333333336</v>
      </c>
      <c r="F1030" s="1" t="s">
        <v>12</v>
      </c>
      <c r="G1030" s="1" t="s">
        <v>19</v>
      </c>
      <c r="H1030">
        <v>4</v>
      </c>
      <c r="I1030">
        <v>12</v>
      </c>
      <c r="J1030" s="3">
        <v>42</v>
      </c>
      <c r="K1030" s="3">
        <f>+Treinamentos[[#This Row],[Alunos]]*Treinamentos[[#This Row],[Valor]]</f>
        <v>504</v>
      </c>
    </row>
    <row r="1031" spans="1:11" x14ac:dyDescent="0.25">
      <c r="A1031">
        <v>5385</v>
      </c>
      <c r="B1031" s="1" t="s">
        <v>10</v>
      </c>
      <c r="C1031" s="1" t="s">
        <v>51</v>
      </c>
      <c r="D1031" s="2">
        <v>43339.791666666664</v>
      </c>
      <c r="E1031" s="2">
        <v>43352.958333333336</v>
      </c>
      <c r="F1031" s="1" t="s">
        <v>21</v>
      </c>
      <c r="G1031" s="1" t="s">
        <v>24</v>
      </c>
      <c r="H1031">
        <v>4</v>
      </c>
      <c r="I1031">
        <v>10</v>
      </c>
      <c r="J1031" s="3">
        <v>62</v>
      </c>
      <c r="K1031" s="3">
        <f>+Treinamentos[[#This Row],[Alunos]]*Treinamentos[[#This Row],[Valor]]</f>
        <v>620</v>
      </c>
    </row>
    <row r="1032" spans="1:11" x14ac:dyDescent="0.25">
      <c r="A1032">
        <v>5386</v>
      </c>
      <c r="B1032" s="1" t="s">
        <v>16</v>
      </c>
      <c r="C1032" s="1" t="s">
        <v>54</v>
      </c>
      <c r="D1032" s="2">
        <v>43340.583333333336</v>
      </c>
      <c r="E1032" s="2">
        <v>43353.75</v>
      </c>
      <c r="F1032" s="1" t="s">
        <v>21</v>
      </c>
      <c r="G1032" s="1" t="s">
        <v>24</v>
      </c>
      <c r="H1032">
        <v>5</v>
      </c>
      <c r="I1032">
        <v>10</v>
      </c>
      <c r="J1032" s="3">
        <v>43</v>
      </c>
      <c r="K1032" s="3">
        <f>+Treinamentos[[#This Row],[Alunos]]*Treinamentos[[#This Row],[Valor]]</f>
        <v>430</v>
      </c>
    </row>
    <row r="1033" spans="1:11" x14ac:dyDescent="0.25">
      <c r="A1033">
        <v>5387</v>
      </c>
      <c r="B1033" s="1" t="s">
        <v>25</v>
      </c>
      <c r="C1033" s="1" t="s">
        <v>52</v>
      </c>
      <c r="D1033" s="2">
        <v>43341.375</v>
      </c>
      <c r="E1033" s="2">
        <v>43347.75</v>
      </c>
      <c r="F1033" s="1" t="s">
        <v>21</v>
      </c>
      <c r="G1033" s="1" t="s">
        <v>34</v>
      </c>
      <c r="H1033">
        <v>4</v>
      </c>
      <c r="I1033">
        <v>12</v>
      </c>
      <c r="J1033" s="3">
        <v>48</v>
      </c>
      <c r="K1033" s="3">
        <f>+Treinamentos[[#This Row],[Alunos]]*Treinamentos[[#This Row],[Valor]]</f>
        <v>576</v>
      </c>
    </row>
    <row r="1034" spans="1:11" x14ac:dyDescent="0.25">
      <c r="A1034">
        <v>5388</v>
      </c>
      <c r="B1034" s="1" t="s">
        <v>16</v>
      </c>
      <c r="C1034" s="1" t="s">
        <v>53</v>
      </c>
      <c r="D1034" s="2">
        <v>43342.333333333336</v>
      </c>
      <c r="E1034" s="2">
        <v>43355.5</v>
      </c>
      <c r="F1034" s="1" t="s">
        <v>12</v>
      </c>
      <c r="G1034" s="1" t="s">
        <v>44</v>
      </c>
      <c r="H1034">
        <v>4</v>
      </c>
      <c r="I1034">
        <v>10</v>
      </c>
      <c r="J1034" s="3">
        <v>32</v>
      </c>
      <c r="K1034" s="3">
        <f>+Treinamentos[[#This Row],[Alunos]]*Treinamentos[[#This Row],[Valor]]</f>
        <v>320</v>
      </c>
    </row>
    <row r="1035" spans="1:11" x14ac:dyDescent="0.25">
      <c r="A1035">
        <v>5389</v>
      </c>
      <c r="B1035" s="1" t="s">
        <v>41</v>
      </c>
      <c r="C1035" s="1" t="s">
        <v>50</v>
      </c>
      <c r="D1035" s="2">
        <v>43343.375</v>
      </c>
      <c r="E1035" s="2">
        <v>43348.75</v>
      </c>
      <c r="F1035" s="1" t="s">
        <v>21</v>
      </c>
      <c r="G1035" s="1" t="s">
        <v>34</v>
      </c>
      <c r="H1035">
        <v>2</v>
      </c>
      <c r="I1035">
        <v>11</v>
      </c>
      <c r="J1035" s="3">
        <v>35</v>
      </c>
      <c r="K1035" s="3">
        <f>+Treinamentos[[#This Row],[Alunos]]*Treinamentos[[#This Row],[Valor]]</f>
        <v>385</v>
      </c>
    </row>
    <row r="1036" spans="1:11" x14ac:dyDescent="0.25">
      <c r="A1036">
        <v>5390</v>
      </c>
      <c r="B1036" s="1" t="s">
        <v>30</v>
      </c>
      <c r="C1036" s="1" t="s">
        <v>51</v>
      </c>
      <c r="D1036" s="2">
        <v>43345.791666666664</v>
      </c>
      <c r="E1036" s="2">
        <v>43356.958333333336</v>
      </c>
      <c r="F1036" s="1" t="s">
        <v>21</v>
      </c>
      <c r="G1036" s="1" t="s">
        <v>24</v>
      </c>
      <c r="H1036">
        <v>5</v>
      </c>
      <c r="I1036">
        <v>9</v>
      </c>
      <c r="J1036" s="3">
        <v>62</v>
      </c>
      <c r="K1036" s="3">
        <f>+Treinamentos[[#This Row],[Alunos]]*Treinamentos[[#This Row],[Valor]]</f>
        <v>558</v>
      </c>
    </row>
    <row r="1037" spans="1:11" x14ac:dyDescent="0.25">
      <c r="A1037">
        <v>5391</v>
      </c>
      <c r="B1037" s="1" t="s">
        <v>14</v>
      </c>
      <c r="C1037" s="1" t="s">
        <v>49</v>
      </c>
      <c r="D1037" s="2">
        <v>43345.791666666664</v>
      </c>
      <c r="E1037" s="2">
        <v>43356.958333333336</v>
      </c>
      <c r="F1037" s="1" t="s">
        <v>12</v>
      </c>
      <c r="G1037" s="1" t="s">
        <v>19</v>
      </c>
      <c r="H1037">
        <v>4</v>
      </c>
      <c r="I1037">
        <v>10</v>
      </c>
      <c r="J1037" s="3">
        <v>53</v>
      </c>
      <c r="K1037" s="3">
        <f>+Treinamentos[[#This Row],[Alunos]]*Treinamentos[[#This Row],[Valor]]</f>
        <v>530</v>
      </c>
    </row>
    <row r="1038" spans="1:11" x14ac:dyDescent="0.25">
      <c r="A1038">
        <v>5392</v>
      </c>
      <c r="B1038" s="1" t="s">
        <v>17</v>
      </c>
      <c r="C1038" s="1" t="s">
        <v>52</v>
      </c>
      <c r="D1038" s="2">
        <v>43346.791666666664</v>
      </c>
      <c r="E1038" s="2">
        <v>43359.958333333336</v>
      </c>
      <c r="F1038" s="1" t="s">
        <v>12</v>
      </c>
      <c r="G1038" s="1" t="s">
        <v>19</v>
      </c>
      <c r="H1038">
        <v>5</v>
      </c>
      <c r="I1038">
        <v>10</v>
      </c>
      <c r="J1038" s="3">
        <v>48</v>
      </c>
      <c r="K1038" s="3">
        <f>+Treinamentos[[#This Row],[Alunos]]*Treinamentos[[#This Row],[Valor]]</f>
        <v>480</v>
      </c>
    </row>
    <row r="1039" spans="1:11" x14ac:dyDescent="0.25">
      <c r="A1039">
        <v>5393</v>
      </c>
      <c r="B1039" s="1" t="s">
        <v>14</v>
      </c>
      <c r="C1039" s="1" t="s">
        <v>58</v>
      </c>
      <c r="D1039" s="2">
        <v>43347.583333333336</v>
      </c>
      <c r="E1039" s="2">
        <v>43360.75</v>
      </c>
      <c r="F1039" s="1" t="s">
        <v>21</v>
      </c>
      <c r="G1039" s="1" t="s">
        <v>27</v>
      </c>
      <c r="H1039">
        <v>2</v>
      </c>
      <c r="I1039">
        <v>9</v>
      </c>
      <c r="J1039" s="3">
        <v>48</v>
      </c>
      <c r="K1039" s="3">
        <f>+Treinamentos[[#This Row],[Alunos]]*Treinamentos[[#This Row],[Valor]]</f>
        <v>432</v>
      </c>
    </row>
    <row r="1040" spans="1:11" x14ac:dyDescent="0.25">
      <c r="A1040">
        <v>5394</v>
      </c>
      <c r="B1040" s="1" t="s">
        <v>16</v>
      </c>
      <c r="C1040" s="1" t="s">
        <v>58</v>
      </c>
      <c r="D1040" s="2">
        <v>43348.375</v>
      </c>
      <c r="E1040" s="2">
        <v>43354.75</v>
      </c>
      <c r="F1040" s="1" t="s">
        <v>21</v>
      </c>
      <c r="G1040" s="1" t="s">
        <v>33</v>
      </c>
      <c r="H1040">
        <v>2</v>
      </c>
      <c r="I1040">
        <v>11</v>
      </c>
      <c r="J1040" s="3">
        <v>48</v>
      </c>
      <c r="K1040" s="3">
        <f>+Treinamentos[[#This Row],[Alunos]]*Treinamentos[[#This Row],[Valor]]</f>
        <v>528</v>
      </c>
    </row>
    <row r="1041" spans="1:11" x14ac:dyDescent="0.25">
      <c r="A1041">
        <v>5395</v>
      </c>
      <c r="B1041" s="1" t="s">
        <v>14</v>
      </c>
      <c r="C1041" s="1" t="s">
        <v>53</v>
      </c>
      <c r="D1041" s="2">
        <v>43349.333333333336</v>
      </c>
      <c r="E1041" s="2">
        <v>43362.5</v>
      </c>
      <c r="F1041" s="1" t="s">
        <v>12</v>
      </c>
      <c r="G1041" s="1" t="s">
        <v>33</v>
      </c>
      <c r="H1041">
        <v>2</v>
      </c>
      <c r="I1041">
        <v>8</v>
      </c>
      <c r="J1041" s="3">
        <v>32</v>
      </c>
      <c r="K1041" s="3">
        <f>+Treinamentos[[#This Row],[Alunos]]*Treinamentos[[#This Row],[Valor]]</f>
        <v>256</v>
      </c>
    </row>
    <row r="1042" spans="1:11" x14ac:dyDescent="0.25">
      <c r="A1042">
        <v>5396</v>
      </c>
      <c r="B1042" s="1" t="s">
        <v>17</v>
      </c>
      <c r="C1042" s="1" t="s">
        <v>59</v>
      </c>
      <c r="D1042" s="2">
        <v>43350.375</v>
      </c>
      <c r="E1042" s="2">
        <v>43355.75</v>
      </c>
      <c r="F1042" s="1" t="s">
        <v>12</v>
      </c>
      <c r="G1042" s="1" t="s">
        <v>47</v>
      </c>
      <c r="H1042">
        <v>4</v>
      </c>
      <c r="I1042">
        <v>9</v>
      </c>
      <c r="J1042" s="3">
        <v>48</v>
      </c>
      <c r="K1042" s="3">
        <f>+Treinamentos[[#This Row],[Alunos]]*Treinamentos[[#This Row],[Valor]]</f>
        <v>432</v>
      </c>
    </row>
    <row r="1043" spans="1:11" x14ac:dyDescent="0.25">
      <c r="A1043">
        <v>5397</v>
      </c>
      <c r="B1043" s="1" t="s">
        <v>37</v>
      </c>
      <c r="C1043" s="1" t="s">
        <v>54</v>
      </c>
      <c r="D1043" s="2">
        <v>43352.791666666664</v>
      </c>
      <c r="E1043" s="2">
        <v>43363.958333333336</v>
      </c>
      <c r="F1043" s="1" t="s">
        <v>21</v>
      </c>
      <c r="G1043" s="1" t="s">
        <v>16</v>
      </c>
      <c r="H1043">
        <v>4</v>
      </c>
      <c r="I1043">
        <v>11</v>
      </c>
      <c r="J1043" s="3">
        <v>43</v>
      </c>
      <c r="K1043" s="3">
        <f>+Treinamentos[[#This Row],[Alunos]]*Treinamentos[[#This Row],[Valor]]</f>
        <v>473</v>
      </c>
    </row>
    <row r="1044" spans="1:11" x14ac:dyDescent="0.25">
      <c r="A1044">
        <v>5398</v>
      </c>
      <c r="B1044" s="1" t="s">
        <v>37</v>
      </c>
      <c r="C1044" s="1" t="s">
        <v>55</v>
      </c>
      <c r="D1044" s="2">
        <v>43352.791666666664</v>
      </c>
      <c r="E1044" s="2">
        <v>43363.958333333336</v>
      </c>
      <c r="F1044" s="1" t="s">
        <v>12</v>
      </c>
      <c r="G1044" s="1" t="s">
        <v>16</v>
      </c>
      <c r="H1044">
        <v>2</v>
      </c>
      <c r="I1044">
        <v>9</v>
      </c>
      <c r="J1044" s="3">
        <v>75</v>
      </c>
      <c r="K1044" s="3">
        <f>+Treinamentos[[#This Row],[Alunos]]*Treinamentos[[#This Row],[Valor]]</f>
        <v>675</v>
      </c>
    </row>
    <row r="1045" spans="1:11" x14ac:dyDescent="0.25">
      <c r="A1045">
        <v>5399</v>
      </c>
      <c r="B1045" s="1" t="s">
        <v>25</v>
      </c>
      <c r="C1045" s="1" t="s">
        <v>58</v>
      </c>
      <c r="D1045" s="2">
        <v>43353.791666666664</v>
      </c>
      <c r="E1045" s="2">
        <v>43366.958333333336</v>
      </c>
      <c r="F1045" s="1" t="s">
        <v>12</v>
      </c>
      <c r="G1045" s="1" t="s">
        <v>24</v>
      </c>
      <c r="H1045">
        <v>5</v>
      </c>
      <c r="I1045">
        <v>10</v>
      </c>
      <c r="J1045" s="3">
        <v>48</v>
      </c>
      <c r="K1045" s="3">
        <f>+Treinamentos[[#This Row],[Alunos]]*Treinamentos[[#This Row],[Valor]]</f>
        <v>480</v>
      </c>
    </row>
    <row r="1046" spans="1:11" x14ac:dyDescent="0.25">
      <c r="A1046">
        <v>5400</v>
      </c>
      <c r="B1046" s="1" t="s">
        <v>10</v>
      </c>
      <c r="C1046" s="1" t="s">
        <v>51</v>
      </c>
      <c r="D1046" s="2">
        <v>43354.583333333336</v>
      </c>
      <c r="E1046" s="2">
        <v>43367.75</v>
      </c>
      <c r="F1046" s="1" t="s">
        <v>21</v>
      </c>
      <c r="G1046" s="1" t="s">
        <v>24</v>
      </c>
      <c r="H1046">
        <v>2</v>
      </c>
      <c r="I1046">
        <v>9</v>
      </c>
      <c r="J1046" s="3">
        <v>62</v>
      </c>
      <c r="K1046" s="3">
        <f>+Treinamentos[[#This Row],[Alunos]]*Treinamentos[[#This Row],[Valor]]</f>
        <v>558</v>
      </c>
    </row>
    <row r="1047" spans="1:11" x14ac:dyDescent="0.25">
      <c r="A1047">
        <v>5401</v>
      </c>
      <c r="B1047" s="1" t="s">
        <v>14</v>
      </c>
      <c r="C1047" s="1" t="s">
        <v>58</v>
      </c>
      <c r="D1047" s="2">
        <v>43355.375</v>
      </c>
      <c r="E1047" s="2">
        <v>43361.75</v>
      </c>
      <c r="F1047" s="1" t="s">
        <v>12</v>
      </c>
      <c r="G1047" s="1" t="s">
        <v>33</v>
      </c>
      <c r="H1047">
        <v>2</v>
      </c>
      <c r="I1047">
        <v>10</v>
      </c>
      <c r="J1047" s="3">
        <v>48</v>
      </c>
      <c r="K1047" s="3">
        <f>+Treinamentos[[#This Row],[Alunos]]*Treinamentos[[#This Row],[Valor]]</f>
        <v>480</v>
      </c>
    </row>
    <row r="1048" spans="1:11" x14ac:dyDescent="0.25">
      <c r="A1048">
        <v>5402</v>
      </c>
      <c r="B1048" s="1" t="s">
        <v>17</v>
      </c>
      <c r="C1048" s="1" t="s">
        <v>50</v>
      </c>
      <c r="D1048" s="2">
        <v>43356.333333333336</v>
      </c>
      <c r="E1048" s="2">
        <v>43369.5</v>
      </c>
      <c r="F1048" s="1" t="s">
        <v>21</v>
      </c>
      <c r="G1048" s="1" t="s">
        <v>34</v>
      </c>
      <c r="H1048">
        <v>4</v>
      </c>
      <c r="I1048">
        <v>12</v>
      </c>
      <c r="J1048" s="3">
        <v>35</v>
      </c>
      <c r="K1048" s="3">
        <f>+Treinamentos[[#This Row],[Alunos]]*Treinamentos[[#This Row],[Valor]]</f>
        <v>420</v>
      </c>
    </row>
    <row r="1049" spans="1:11" x14ac:dyDescent="0.25">
      <c r="A1049">
        <v>5403</v>
      </c>
      <c r="B1049" s="1" t="s">
        <v>14</v>
      </c>
      <c r="C1049" s="1" t="s">
        <v>59</v>
      </c>
      <c r="D1049" s="2">
        <v>43357.375</v>
      </c>
      <c r="E1049" s="2">
        <v>43362.75</v>
      </c>
      <c r="F1049" s="1" t="s">
        <v>12</v>
      </c>
      <c r="G1049" s="1" t="s">
        <v>24</v>
      </c>
      <c r="H1049">
        <v>5</v>
      </c>
      <c r="I1049">
        <v>11</v>
      </c>
      <c r="J1049" s="3">
        <v>48</v>
      </c>
      <c r="K1049" s="3">
        <f>+Treinamentos[[#This Row],[Alunos]]*Treinamentos[[#This Row],[Valor]]</f>
        <v>528</v>
      </c>
    </row>
    <row r="1050" spans="1:11" x14ac:dyDescent="0.25">
      <c r="A1050">
        <v>5404</v>
      </c>
      <c r="B1050" s="1" t="s">
        <v>14</v>
      </c>
      <c r="C1050" s="1" t="s">
        <v>50</v>
      </c>
      <c r="D1050" s="2">
        <v>43359.791666666664</v>
      </c>
      <c r="E1050" s="2">
        <v>43370.958333333336</v>
      </c>
      <c r="F1050" s="1" t="s">
        <v>21</v>
      </c>
      <c r="G1050" s="1" t="s">
        <v>33</v>
      </c>
      <c r="H1050">
        <v>5</v>
      </c>
      <c r="I1050">
        <v>9</v>
      </c>
      <c r="J1050" s="3">
        <v>35</v>
      </c>
      <c r="K1050" s="3">
        <f>+Treinamentos[[#This Row],[Alunos]]*Treinamentos[[#This Row],[Valor]]</f>
        <v>315</v>
      </c>
    </row>
    <row r="1051" spans="1:11" x14ac:dyDescent="0.25">
      <c r="A1051">
        <v>5405</v>
      </c>
      <c r="B1051" s="1" t="s">
        <v>37</v>
      </c>
      <c r="C1051" s="1" t="s">
        <v>52</v>
      </c>
      <c r="D1051" s="2">
        <v>43359.791666666664</v>
      </c>
      <c r="E1051" s="2">
        <v>43370.958333333336</v>
      </c>
      <c r="F1051" s="1" t="s">
        <v>12</v>
      </c>
      <c r="G1051" s="1" t="s">
        <v>24</v>
      </c>
      <c r="H1051">
        <v>4</v>
      </c>
      <c r="I1051">
        <v>9</v>
      </c>
      <c r="J1051" s="3">
        <v>48</v>
      </c>
      <c r="K1051" s="3">
        <f>+Treinamentos[[#This Row],[Alunos]]*Treinamentos[[#This Row],[Valor]]</f>
        <v>432</v>
      </c>
    </row>
    <row r="1052" spans="1:11" x14ac:dyDescent="0.25">
      <c r="A1052">
        <v>5406</v>
      </c>
      <c r="B1052" s="1" t="s">
        <v>41</v>
      </c>
      <c r="C1052" s="1" t="s">
        <v>55</v>
      </c>
      <c r="D1052" s="2">
        <v>43360.791666666664</v>
      </c>
      <c r="E1052" s="2">
        <v>43373.958333333336</v>
      </c>
      <c r="F1052" s="1" t="s">
        <v>21</v>
      </c>
      <c r="G1052" s="1" t="s">
        <v>19</v>
      </c>
      <c r="H1052">
        <v>3</v>
      </c>
      <c r="I1052">
        <v>8</v>
      </c>
      <c r="J1052" s="3">
        <v>75</v>
      </c>
      <c r="K1052" s="3">
        <f>+Treinamentos[[#This Row],[Alunos]]*Treinamentos[[#This Row],[Valor]]</f>
        <v>600</v>
      </c>
    </row>
    <row r="1053" spans="1:11" x14ac:dyDescent="0.25">
      <c r="A1053">
        <v>5407</v>
      </c>
      <c r="B1053" s="1" t="s">
        <v>16</v>
      </c>
      <c r="C1053" s="1" t="s">
        <v>55</v>
      </c>
      <c r="D1053" s="2">
        <v>43361.583333333336</v>
      </c>
      <c r="E1053" s="2">
        <v>43374.75</v>
      </c>
      <c r="F1053" s="1" t="s">
        <v>12</v>
      </c>
      <c r="G1053" s="1" t="s">
        <v>24</v>
      </c>
      <c r="H1053">
        <v>2</v>
      </c>
      <c r="I1053">
        <v>8</v>
      </c>
      <c r="J1053" s="3">
        <v>75</v>
      </c>
      <c r="K1053" s="3">
        <f>+Treinamentos[[#This Row],[Alunos]]*Treinamentos[[#This Row],[Valor]]</f>
        <v>600</v>
      </c>
    </row>
    <row r="1054" spans="1:11" x14ac:dyDescent="0.25">
      <c r="A1054">
        <v>5408</v>
      </c>
      <c r="B1054" s="1" t="s">
        <v>14</v>
      </c>
      <c r="C1054" s="1" t="s">
        <v>53</v>
      </c>
      <c r="D1054" s="2">
        <v>43362.375</v>
      </c>
      <c r="E1054" s="2">
        <v>43368.75</v>
      </c>
      <c r="F1054" s="1" t="s">
        <v>21</v>
      </c>
      <c r="G1054" s="1" t="s">
        <v>24</v>
      </c>
      <c r="H1054">
        <v>2</v>
      </c>
      <c r="I1054">
        <v>8</v>
      </c>
      <c r="J1054" s="3">
        <v>32</v>
      </c>
      <c r="K1054" s="3">
        <f>+Treinamentos[[#This Row],[Alunos]]*Treinamentos[[#This Row],[Valor]]</f>
        <v>256</v>
      </c>
    </row>
    <row r="1055" spans="1:11" x14ac:dyDescent="0.25">
      <c r="A1055">
        <v>5409</v>
      </c>
      <c r="B1055" s="1" t="s">
        <v>17</v>
      </c>
      <c r="C1055" s="1" t="s">
        <v>58</v>
      </c>
      <c r="D1055" s="2">
        <v>43363.333333333336</v>
      </c>
      <c r="E1055" s="2">
        <v>43376.5</v>
      </c>
      <c r="F1055" s="1" t="s">
        <v>12</v>
      </c>
      <c r="G1055" s="1" t="s">
        <v>22</v>
      </c>
      <c r="H1055">
        <v>4</v>
      </c>
      <c r="I1055">
        <v>12</v>
      </c>
      <c r="J1055" s="3">
        <v>48</v>
      </c>
      <c r="K1055" s="3">
        <f>+Treinamentos[[#This Row],[Alunos]]*Treinamentos[[#This Row],[Valor]]</f>
        <v>576</v>
      </c>
    </row>
    <row r="1056" spans="1:11" x14ac:dyDescent="0.25">
      <c r="A1056">
        <v>5410</v>
      </c>
      <c r="B1056" s="1" t="s">
        <v>28</v>
      </c>
      <c r="C1056" s="1" t="s">
        <v>51</v>
      </c>
      <c r="D1056" s="2">
        <v>43364.375</v>
      </c>
      <c r="E1056" s="2">
        <v>43369.75</v>
      </c>
      <c r="F1056" s="1" t="s">
        <v>21</v>
      </c>
      <c r="G1056" s="1" t="s">
        <v>13</v>
      </c>
      <c r="H1056">
        <v>5</v>
      </c>
      <c r="I1056">
        <v>11</v>
      </c>
      <c r="J1056" s="3">
        <v>62</v>
      </c>
      <c r="K1056" s="3">
        <f>+Treinamentos[[#This Row],[Alunos]]*Treinamentos[[#This Row],[Valor]]</f>
        <v>682</v>
      </c>
    </row>
    <row r="1057" spans="1:11" x14ac:dyDescent="0.25">
      <c r="A1057">
        <v>5411</v>
      </c>
      <c r="B1057" s="1" t="s">
        <v>16</v>
      </c>
      <c r="C1057" s="1" t="s">
        <v>61</v>
      </c>
      <c r="D1057" s="2">
        <v>43366.791666666664</v>
      </c>
      <c r="E1057" s="2">
        <v>43377.958333333336</v>
      </c>
      <c r="F1057" s="1" t="s">
        <v>12</v>
      </c>
      <c r="G1057" s="1" t="s">
        <v>19</v>
      </c>
      <c r="H1057">
        <v>2</v>
      </c>
      <c r="I1057">
        <v>10</v>
      </c>
      <c r="J1057" s="3">
        <v>62</v>
      </c>
      <c r="K1057" s="3">
        <f>+Treinamentos[[#This Row],[Alunos]]*Treinamentos[[#This Row],[Valor]]</f>
        <v>620</v>
      </c>
    </row>
    <row r="1058" spans="1:11" x14ac:dyDescent="0.25">
      <c r="A1058">
        <v>5412</v>
      </c>
      <c r="B1058" s="1" t="s">
        <v>17</v>
      </c>
      <c r="C1058" s="1" t="s">
        <v>52</v>
      </c>
      <c r="D1058" s="2">
        <v>43366.791666666664</v>
      </c>
      <c r="E1058" s="2">
        <v>43377.958333333336</v>
      </c>
      <c r="F1058" s="1" t="s">
        <v>12</v>
      </c>
      <c r="G1058" s="1" t="s">
        <v>32</v>
      </c>
      <c r="H1058">
        <v>5</v>
      </c>
      <c r="I1058">
        <v>8</v>
      </c>
      <c r="J1058" s="3">
        <v>48</v>
      </c>
      <c r="K1058" s="3">
        <f>+Treinamentos[[#This Row],[Alunos]]*Treinamentos[[#This Row],[Valor]]</f>
        <v>384</v>
      </c>
    </row>
    <row r="1059" spans="1:11" x14ac:dyDescent="0.25">
      <c r="A1059">
        <v>5413</v>
      </c>
      <c r="B1059" s="1" t="s">
        <v>41</v>
      </c>
      <c r="C1059" s="1" t="s">
        <v>61</v>
      </c>
      <c r="D1059" s="2">
        <v>43367.791666666664</v>
      </c>
      <c r="E1059" s="2">
        <v>43380.958333333336</v>
      </c>
      <c r="F1059" s="1" t="s">
        <v>12</v>
      </c>
      <c r="G1059" s="1" t="s">
        <v>33</v>
      </c>
      <c r="H1059">
        <v>5</v>
      </c>
      <c r="I1059">
        <v>10</v>
      </c>
      <c r="J1059" s="3">
        <v>62</v>
      </c>
      <c r="K1059" s="3">
        <f>+Treinamentos[[#This Row],[Alunos]]*Treinamentos[[#This Row],[Valor]]</f>
        <v>620</v>
      </c>
    </row>
    <row r="1060" spans="1:11" x14ac:dyDescent="0.25">
      <c r="A1060">
        <v>5414</v>
      </c>
      <c r="B1060" s="1" t="s">
        <v>41</v>
      </c>
      <c r="C1060" s="1" t="s">
        <v>56</v>
      </c>
      <c r="D1060" s="2">
        <v>43368.583333333336</v>
      </c>
      <c r="E1060" s="2">
        <v>43381.75</v>
      </c>
      <c r="F1060" s="1" t="s">
        <v>21</v>
      </c>
      <c r="G1060" s="1" t="s">
        <v>19</v>
      </c>
      <c r="H1060">
        <v>5</v>
      </c>
      <c r="I1060">
        <v>8</v>
      </c>
      <c r="J1060" s="3">
        <v>63</v>
      </c>
      <c r="K1060" s="3">
        <f>+Treinamentos[[#This Row],[Alunos]]*Treinamentos[[#This Row],[Valor]]</f>
        <v>504</v>
      </c>
    </row>
    <row r="1061" spans="1:11" x14ac:dyDescent="0.25">
      <c r="A1061">
        <v>5415</v>
      </c>
      <c r="B1061" s="1" t="s">
        <v>25</v>
      </c>
      <c r="C1061" s="1" t="s">
        <v>51</v>
      </c>
      <c r="D1061" s="2">
        <v>43369.375</v>
      </c>
      <c r="E1061" s="2">
        <v>43375.75</v>
      </c>
      <c r="F1061" s="1" t="s">
        <v>21</v>
      </c>
      <c r="G1061" s="1" t="s">
        <v>38</v>
      </c>
      <c r="H1061">
        <v>3</v>
      </c>
      <c r="I1061">
        <v>12</v>
      </c>
      <c r="J1061" s="3">
        <v>62</v>
      </c>
      <c r="K1061" s="3">
        <f>+Treinamentos[[#This Row],[Alunos]]*Treinamentos[[#This Row],[Valor]]</f>
        <v>744</v>
      </c>
    </row>
    <row r="1062" spans="1:11" x14ac:dyDescent="0.25">
      <c r="A1062">
        <v>5416</v>
      </c>
      <c r="B1062" s="1" t="s">
        <v>17</v>
      </c>
      <c r="C1062" s="1" t="s">
        <v>52</v>
      </c>
      <c r="D1062" s="2">
        <v>43370.333333333336</v>
      </c>
      <c r="E1062" s="2">
        <v>43383.5</v>
      </c>
      <c r="F1062" s="1" t="s">
        <v>21</v>
      </c>
      <c r="G1062" s="1" t="s">
        <v>46</v>
      </c>
      <c r="H1062">
        <v>5</v>
      </c>
      <c r="I1062">
        <v>10</v>
      </c>
      <c r="J1062" s="3">
        <v>48</v>
      </c>
      <c r="K1062" s="3">
        <f>+Treinamentos[[#This Row],[Alunos]]*Treinamentos[[#This Row],[Valor]]</f>
        <v>480</v>
      </c>
    </row>
    <row r="1063" spans="1:11" x14ac:dyDescent="0.25">
      <c r="A1063">
        <v>5417</v>
      </c>
      <c r="B1063" s="1" t="s">
        <v>25</v>
      </c>
      <c r="C1063" s="1" t="s">
        <v>49</v>
      </c>
      <c r="D1063" s="2">
        <v>43371.375</v>
      </c>
      <c r="E1063" s="2">
        <v>43376.75</v>
      </c>
      <c r="F1063" s="1" t="s">
        <v>21</v>
      </c>
      <c r="G1063" s="1" t="s">
        <v>48</v>
      </c>
      <c r="H1063">
        <v>4</v>
      </c>
      <c r="I1063">
        <v>11</v>
      </c>
      <c r="J1063" s="3">
        <v>53</v>
      </c>
      <c r="K1063" s="3">
        <f>+Treinamentos[[#This Row],[Alunos]]*Treinamentos[[#This Row],[Valor]]</f>
        <v>583</v>
      </c>
    </row>
    <row r="1064" spans="1:11" x14ac:dyDescent="0.25">
      <c r="A1064">
        <v>5418</v>
      </c>
      <c r="B1064" s="1" t="s">
        <v>17</v>
      </c>
      <c r="C1064" s="1" t="s">
        <v>49</v>
      </c>
      <c r="D1064" s="2">
        <v>43373.791666666664</v>
      </c>
      <c r="E1064" s="2">
        <v>43384.958333333336</v>
      </c>
      <c r="F1064" s="1" t="s">
        <v>21</v>
      </c>
      <c r="G1064" s="1" t="s">
        <v>48</v>
      </c>
      <c r="H1064">
        <v>5</v>
      </c>
      <c r="I1064">
        <v>8</v>
      </c>
      <c r="J1064" s="3">
        <v>53</v>
      </c>
      <c r="K1064" s="3">
        <f>+Treinamentos[[#This Row],[Alunos]]*Treinamentos[[#This Row],[Valor]]</f>
        <v>424</v>
      </c>
    </row>
    <row r="1065" spans="1:11" x14ac:dyDescent="0.25">
      <c r="A1065">
        <v>5419</v>
      </c>
      <c r="B1065" s="1" t="s">
        <v>41</v>
      </c>
      <c r="C1065" s="1" t="s">
        <v>52</v>
      </c>
      <c r="D1065" s="2">
        <v>43373.791666666664</v>
      </c>
      <c r="E1065" s="2">
        <v>43384.958333333336</v>
      </c>
      <c r="F1065" s="1" t="s">
        <v>21</v>
      </c>
      <c r="G1065" s="1" t="s">
        <v>47</v>
      </c>
      <c r="H1065">
        <v>3</v>
      </c>
      <c r="I1065">
        <v>8</v>
      </c>
      <c r="J1065" s="3">
        <v>48</v>
      </c>
      <c r="K1065" s="3">
        <f>+Treinamentos[[#This Row],[Alunos]]*Treinamentos[[#This Row],[Valor]]</f>
        <v>384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selection activeCell="I5" sqref="I5"/>
    </sheetView>
  </sheetViews>
  <sheetFormatPr defaultRowHeight="84" customHeight="1" x14ac:dyDescent="0.25"/>
  <cols>
    <col min="5" max="5" width="10.85546875" bestFit="1" customWidth="1"/>
    <col min="6" max="6" width="13.140625" customWidth="1"/>
  </cols>
  <sheetData>
    <row r="1" spans="1:5" ht="15" x14ac:dyDescent="0.25">
      <c r="A1" t="s">
        <v>87</v>
      </c>
      <c r="C1" t="s">
        <v>78</v>
      </c>
      <c r="E1" t="s">
        <v>83</v>
      </c>
    </row>
    <row r="2" spans="1:5" ht="67.5" customHeight="1" x14ac:dyDescent="0.25">
      <c r="A2" s="25" t="s">
        <v>95</v>
      </c>
      <c r="B2" s="25"/>
      <c r="C2" s="25">
        <v>2016</v>
      </c>
      <c r="D2" s="25"/>
      <c r="E2" s="25" t="s">
        <v>80</v>
      </c>
    </row>
    <row r="3" spans="1:5" ht="63.75" customHeight="1" x14ac:dyDescent="0.25">
      <c r="A3" s="25" t="s">
        <v>96</v>
      </c>
      <c r="B3" s="25"/>
      <c r="C3" s="25">
        <v>2017</v>
      </c>
      <c r="D3" s="25"/>
      <c r="E3" s="25" t="s">
        <v>81</v>
      </c>
    </row>
    <row r="4" spans="1:5" ht="67.5" customHeight="1" x14ac:dyDescent="0.25">
      <c r="A4" s="25" t="s">
        <v>97</v>
      </c>
      <c r="B4" s="25"/>
      <c r="C4" s="25">
        <v>2018</v>
      </c>
      <c r="D4" s="25"/>
      <c r="E4" s="25" t="s">
        <v>82</v>
      </c>
    </row>
    <row r="5" spans="1:5" ht="84" customHeight="1" x14ac:dyDescent="0.25">
      <c r="A5" s="25" t="s">
        <v>98</v>
      </c>
      <c r="B5" s="25"/>
      <c r="C5" s="25">
        <v>2019</v>
      </c>
      <c r="D5" s="25"/>
      <c r="E5" s="25"/>
    </row>
    <row r="6" spans="1:5" ht="84" customHeight="1" x14ac:dyDescent="0.25">
      <c r="A6" s="25" t="s">
        <v>99</v>
      </c>
      <c r="B6" s="25"/>
      <c r="C6" s="25"/>
      <c r="D6" s="25"/>
      <c r="E6" s="25"/>
    </row>
    <row r="7" spans="1:5" ht="84" customHeight="1" x14ac:dyDescent="0.25">
      <c r="A7" s="25" t="s">
        <v>100</v>
      </c>
      <c r="B7" s="25"/>
      <c r="C7" s="25"/>
      <c r="D7" s="25"/>
      <c r="E7" s="25"/>
    </row>
    <row r="8" spans="1:5" ht="84" customHeight="1" x14ac:dyDescent="0.25">
      <c r="A8" s="25" t="s">
        <v>101</v>
      </c>
      <c r="B8" s="25"/>
      <c r="C8" s="25"/>
      <c r="D8" s="25"/>
      <c r="E8" s="25"/>
    </row>
    <row r="9" spans="1:5" ht="84" customHeight="1" x14ac:dyDescent="0.25">
      <c r="A9" s="25" t="s">
        <v>102</v>
      </c>
      <c r="B9" s="25"/>
      <c r="C9" s="25"/>
      <c r="D9" s="25"/>
      <c r="E9" s="25"/>
    </row>
    <row r="10" spans="1:5" ht="84" customHeight="1" x14ac:dyDescent="0.25">
      <c r="A10" s="25" t="s">
        <v>103</v>
      </c>
      <c r="B10" s="25"/>
      <c r="C10" s="25"/>
      <c r="D10" s="25"/>
      <c r="E10" s="25"/>
    </row>
    <row r="11" spans="1:5" ht="84" customHeight="1" x14ac:dyDescent="0.25">
      <c r="A11" s="25" t="s">
        <v>104</v>
      </c>
      <c r="B11" s="25"/>
      <c r="C11" s="25"/>
      <c r="D11" s="25"/>
      <c r="E11" s="25"/>
    </row>
    <row r="12" spans="1:5" ht="84" customHeight="1" x14ac:dyDescent="0.25">
      <c r="A12" s="25" t="s">
        <v>105</v>
      </c>
      <c r="B12" s="25"/>
      <c r="C12" s="25"/>
      <c r="D12" s="25"/>
      <c r="E12" s="25"/>
    </row>
    <row r="13" spans="1:5" ht="84" customHeight="1" x14ac:dyDescent="0.25">
      <c r="A13" s="25" t="s">
        <v>106</v>
      </c>
      <c r="B13" s="25"/>
      <c r="C13" s="25"/>
      <c r="D13" s="25"/>
      <c r="E13" s="25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"/>
  <sheetViews>
    <sheetView showGridLines="0" tabSelected="1" zoomScale="150" zoomScaleNormal="150" workbookViewId="0">
      <selection activeCell="B34" sqref="B34"/>
    </sheetView>
  </sheetViews>
  <sheetFormatPr defaultRowHeight="15" x14ac:dyDescent="0.25"/>
  <cols>
    <col min="1" max="1" width="9.140625" style="11"/>
    <col min="2" max="2" width="8.7109375" style="11" customWidth="1"/>
    <col min="3" max="3" width="2.7109375" style="11" customWidth="1"/>
    <col min="4" max="4" width="20.7109375" style="11" customWidth="1"/>
    <col min="5" max="5" width="2.7109375" style="11" customWidth="1"/>
    <col min="6" max="6" width="20.7109375" style="11" customWidth="1"/>
    <col min="7" max="7" width="2.7109375" style="11" customWidth="1"/>
    <col min="8" max="8" width="20.7109375" style="11" customWidth="1"/>
    <col min="9" max="9" width="2.7109375" style="11" customWidth="1"/>
    <col min="10" max="10" width="20.7109375" style="11" customWidth="1"/>
    <col min="11" max="16384" width="9.140625" style="11"/>
  </cols>
  <sheetData>
    <row r="1" spans="1:19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25">
      <c r="A3" s="10"/>
      <c r="B3" s="10"/>
      <c r="C3" s="10"/>
      <c r="D3" s="15" t="s">
        <v>109</v>
      </c>
      <c r="E3" s="12"/>
      <c r="F3" s="19" t="s">
        <v>110</v>
      </c>
      <c r="G3" s="16"/>
      <c r="H3" s="18" t="s">
        <v>107</v>
      </c>
      <c r="I3" s="16"/>
      <c r="J3" s="21" t="s">
        <v>108</v>
      </c>
      <c r="K3" s="10"/>
      <c r="L3" s="10"/>
      <c r="M3" s="10"/>
      <c r="N3" s="10"/>
      <c r="O3" s="10"/>
      <c r="P3" s="10"/>
      <c r="Q3" s="10"/>
      <c r="R3" s="10"/>
      <c r="S3" s="10"/>
    </row>
    <row r="4" spans="1:19" ht="30" customHeight="1" x14ac:dyDescent="0.5">
      <c r="A4" s="10"/>
      <c r="B4" s="10"/>
      <c r="C4" s="10"/>
      <c r="D4" s="14">
        <f>GETPIVOTDATA("Total",'Tab Dinamicas'!$A$6)</f>
        <v>3853</v>
      </c>
      <c r="E4" s="10"/>
      <c r="F4" s="20">
        <f>GETPIVOTDATA("Total",'Tab Dinamicas'!$D$6)</f>
        <v>9</v>
      </c>
      <c r="G4" s="17"/>
      <c r="H4" s="23">
        <f>IFERROR('Tab Dinamicas'!N7,"")</f>
        <v>-0.35643895106063139</v>
      </c>
      <c r="I4" s="17"/>
      <c r="J4" s="22">
        <f>IFERROR('Tab Dinamicas'!O7,"")</f>
        <v>3853</v>
      </c>
      <c r="K4" s="13"/>
      <c r="L4" s="10"/>
      <c r="M4" s="10"/>
      <c r="N4" s="10"/>
      <c r="O4" s="10"/>
      <c r="P4" s="10"/>
      <c r="Q4" s="10"/>
      <c r="R4" s="10"/>
      <c r="S4" s="10"/>
    </row>
    <row r="5" spans="1:19" x14ac:dyDescent="0.25">
      <c r="A5" s="10"/>
      <c r="B5" s="10"/>
      <c r="C5" s="10"/>
      <c r="D5" s="10"/>
      <c r="E5" s="10"/>
      <c r="F5" s="13"/>
      <c r="G5" s="13"/>
      <c r="H5" s="13"/>
      <c r="I5" s="13"/>
      <c r="J5" s="13"/>
      <c r="K5" s="13"/>
      <c r="L5" s="10"/>
      <c r="M5" s="10"/>
      <c r="N5" s="10"/>
      <c r="O5" s="10"/>
      <c r="P5" s="10"/>
      <c r="Q5" s="10"/>
      <c r="R5" s="10"/>
      <c r="S5" s="10"/>
    </row>
    <row r="6" spans="1:19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</sheetData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73576E-F894-4520-95AA-E4BC6E21B0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7</vt:i4>
      </vt:variant>
    </vt:vector>
  </HeadingPairs>
  <TitlesOfParts>
    <vt:vector size="11" baseType="lpstr">
      <vt:lpstr>Tab Dinamicas</vt:lpstr>
      <vt:lpstr>Base</vt:lpstr>
      <vt:lpstr>Listas</vt:lpstr>
      <vt:lpstr>Dashboard</vt:lpstr>
      <vt:lpstr>Ano_Anterior</vt:lpstr>
      <vt:lpstr>Anos</vt:lpstr>
      <vt:lpstr>Fotos</vt:lpstr>
      <vt:lpstr>Gerentes</vt:lpstr>
      <vt:lpstr>Mês_Anterior</vt:lpstr>
      <vt:lpstr>Meses</vt:lpstr>
      <vt:lpstr>'Tab Dinamicas'!Titulos_de_impressao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Divisão de Controle de Licenças</dc:creator>
  <cp:lastModifiedBy>VENDAS04</cp:lastModifiedBy>
  <dcterms:created xsi:type="dcterms:W3CDTF">2019-05-11T12:21:35Z</dcterms:created>
  <dcterms:modified xsi:type="dcterms:W3CDTF">2021-05-24T14:12:29Z</dcterms:modified>
</cp:coreProperties>
</file>