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glb" ContentType="model/gltf.binary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1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Silvane Mota\"/>
    </mc:Choice>
  </mc:AlternateContent>
  <xr:revisionPtr revIDLastSave="0" documentId="13_ncr:1_{023EE42D-C2D3-4061-AB1D-D288C5ABEFFE}" xr6:coauthVersionLast="46" xr6:coauthVersionMax="46" xr10:uidLastSave="{00000000-0000-0000-0000-000000000000}"/>
  <bookViews>
    <workbookView xWindow="-120" yWindow="-120" windowWidth="20730" windowHeight="11160" tabRatio="856" activeTab="4" xr2:uid="{00000000-000D-0000-FFFF-FFFF00000000}"/>
  </bookViews>
  <sheets>
    <sheet name="Treinamentos" sheetId="2" r:id="rId1"/>
    <sheet name="Painel" sheetId="16" r:id="rId2"/>
    <sheet name="Estatísticas" sheetId="18" r:id="rId3"/>
    <sheet name="Painel Consulta" sheetId="26" r:id="rId4"/>
    <sheet name="Variações" sheetId="21" r:id="rId5"/>
    <sheet name="Gestores" sheetId="19" r:id="rId6"/>
    <sheet name="Porcentagem" sheetId="22" r:id="rId7"/>
    <sheet name="Passo a Passo - Macro" sheetId="17" r:id="rId8"/>
    <sheet name="Historico" sheetId="15" r:id="rId9"/>
    <sheet name="Vendas" sheetId="25" r:id="rId10"/>
    <sheet name="Vendedores" sheetId="3" r:id="rId11"/>
    <sheet name="Instrutores" sheetId="9" r:id="rId12"/>
    <sheet name="Cursos" sheetId="7" r:id="rId13"/>
    <sheet name="Consulta" sheetId="13" r:id="rId14"/>
    <sheet name="Calendário" sheetId="14" r:id="rId15"/>
    <sheet name="Listas" sheetId="24" r:id="rId16"/>
  </sheets>
  <externalReferences>
    <externalReference r:id="rId17"/>
  </externalReferences>
  <definedNames>
    <definedName name="_2015" localSheetId="0" hidden="1">Treinamentos!$A$1:$U$93</definedName>
    <definedName name="_xlnm._FilterDatabase" localSheetId="12" hidden="1">Cursos!$A$1:$E$57</definedName>
    <definedName name="_xlnm._FilterDatabase" localSheetId="0" hidden="1">Treinamentos!$B$1:$Q$93</definedName>
    <definedName name="_xlnm._FilterDatabase" localSheetId="9" hidden="1">Vendas!$A$1:$V$1065</definedName>
    <definedName name="_xlchart.v1.1" hidden="1">Gestores!$B$6:$B$8</definedName>
    <definedName name="Ano" localSheetId="14">Calendário!$C$4</definedName>
    <definedName name="Ano_Dinâmico">OFFSET(Estatísticas!$B$5,'Painel Consulta'!$G$4,1,1,12)</definedName>
    <definedName name="Ano_Dinamico_Reais">OFFSET(Estatísticas!$B$11,'Painel Consulta'!$G$4,1,1,12)</definedName>
    <definedName name="Anos" localSheetId="9">Tabela8[Anos]</definedName>
    <definedName name="Anos">Tabela8[Anos]</definedName>
    <definedName name="anscount" hidden="1">5</definedName>
    <definedName name="_xlnm.Extract" localSheetId="13">Consulta!$A$19:$V$19</definedName>
    <definedName name="b" hidden="1">{"azul",#N/A,FALSE,"geral";"verde",#N/A,FALSE,"geral";"vermelho",#N/A,FALSE,"geral"}</definedName>
    <definedName name="ba" hidden="1">{"azul",#N/A,FALSE,"geral";"verde",#N/A,FALSE,"geral";"vermelho",#N/A,FALSE,"geral"}</definedName>
    <definedName name="conf" hidden="1">{"azul",#N/A,FALSE,"geral";"verde",#N/A,FALSE,"geral";"vermelho",#N/A,FALSE,"geral"}</definedName>
    <definedName name="conf1" hidden="1">{"azul",#N/A,FALSE,"geral";"verde",#N/A,FALSE,"geral";"vermelho",#N/A,FALSE,"geral"}</definedName>
    <definedName name="_xlnm.Criteria" localSheetId="13">Consulta!$A$16:$E$17</definedName>
    <definedName name="d" hidden="1">{"azul",#N/A,FALSE,"geral";"verde",#N/A,FALSE,"geral";"vermelho",#N/A,FALSE,"geral"}</definedName>
    <definedName name="da" hidden="1">{"azul",#N/A,FALSE,"geral";"verde",#N/A,FALSE,"geral";"vermelho",#N/A,FALSE,"geral"}</definedName>
    <definedName name="Dados">Vendas!$A$1:$V$1065</definedName>
    <definedName name="DFDFD" hidden="1">{#N/A,"Médio",TRUE,"Plan30";"3º Trimestre Geral",#N/A,TRUE,"1º Trimestre"}</definedName>
    <definedName name="DiasdeAtribuições">[1]Janeiro!$L$4:$L$33</definedName>
    <definedName name="e" hidden="1">{"azul",#N/A,FALSE,"geral";"verde",#N/A,FALSE,"geral";"vermelho",#N/A,FALSE,"geral"}</definedName>
    <definedName name="ea" hidden="1">{"azul",#N/A,FALSE,"geral";"verde",#N/A,FALSE,"geral";"vermelho",#N/A,FALSE,"geral"}</definedName>
    <definedName name="EXER" hidden="1">{"azul",#N/A,FALSE,"geral";"verde",#N/A,FALSE,"geral";"vermelho",#N/A,FALSE,"geral"}</definedName>
    <definedName name="exercicio2" hidden="1">{"azul",#N/A,FALSE,"geral";"verde",#N/A,FALSE,"geral";"vermelho",#N/A,FALSE,"geral"}</definedName>
    <definedName name="g" hidden="1">{"normal","argentina",FALSE,"cenários e solver";#N/A,#N/A,FALSE,"banco de dados"}</definedName>
    <definedName name="Gestores">Tabela11[Gestores]</definedName>
    <definedName name="JanSun1" localSheetId="14">DATE(AnoCalendário,1,1)-WEEKDAY(DATE(AnoCalendário,1,1))+1</definedName>
    <definedName name="JanSun1" localSheetId="5">DATE(AnoCalendário,1,1)-WEEKDAY(DATE(AnoCalendário,1,1))+1</definedName>
    <definedName name="JanSun1" localSheetId="6">DATE(AnoCalendário,1,1)-WEEKDAY(DATE(AnoCalendário,1,1))+1</definedName>
    <definedName name="JanSun1" localSheetId="4">DATE(AnoCalendário,1,1)-WEEKDAY(DATE(AnoCalendário,1,1))+1</definedName>
    <definedName name="JanSun1" localSheetId="9">DATE(AnoCalendário,1,1)-WEEKDAY(DATE(AnoCalendário,1,1))+1</definedName>
    <definedName name="JanSun1">DATE(AnoCalendário,1,1)-WEEKDAY(DATE(AnoCalendário,1,1))+1</definedName>
    <definedName name="limcount" hidden="1">1</definedName>
    <definedName name="LOCAL_MYSQL_DATE_FORMAT" localSheetId="1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1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5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4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9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Mês_Dinâmico">OFFSET(Gestores!$B$5,1,'Painel Consulta'!$E$4,3,1)</definedName>
    <definedName name="Mês_Dinamico_Reais">OFFSET(Gestores!$B$11,1,'Painel Consulta'!$E$4,3,1)</definedName>
    <definedName name="Meses">Listas!$E$2:$E$13</definedName>
    <definedName name="Módulos" localSheetId="9">Tabela6[Módulos]</definedName>
    <definedName name="Módulos">Tabela6[Módulos]</definedName>
    <definedName name="Período_Dinâmico">OFFSET(Gestores!$B$5,'Painel Consulta'!$B$4,1,1,'Painel Consulta'!$E$4)</definedName>
    <definedName name="Período_Dinamico_Reais">OFFSET(Gestores!$B$11,'Painel Consulta'!$B$4,1,1,'Painel Consulta'!$E$4)</definedName>
    <definedName name="Resumo" hidden="1">{"azul",#N/A,FALSE,"geral";"verde",#N/A,FALSE,"geral";"vermelho",#N/A,FALSE,"geral"}</definedName>
    <definedName name="resumoa" hidden="1">{"azul",#N/A,FALSE,"geral";"verde",#N/A,FALSE,"geral";"vermelho",#N/A,FALSE,"geral"}</definedName>
    <definedName name="SegmentaçãodeDados_Cliente1">#N/A</definedName>
    <definedName name="SegmentaçãodeDados_Estado">#N/A</definedName>
    <definedName name="SegmentaçãodeDados_Gestor">#N/A</definedName>
    <definedName name="SegmentaçãodeDados_Módulo1">#N/A</definedName>
    <definedName name="sencount" hidden="1">1</definedName>
    <definedName name="solver_lhs0" localSheetId="14" hidden="1">#REF!</definedName>
    <definedName name="solver_lhs0" localSheetId="5" hidden="1">#REF!</definedName>
    <definedName name="solver_lhs0" localSheetId="6" hidden="1">#REF!</definedName>
    <definedName name="solver_lhs0" localSheetId="4" hidden="1">#REF!</definedName>
    <definedName name="solver_lhs0" localSheetId="9" hidden="1">#REF!</definedName>
    <definedName name="solver_lhs0" hidden="1">#REF!</definedName>
    <definedName name="solver_lhs10" localSheetId="14" hidden="1">#REF!</definedName>
    <definedName name="solver_lhs10" localSheetId="5" hidden="1">#REF!</definedName>
    <definedName name="solver_lhs10" localSheetId="6" hidden="1">#REF!</definedName>
    <definedName name="solver_lhs10" localSheetId="4" hidden="1">#REF!</definedName>
    <definedName name="solver_lhs10" localSheetId="9" hidden="1">#REF!</definedName>
    <definedName name="solver_lhs10" hidden="1">#REF!</definedName>
    <definedName name="solver_lhs11" localSheetId="14" hidden="1">#REF!</definedName>
    <definedName name="solver_lhs11" localSheetId="5" hidden="1">#REF!</definedName>
    <definedName name="solver_lhs11" localSheetId="6" hidden="1">#REF!</definedName>
    <definedName name="solver_lhs11" localSheetId="4" hidden="1">#REF!</definedName>
    <definedName name="solver_lhs11" localSheetId="9" hidden="1">#REF!</definedName>
    <definedName name="solver_lhs11" hidden="1">#REF!</definedName>
    <definedName name="solver_lhs12" localSheetId="14" hidden="1">#REF!</definedName>
    <definedName name="solver_lhs12" localSheetId="5" hidden="1">#REF!</definedName>
    <definedName name="solver_lhs12" localSheetId="6" hidden="1">#REF!</definedName>
    <definedName name="solver_lhs12" localSheetId="4" hidden="1">#REF!</definedName>
    <definedName name="solver_lhs12" localSheetId="9" hidden="1">#REF!</definedName>
    <definedName name="solver_lhs12" hidden="1">#REF!</definedName>
    <definedName name="solver_lhs7" localSheetId="14" hidden="1">#REF!</definedName>
    <definedName name="solver_lhs7" localSheetId="5" hidden="1">#REF!</definedName>
    <definedName name="solver_lhs7" localSheetId="6" hidden="1">#REF!</definedName>
    <definedName name="solver_lhs7" localSheetId="4" hidden="1">#REF!</definedName>
    <definedName name="solver_lhs7" localSheetId="9" hidden="1">#REF!</definedName>
    <definedName name="solver_lhs7" hidden="1">#REF!</definedName>
    <definedName name="solver_lhs8" localSheetId="14" hidden="1">#REF!</definedName>
    <definedName name="solver_lhs8" localSheetId="5" hidden="1">#REF!</definedName>
    <definedName name="solver_lhs8" localSheetId="6" hidden="1">#REF!</definedName>
    <definedName name="solver_lhs8" localSheetId="4" hidden="1">#REF!</definedName>
    <definedName name="solver_lhs8" localSheetId="9" hidden="1">#REF!</definedName>
    <definedName name="solver_lhs8" hidden="1">#REF!</definedName>
    <definedName name="solver_lhs9" localSheetId="14" hidden="1">#REF!</definedName>
    <definedName name="solver_lhs9" localSheetId="5" hidden="1">#REF!</definedName>
    <definedName name="solver_lhs9" localSheetId="6" hidden="1">#REF!</definedName>
    <definedName name="solver_lhs9" localSheetId="4" hidden="1">#REF!</definedName>
    <definedName name="solver_lhs9" localSheetId="9" hidden="1">#REF!</definedName>
    <definedName name="solver_lhs9" hidden="1">#REF!</definedName>
    <definedName name="solver_rel0" hidden="1">2</definedName>
    <definedName name="solver_rel10" hidden="1">3</definedName>
    <definedName name="solver_rel11" hidden="1">4</definedName>
    <definedName name="solver_rel12" hidden="1">4</definedName>
    <definedName name="solver_rel7" hidden="1">3</definedName>
    <definedName name="solver_rel8" hidden="1">3</definedName>
    <definedName name="solver_rel9" hidden="1">3</definedName>
    <definedName name="solver_rhs10" localSheetId="14" hidden="1">#REF!</definedName>
    <definedName name="solver_rhs10" localSheetId="5" hidden="1">#REF!</definedName>
    <definedName name="solver_rhs10" localSheetId="6" hidden="1">#REF!</definedName>
    <definedName name="solver_rhs10" localSheetId="4" hidden="1">#REF!</definedName>
    <definedName name="solver_rhs10" localSheetId="9" hidden="1">#REF!</definedName>
    <definedName name="solver_rhs10" hidden="1">#REF!</definedName>
    <definedName name="solver_rhs11" localSheetId="14" hidden="1">número</definedName>
    <definedName name="solver_rhs11" localSheetId="5" hidden="1">número</definedName>
    <definedName name="solver_rhs11" localSheetId="6" hidden="1">número</definedName>
    <definedName name="solver_rhs11" localSheetId="4" hidden="1">número</definedName>
    <definedName name="solver_rhs11" localSheetId="9" hidden="1">número</definedName>
    <definedName name="solver_rhs11" hidden="1">número</definedName>
    <definedName name="solver_rhs12" localSheetId="14" hidden="1">número</definedName>
    <definedName name="solver_rhs12" localSheetId="5" hidden="1">número</definedName>
    <definedName name="solver_rhs12" localSheetId="6" hidden="1">número</definedName>
    <definedName name="solver_rhs12" localSheetId="4" hidden="1">número</definedName>
    <definedName name="solver_rhs12" localSheetId="9" hidden="1">número</definedName>
    <definedName name="solver_rhs12" hidden="1">número</definedName>
    <definedName name="solver_rhs7" localSheetId="14" hidden="1">#REF!</definedName>
    <definedName name="solver_rhs7" localSheetId="5" hidden="1">#REF!</definedName>
    <definedName name="solver_rhs7" localSheetId="6" hidden="1">#REF!</definedName>
    <definedName name="solver_rhs7" localSheetId="4" hidden="1">#REF!</definedName>
    <definedName name="solver_rhs7" localSheetId="9" hidden="1">#REF!</definedName>
    <definedName name="solver_rhs7" hidden="1">#REF!</definedName>
    <definedName name="solver_rhs8" localSheetId="14" hidden="1">#REF!</definedName>
    <definedName name="solver_rhs8" localSheetId="5" hidden="1">#REF!</definedName>
    <definedName name="solver_rhs8" localSheetId="6" hidden="1">#REF!</definedName>
    <definedName name="solver_rhs8" localSheetId="4" hidden="1">#REF!</definedName>
    <definedName name="solver_rhs8" localSheetId="9" hidden="1">#REF!</definedName>
    <definedName name="solver_rhs8" hidden="1">#REF!</definedName>
    <definedName name="solver_rhs9" localSheetId="14" hidden="1">#REF!</definedName>
    <definedName name="solver_rhs9" localSheetId="5" hidden="1">#REF!</definedName>
    <definedName name="solver_rhs9" localSheetId="6" hidden="1">#REF!</definedName>
    <definedName name="solver_rhs9" localSheetId="4" hidden="1">#REF!</definedName>
    <definedName name="solver_rhs9" localSheetId="9" hidden="1">#REF!</definedName>
    <definedName name="solver_rhs9" hidden="1">#REF!</definedName>
    <definedName name="solver_tmp" hidden="1">0</definedName>
    <definedName name="teste" hidden="1">{"normal","argentina",FALSE,"cenários e solver";#N/A,#N/A,FALSE,"banco de dados"}</definedName>
    <definedName name="Turmas" localSheetId="9">Vendas!$A$2:$A$1065</definedName>
    <definedName name="Turmas">Base[Turma]</definedName>
    <definedName name="v" hidden="1">{"normal","argentina",FALSE,"cenários e solver";#N/A,#N/A,FALSE,"banco de dados"}</definedName>
    <definedName name="vandasa" hidden="1">{"Normal","receita baixa",TRUE,"CENÁRIO ATUAL";"Linhas de Totais","despesa alta",TRUE,"CENÁRIO ATUAL";"Primeiros Meses","despesa baixa",TRUE,"CENÁRIO ATUAL";"Últimos Meses","receita alta",TRUE,"CENÁRIO ATUAL"}</definedName>
    <definedName name="Vendas" hidden="1">{"Normal","receita baixa",TRUE,"CENÁRIO ATUAL";"Linhas de Totais","despesa alta",TRUE,"CENÁRIO ATUAL";"Primeiros Meses","despesa baixa",TRUE,"CENÁRIO ATUAL";"Últimos Meses","receita alta",TRUE,"CENÁRIO ATUAL"}</definedName>
    <definedName name="Vendedores" localSheetId="9">Tabela5[Vendedores]</definedName>
    <definedName name="Vendedores">Tabela5[Vendedores]</definedName>
    <definedName name="wrf" hidden="1">{"Normal","receita baixa",TRUE,"CENÁRIO ATUAL";"Linhas de Totais","despesa alta",TRUE,"CENÁRIO ATUAL";"Primeiros Meses","despesa baixa",TRUE,"CENÁRIO ATUAL";"Últimos Meses","receita alta",TRUE,"CENÁRIO ATUAL"}</definedName>
    <definedName name="wrn.Alfa." hidden="1">{#N/A,"Médio",TRUE,"Plan30";"3º Trimestre Geral",#N/A,TRUE,"1º Trimestre"}</definedName>
    <definedName name="wrn.aula." hidden="1">{"azul",#N/A,FALSE,"geral";"verde",#N/A,FALSE,"geral";"vermelho",#N/A,FALSE,"geral"}</definedName>
    <definedName name="wrn.aulaa" hidden="1">{"azul",#N/A,FALSE,"geral";"verde",#N/A,FALSE,"geral";"vermelho",#N/A,FALSE,"geral"}</definedName>
    <definedName name="wrn.Bom." hidden="1">{#N/A,"Bom",FALSE,"Cenario 34"}</definedName>
    <definedName name="wrn.Cenários." hidden="1">{"Todos os estados",#N/A,TRUE,"Exibição 41";"Todos os estados",#N/A,TRUE,"Exibição 41";#N/A,"Ruim",TRUE,"Cenario 34";#N/A,"Médio",TRUE,"Cenario 34";#N/A,"Bom",TRUE,"Cenario 34";#N/A,"Excelente",TRUE,"Cenario 34"}</definedName>
    <definedName name="wrn.Colar._.com._.vinculo." hidden="1">{#N/A,#N/A,FALSE,"Colar com vinculo"}</definedName>
    <definedName name="wrn.Colar._.Especial." hidden="1">{#N/A,#N/A,FALSE,"Colar especial"}</definedName>
    <definedName name="wrn.fluxo._.de._.caixa." hidden="1">{"normal","argentina",FALSE,"cenários e solver";#N/A,#N/A,FALSE,"banco de dados"}</definedName>
    <definedName name="wrn.Mensal." hidden="1">{"Integral",#N/A,FALSE,"Plan1"}</definedName>
    <definedName name="wrn.Minas._.Gerais." hidden="1">{"Minas Gerais",#N/A,FALSE,"Exibição 41"}</definedName>
    <definedName name="wrn.Referencias." hidden="1">{#N/A,#N/A,FALSE,"Referencia"}</definedName>
    <definedName name="wrn.Relat." hidden="1">{"Normal","Despesa Alta",TRUE,"Planejamento (sol)";"Primeiros Trimestres","Receita Alta",TRUE,"Planejamento (sol)";"Últimos trimestres","Receita Baixa",TRUE,"Planejamento (sol)";"Totais","Despesa Baixa",TRUE,"Planejamento (sol)"}</definedName>
    <definedName name="wrn.Relat._.Final." hidden="1">{"Normal","receita baixa",TRUE,"CENÁRIO ATUAL";"Linhas de Totais","despesa alta",TRUE,"CENÁRIO ATUAL";"Primeiros Meses","despesa baixa",TRUE,"CENÁRIO ATUAL";"Últimos Meses","receita alta",TRUE,"CENÁRIO ATUAL"}</definedName>
    <definedName name="wrn.relata" hidden="1">{"Normal","Despesa Alta",TRUE,"Planejamento (sol)";"Primeiros Trimestres","Receita Alta",TRUE,"Planejamento (sol)";"Últimos trimestres","Receita Baixa",TRUE,"Planejamento (sol)";"Totais","Despesa Baixa",TRUE,"Planejamento (sol)"}</definedName>
    <definedName name="wrn.Relatório._.Mensal." hidden="1">{"Modo1","Otimista",FALSE,"Orçamento Pessoal"}</definedName>
    <definedName name="wrn.Ruim." hidden="1">{#N/A,"Ruim",FALSE,"Cenario 34"}</definedName>
    <definedName name="wrn.Santa._.Catarina." hidden="1">{"Santa Catarina",#N/A,FALSE,"Exibição 41"}</definedName>
    <definedName name="wrn.São._.Paulo_._.Minas._.Gerais." hidden="1">{"São Paulo",#N/A,TRUE,"Exibição 41";"Minas Gerais",#N/A,TRUE,"Exibição 41"}</definedName>
    <definedName name="yu" hidden="1">{"normal","argentina",FALSE,"cenários e solver";#N/A,#N/A,FALSE,"banco de dados"}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8"/>
        <x14:slicerCache r:id="rId19"/>
        <x14:slicerCache r:id="rId20"/>
        <x14:slicerCache r:id="rId21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2015" name="2015" connection="2015"/>
        </x15:modelTables>
      </x15:dataModel>
    </ext>
  </extLst>
</workbook>
</file>

<file path=xl/calcChain.xml><?xml version="1.0" encoding="utf-8"?>
<calcChain xmlns="http://schemas.openxmlformats.org/spreadsheetml/2006/main">
  <c r="C30" i="18" l="1"/>
  <c r="C4" i="26" l="1"/>
  <c r="J4" i="26"/>
  <c r="K4" i="26"/>
  <c r="B2" i="19" s="1"/>
  <c r="V1066" i="25"/>
  <c r="T1066" i="25"/>
  <c r="S1066" i="25"/>
  <c r="J1066" i="25"/>
  <c r="I1066" i="25"/>
  <c r="B1066" i="25"/>
  <c r="G14" i="13"/>
  <c r="E14" i="13"/>
  <c r="C14" i="13"/>
  <c r="G12" i="13"/>
  <c r="E12" i="13"/>
  <c r="C12" i="13"/>
  <c r="C10" i="13"/>
  <c r="G8" i="13"/>
  <c r="E8" i="13"/>
  <c r="C8" i="13"/>
  <c r="C6" i="13"/>
  <c r="C4" i="13"/>
  <c r="A17" i="13" s="1"/>
  <c r="I17" i="13" s="1"/>
  <c r="M4" i="26" l="1"/>
  <c r="F17" i="13"/>
  <c r="G17" i="13"/>
  <c r="H17" i="13"/>
  <c r="N14" i="22"/>
  <c r="M14" i="22"/>
  <c r="L14" i="22"/>
  <c r="K14" i="22"/>
  <c r="J14" i="22"/>
  <c r="I14" i="22"/>
  <c r="H14" i="22"/>
  <c r="G14" i="22"/>
  <c r="F14" i="22"/>
  <c r="E14" i="22"/>
  <c r="D14" i="22"/>
  <c r="C14" i="22"/>
  <c r="N13" i="22"/>
  <c r="M13" i="22"/>
  <c r="L13" i="22"/>
  <c r="K13" i="22"/>
  <c r="J13" i="22"/>
  <c r="I13" i="22"/>
  <c r="H13" i="22"/>
  <c r="G13" i="22"/>
  <c r="F13" i="22"/>
  <c r="E13" i="22"/>
  <c r="D13" i="22"/>
  <c r="C13" i="22"/>
  <c r="N12" i="22"/>
  <c r="N15" i="22" s="1"/>
  <c r="M12" i="22"/>
  <c r="L12" i="22"/>
  <c r="K12" i="22"/>
  <c r="J12" i="22"/>
  <c r="J15" i="22" s="1"/>
  <c r="I12" i="22"/>
  <c r="H12" i="22"/>
  <c r="G12" i="22"/>
  <c r="F12" i="22"/>
  <c r="F15" i="22" s="1"/>
  <c r="E12" i="22"/>
  <c r="D12" i="22"/>
  <c r="C12" i="22"/>
  <c r="N8" i="22"/>
  <c r="M8" i="22"/>
  <c r="L8" i="22"/>
  <c r="K8" i="22"/>
  <c r="J8" i="22"/>
  <c r="I8" i="22"/>
  <c r="H8" i="22"/>
  <c r="G8" i="22"/>
  <c r="F8" i="22"/>
  <c r="E8" i="22"/>
  <c r="D8" i="22"/>
  <c r="C8" i="22"/>
  <c r="N7" i="22"/>
  <c r="M7" i="22"/>
  <c r="L7" i="22"/>
  <c r="K7" i="22"/>
  <c r="J7" i="22"/>
  <c r="I7" i="22"/>
  <c r="H7" i="22"/>
  <c r="G7" i="22"/>
  <c r="F7" i="22"/>
  <c r="E7" i="22"/>
  <c r="D7" i="22"/>
  <c r="C7" i="22"/>
  <c r="N6" i="22"/>
  <c r="N9" i="22" s="1"/>
  <c r="M6" i="22"/>
  <c r="L6" i="22"/>
  <c r="L9" i="22" s="1"/>
  <c r="K6" i="22"/>
  <c r="J6" i="22"/>
  <c r="J9" i="22" s="1"/>
  <c r="I6" i="22"/>
  <c r="H6" i="22"/>
  <c r="H9" i="22" s="1"/>
  <c r="G6" i="22"/>
  <c r="G9" i="22" s="1"/>
  <c r="F6" i="22"/>
  <c r="E6" i="22"/>
  <c r="D6" i="22"/>
  <c r="D9" i="22" s="1"/>
  <c r="C6" i="22"/>
  <c r="C9" i="22" s="1"/>
  <c r="N14" i="21"/>
  <c r="M14" i="21"/>
  <c r="N26" i="21" s="1"/>
  <c r="L14" i="21"/>
  <c r="K14" i="21"/>
  <c r="J14" i="21"/>
  <c r="I14" i="21"/>
  <c r="J26" i="21" s="1"/>
  <c r="H14" i="21"/>
  <c r="H26" i="21" s="1"/>
  <c r="G14" i="21"/>
  <c r="F14" i="21"/>
  <c r="E14" i="21"/>
  <c r="F26" i="21" s="1"/>
  <c r="D14" i="21"/>
  <c r="D26" i="21" s="1"/>
  <c r="C14" i="21"/>
  <c r="N13" i="21"/>
  <c r="M13" i="21"/>
  <c r="L13" i="21"/>
  <c r="L25" i="21" s="1"/>
  <c r="K13" i="21"/>
  <c r="J13" i="21"/>
  <c r="I13" i="21"/>
  <c r="H13" i="21"/>
  <c r="G13" i="21"/>
  <c r="F13" i="21"/>
  <c r="E13" i="21"/>
  <c r="D13" i="21"/>
  <c r="D25" i="21" s="1"/>
  <c r="C13" i="21"/>
  <c r="N12" i="21"/>
  <c r="M12" i="21"/>
  <c r="L12" i="21"/>
  <c r="L24" i="21" s="1"/>
  <c r="K12" i="21"/>
  <c r="J12" i="21"/>
  <c r="I12" i="21"/>
  <c r="H12" i="21"/>
  <c r="H24" i="21" s="1"/>
  <c r="G12" i="21"/>
  <c r="F12" i="21"/>
  <c r="E12" i="21"/>
  <c r="D12" i="21"/>
  <c r="D24" i="21" s="1"/>
  <c r="C12" i="21"/>
  <c r="N8" i="21"/>
  <c r="M8" i="21"/>
  <c r="L8" i="21"/>
  <c r="K8" i="21"/>
  <c r="J8" i="21"/>
  <c r="I8" i="21"/>
  <c r="H8" i="21"/>
  <c r="G8" i="21"/>
  <c r="F8" i="21"/>
  <c r="E8" i="21"/>
  <c r="D8" i="21"/>
  <c r="C8" i="21"/>
  <c r="C20" i="21" s="1"/>
  <c r="N7" i="21"/>
  <c r="M7" i="21"/>
  <c r="L7" i="21"/>
  <c r="L19" i="21" s="1"/>
  <c r="K7" i="21"/>
  <c r="J7" i="21"/>
  <c r="J31" i="21" s="1"/>
  <c r="I7" i="21"/>
  <c r="H7" i="21"/>
  <c r="H19" i="21" s="1"/>
  <c r="G7" i="21"/>
  <c r="F7" i="21"/>
  <c r="E7" i="21"/>
  <c r="D7" i="21"/>
  <c r="D19" i="21" s="1"/>
  <c r="C7" i="21"/>
  <c r="N6" i="21"/>
  <c r="M6" i="21"/>
  <c r="N18" i="21" s="1"/>
  <c r="L6" i="21"/>
  <c r="L18" i="21" s="1"/>
  <c r="K6" i="21"/>
  <c r="J6" i="21"/>
  <c r="I6" i="21"/>
  <c r="J18" i="21" s="1"/>
  <c r="H6" i="21"/>
  <c r="H18" i="21" s="1"/>
  <c r="G6" i="21"/>
  <c r="G18" i="21" s="1"/>
  <c r="F6" i="21"/>
  <c r="F31" i="21" s="1"/>
  <c r="E6" i="21"/>
  <c r="D6" i="21"/>
  <c r="D18" i="21" s="1"/>
  <c r="C6" i="21"/>
  <c r="N38" i="19"/>
  <c r="M38" i="19"/>
  <c r="L38" i="19"/>
  <c r="K38" i="19"/>
  <c r="J38" i="19"/>
  <c r="I38" i="19"/>
  <c r="H38" i="19"/>
  <c r="G38" i="19"/>
  <c r="F38" i="19"/>
  <c r="E38" i="19"/>
  <c r="D38" i="19"/>
  <c r="C38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N8" i="19"/>
  <c r="M8" i="19"/>
  <c r="L8" i="19"/>
  <c r="K8" i="19"/>
  <c r="J8" i="19"/>
  <c r="I8" i="19"/>
  <c r="H8" i="19"/>
  <c r="G8" i="19"/>
  <c r="F8" i="19"/>
  <c r="E8" i="19"/>
  <c r="D8" i="19"/>
  <c r="C8" i="19"/>
  <c r="N7" i="19"/>
  <c r="M7" i="19"/>
  <c r="L7" i="19"/>
  <c r="K7" i="19"/>
  <c r="J7" i="19"/>
  <c r="I7" i="19"/>
  <c r="H7" i="19"/>
  <c r="G7" i="19"/>
  <c r="F7" i="19"/>
  <c r="E7" i="19"/>
  <c r="D7" i="19"/>
  <c r="C7" i="19"/>
  <c r="N6" i="19"/>
  <c r="M6" i="19"/>
  <c r="L6" i="19"/>
  <c r="K6" i="19"/>
  <c r="J6" i="19"/>
  <c r="I6" i="19"/>
  <c r="H6" i="19"/>
  <c r="G6" i="19"/>
  <c r="F6" i="19"/>
  <c r="E6" i="19"/>
  <c r="D6" i="19"/>
  <c r="C6" i="19"/>
  <c r="D20" i="18"/>
  <c r="D26" i="18"/>
  <c r="E31" i="18"/>
  <c r="D36" i="18"/>
  <c r="C36" i="18"/>
  <c r="E36" i="18"/>
  <c r="F36" i="18"/>
  <c r="G36" i="18"/>
  <c r="H36" i="18"/>
  <c r="I36" i="18"/>
  <c r="J36" i="18"/>
  <c r="K36" i="18"/>
  <c r="L36" i="18"/>
  <c r="M36" i="18"/>
  <c r="N36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D30" i="18"/>
  <c r="E30" i="18"/>
  <c r="F30" i="18"/>
  <c r="G30" i="18"/>
  <c r="H30" i="18"/>
  <c r="I30" i="18"/>
  <c r="J30" i="18"/>
  <c r="K30" i="18"/>
  <c r="L30" i="18"/>
  <c r="M30" i="18"/>
  <c r="N30" i="18"/>
  <c r="C31" i="18"/>
  <c r="D31" i="18"/>
  <c r="F31" i="18"/>
  <c r="G31" i="18"/>
  <c r="H31" i="18"/>
  <c r="I31" i="18"/>
  <c r="J31" i="18"/>
  <c r="K31" i="18"/>
  <c r="L31" i="18"/>
  <c r="M31" i="18"/>
  <c r="N31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C26" i="18"/>
  <c r="E26" i="18"/>
  <c r="F26" i="18"/>
  <c r="G26" i="18"/>
  <c r="H26" i="18"/>
  <c r="I26" i="18"/>
  <c r="J26" i="18"/>
  <c r="K26" i="18"/>
  <c r="L26" i="18"/>
  <c r="M26" i="18"/>
  <c r="N26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C20" i="18"/>
  <c r="E20" i="18"/>
  <c r="F20" i="18"/>
  <c r="G20" i="18"/>
  <c r="H20" i="18"/>
  <c r="I20" i="18"/>
  <c r="J20" i="18"/>
  <c r="K20" i="18"/>
  <c r="L20" i="18"/>
  <c r="M20" i="18"/>
  <c r="N20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C6" i="18"/>
  <c r="D6" i="18"/>
  <c r="E6" i="18"/>
  <c r="F6" i="18"/>
  <c r="G6" i="18"/>
  <c r="H6" i="18"/>
  <c r="I6" i="18"/>
  <c r="J6" i="18"/>
  <c r="K6" i="18"/>
  <c r="L6" i="18"/>
  <c r="M6" i="18"/>
  <c r="N6" i="18"/>
  <c r="C7" i="18"/>
  <c r="D7" i="18"/>
  <c r="E7" i="18"/>
  <c r="F7" i="18"/>
  <c r="G7" i="18"/>
  <c r="H7" i="18"/>
  <c r="I7" i="18"/>
  <c r="J7" i="18"/>
  <c r="K7" i="18"/>
  <c r="L7" i="18"/>
  <c r="M7" i="18"/>
  <c r="N7" i="18"/>
  <c r="C8" i="18"/>
  <c r="D8" i="18"/>
  <c r="E8" i="18"/>
  <c r="F8" i="18"/>
  <c r="G8" i="18"/>
  <c r="H8" i="18"/>
  <c r="I8" i="18"/>
  <c r="J8" i="18"/>
  <c r="K8" i="18"/>
  <c r="L8" i="18"/>
  <c r="M8" i="18"/>
  <c r="N8" i="18"/>
  <c r="K18" i="21" l="1"/>
  <c r="K19" i="21"/>
  <c r="C25" i="21"/>
  <c r="G25" i="21"/>
  <c r="K25" i="21"/>
  <c r="C26" i="21"/>
  <c r="G26" i="21"/>
  <c r="K38" i="21"/>
  <c r="G38" i="21"/>
  <c r="D32" i="21"/>
  <c r="H32" i="21"/>
  <c r="L20" i="21"/>
  <c r="H37" i="21"/>
  <c r="L26" i="21"/>
  <c r="F18" i="21"/>
  <c r="C37" i="21"/>
  <c r="K37" i="21"/>
  <c r="I7" i="26"/>
  <c r="Q7" i="26" s="1"/>
  <c r="K7" i="26"/>
  <c r="C84" i="26" s="1"/>
  <c r="G7" i="26"/>
  <c r="M7" i="26"/>
  <c r="R69" i="26" s="1"/>
  <c r="R70" i="26" s="1"/>
  <c r="R71" i="26" s="1"/>
  <c r="K9" i="22"/>
  <c r="K43" i="22" s="1"/>
  <c r="E9" i="22"/>
  <c r="E42" i="22" s="1"/>
  <c r="M9" i="22"/>
  <c r="M43" i="22" s="1"/>
  <c r="I15" i="22"/>
  <c r="I49" i="22" s="1"/>
  <c r="O14" i="22"/>
  <c r="M38" i="22" s="1"/>
  <c r="F48" i="22"/>
  <c r="F49" i="22"/>
  <c r="F50" i="22"/>
  <c r="J42" i="22"/>
  <c r="J43" i="22"/>
  <c r="J44" i="22"/>
  <c r="N42" i="22"/>
  <c r="N43" i="22"/>
  <c r="N44" i="22"/>
  <c r="C42" i="22"/>
  <c r="G42" i="22"/>
  <c r="C43" i="22"/>
  <c r="G43" i="22"/>
  <c r="C44" i="22"/>
  <c r="G44" i="22"/>
  <c r="O6" i="22"/>
  <c r="M30" i="22" s="1"/>
  <c r="N48" i="22"/>
  <c r="N49" i="22"/>
  <c r="N50" i="22"/>
  <c r="I9" i="22"/>
  <c r="I43" i="22" s="1"/>
  <c r="E15" i="22"/>
  <c r="E50" i="22" s="1"/>
  <c r="M15" i="22"/>
  <c r="M50" i="22" s="1"/>
  <c r="D43" i="22"/>
  <c r="H43" i="22"/>
  <c r="L43" i="22"/>
  <c r="D44" i="22"/>
  <c r="H44" i="22"/>
  <c r="L44" i="22"/>
  <c r="J48" i="22"/>
  <c r="J49" i="22"/>
  <c r="J50" i="22"/>
  <c r="F9" i="22"/>
  <c r="O8" i="22"/>
  <c r="D32" i="22" s="1"/>
  <c r="O13" i="22"/>
  <c r="I37" i="22" s="1"/>
  <c r="L15" i="22"/>
  <c r="L50" i="22" s="1"/>
  <c r="H15" i="22"/>
  <c r="H50" i="22" s="1"/>
  <c r="D15" i="22"/>
  <c r="D48" i="22" s="1"/>
  <c r="L42" i="22"/>
  <c r="H42" i="22"/>
  <c r="D42" i="22"/>
  <c r="O7" i="22"/>
  <c r="G31" i="22" s="1"/>
  <c r="O12" i="22"/>
  <c r="K15" i="22"/>
  <c r="K50" i="22" s="1"/>
  <c r="G15" i="22"/>
  <c r="G49" i="22" s="1"/>
  <c r="C15" i="22"/>
  <c r="C48" i="22" s="1"/>
  <c r="K32" i="22"/>
  <c r="G32" i="22"/>
  <c r="G30" i="22"/>
  <c r="K37" i="22"/>
  <c r="I19" i="21"/>
  <c r="I20" i="21"/>
  <c r="I24" i="21"/>
  <c r="M24" i="21"/>
  <c r="E25" i="21"/>
  <c r="I25" i="21"/>
  <c r="M25" i="21"/>
  <c r="D20" i="21"/>
  <c r="H25" i="21"/>
  <c r="L32" i="21"/>
  <c r="D37" i="21"/>
  <c r="L37" i="21"/>
  <c r="H38" i="21"/>
  <c r="H20" i="21"/>
  <c r="E18" i="21"/>
  <c r="E19" i="21"/>
  <c r="M19" i="21"/>
  <c r="E20" i="21"/>
  <c r="M20" i="21"/>
  <c r="E24" i="21"/>
  <c r="F19" i="21"/>
  <c r="J19" i="21"/>
  <c r="N19" i="21"/>
  <c r="F32" i="21"/>
  <c r="J32" i="21"/>
  <c r="N32" i="21"/>
  <c r="F24" i="21"/>
  <c r="J24" i="21"/>
  <c r="N24" i="21"/>
  <c r="F37" i="21"/>
  <c r="J37" i="21"/>
  <c r="N37" i="21"/>
  <c r="F38" i="21"/>
  <c r="J38" i="21"/>
  <c r="N38" i="21"/>
  <c r="G37" i="21"/>
  <c r="C38" i="21"/>
  <c r="C31" i="21"/>
  <c r="G31" i="21"/>
  <c r="K31" i="21"/>
  <c r="C32" i="21"/>
  <c r="G32" i="21"/>
  <c r="K32" i="21"/>
  <c r="K26" i="21"/>
  <c r="G19" i="21"/>
  <c r="N31" i="21"/>
  <c r="D38" i="21"/>
  <c r="L38" i="21"/>
  <c r="K20" i="21"/>
  <c r="G20" i="21"/>
  <c r="M18" i="21"/>
  <c r="I18" i="21"/>
  <c r="K24" i="21"/>
  <c r="G24" i="21"/>
  <c r="M26" i="21"/>
  <c r="I26" i="21"/>
  <c r="E26" i="21"/>
  <c r="M31" i="21"/>
  <c r="I31" i="21"/>
  <c r="E31" i="21"/>
  <c r="N20" i="21"/>
  <c r="J20" i="21"/>
  <c r="F20" i="21"/>
  <c r="L31" i="21"/>
  <c r="H31" i="21"/>
  <c r="D31" i="21"/>
  <c r="E37" i="21"/>
  <c r="I37" i="21"/>
  <c r="M37" i="21"/>
  <c r="E38" i="21"/>
  <c r="I38" i="21"/>
  <c r="M38" i="21"/>
  <c r="M32" i="21"/>
  <c r="I32" i="21"/>
  <c r="E32" i="21"/>
  <c r="C19" i="21"/>
  <c r="N25" i="21"/>
  <c r="J25" i="21"/>
  <c r="F25" i="21"/>
  <c r="T1066" i="15"/>
  <c r="B9" i="16" s="1"/>
  <c r="I12" i="16"/>
  <c r="G12" i="16"/>
  <c r="I9" i="16"/>
  <c r="G9" i="16"/>
  <c r="B12" i="16"/>
  <c r="S1066" i="15"/>
  <c r="D12" i="16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E2" i="2"/>
  <c r="E3" i="2"/>
  <c r="E4" i="2"/>
  <c r="E5" i="2"/>
  <c r="E6" i="2"/>
  <c r="E7" i="2"/>
  <c r="E8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M79" i="2" s="1"/>
  <c r="K80" i="2"/>
  <c r="M80" i="2" s="1"/>
  <c r="K81" i="2"/>
  <c r="M81" i="2" s="1"/>
  <c r="K82" i="2"/>
  <c r="M82" i="2" s="1"/>
  <c r="K83" i="2"/>
  <c r="M83" i="2" s="1"/>
  <c r="K84" i="2"/>
  <c r="M84" i="2" s="1"/>
  <c r="K85" i="2"/>
  <c r="M85" i="2" s="1"/>
  <c r="K86" i="2"/>
  <c r="M86" i="2" s="1"/>
  <c r="K87" i="2"/>
  <c r="M87" i="2" s="1"/>
  <c r="K88" i="2"/>
  <c r="M88" i="2" s="1"/>
  <c r="K89" i="2"/>
  <c r="M89" i="2" s="1"/>
  <c r="K90" i="2"/>
  <c r="M90" i="2" s="1"/>
  <c r="K91" i="2"/>
  <c r="M91" i="2" s="1"/>
  <c r="K92" i="2"/>
  <c r="M92" i="2" s="1"/>
  <c r="K93" i="2"/>
  <c r="M93" i="2" s="1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D9" i="16"/>
  <c r="B1066" i="15"/>
  <c r="J1066" i="15"/>
  <c r="I1066" i="15"/>
  <c r="V1066" i="15"/>
  <c r="E58" i="7"/>
  <c r="J18" i="9"/>
  <c r="E11" i="3"/>
  <c r="D84" i="26" l="1"/>
  <c r="D85" i="26" s="1"/>
  <c r="C85" i="26"/>
  <c r="O7" i="26"/>
  <c r="K84" i="26" s="1"/>
  <c r="K85" i="26" s="1"/>
  <c r="E58" i="26"/>
  <c r="E65" i="26" s="1"/>
  <c r="H32" i="22"/>
  <c r="I48" i="22"/>
  <c r="E30" i="22"/>
  <c r="L32" i="22"/>
  <c r="I50" i="22"/>
  <c r="I42" i="22"/>
  <c r="M44" i="22"/>
  <c r="M42" i="22"/>
  <c r="M48" i="22"/>
  <c r="K30" i="22"/>
  <c r="L37" i="22"/>
  <c r="C50" i="22"/>
  <c r="K31" i="22"/>
  <c r="D30" i="22"/>
  <c r="E31" i="22"/>
  <c r="K42" i="22"/>
  <c r="C38" i="22"/>
  <c r="M37" i="22"/>
  <c r="E43" i="22"/>
  <c r="K49" i="22"/>
  <c r="E38" i="22"/>
  <c r="C37" i="22"/>
  <c r="G38" i="22"/>
  <c r="D37" i="22"/>
  <c r="D31" i="22"/>
  <c r="E48" i="22"/>
  <c r="K48" i="22"/>
  <c r="E37" i="22"/>
  <c r="E44" i="22"/>
  <c r="K44" i="22"/>
  <c r="G37" i="22"/>
  <c r="K38" i="22"/>
  <c r="C32" i="22"/>
  <c r="H37" i="22"/>
  <c r="L49" i="22"/>
  <c r="I38" i="22"/>
  <c r="G48" i="22"/>
  <c r="F36" i="22"/>
  <c r="J36" i="22"/>
  <c r="N36" i="22"/>
  <c r="F43" i="22"/>
  <c r="F44" i="22"/>
  <c r="H48" i="22"/>
  <c r="F42" i="22"/>
  <c r="I36" i="22"/>
  <c r="D36" i="22"/>
  <c r="H31" i="22"/>
  <c r="F30" i="22"/>
  <c r="J30" i="22"/>
  <c r="N30" i="22"/>
  <c r="O9" i="22"/>
  <c r="E49" i="22"/>
  <c r="I31" i="22"/>
  <c r="K36" i="22"/>
  <c r="C30" i="22"/>
  <c r="L36" i="22"/>
  <c r="L30" i="22"/>
  <c r="O15" i="22"/>
  <c r="D50" i="22"/>
  <c r="J32" i="22"/>
  <c r="N32" i="22"/>
  <c r="F32" i="22"/>
  <c r="L48" i="22"/>
  <c r="M36" i="22"/>
  <c r="E36" i="22"/>
  <c r="I44" i="22"/>
  <c r="I30" i="22"/>
  <c r="G50" i="22"/>
  <c r="C49" i="22"/>
  <c r="D38" i="22"/>
  <c r="H38" i="22"/>
  <c r="L38" i="22"/>
  <c r="F38" i="22"/>
  <c r="J38" i="22"/>
  <c r="N38" i="22"/>
  <c r="M32" i="22"/>
  <c r="C36" i="22"/>
  <c r="F31" i="22"/>
  <c r="J31" i="22"/>
  <c r="N31" i="22"/>
  <c r="H49" i="22"/>
  <c r="M49" i="22"/>
  <c r="M31" i="22"/>
  <c r="G36" i="22"/>
  <c r="C31" i="22"/>
  <c r="H36" i="22"/>
  <c r="H30" i="22"/>
  <c r="L31" i="22"/>
  <c r="F37" i="22"/>
  <c r="J37" i="22"/>
  <c r="N37" i="22"/>
  <c r="D49" i="22"/>
  <c r="I32" i="22"/>
  <c r="E32" i="22"/>
  <c r="F9" i="16"/>
  <c r="F10" i="16" s="1"/>
  <c r="C9" i="14" a="1"/>
  <c r="I14" i="14" s="1"/>
  <c r="C7" i="14"/>
  <c r="N18" i="22" l="1"/>
  <c r="F20" i="22"/>
  <c r="F19" i="22"/>
  <c r="J20" i="22"/>
  <c r="F18" i="22"/>
  <c r="J19" i="22"/>
  <c r="N20" i="22"/>
  <c r="J18" i="22"/>
  <c r="N19" i="22"/>
  <c r="M20" i="22"/>
  <c r="I18" i="22"/>
  <c r="L20" i="22"/>
  <c r="H19" i="22"/>
  <c r="D18" i="22"/>
  <c r="C20" i="22"/>
  <c r="K18" i="22"/>
  <c r="G18" i="22"/>
  <c r="G19" i="22"/>
  <c r="E18" i="22"/>
  <c r="M18" i="22"/>
  <c r="E19" i="22"/>
  <c r="L19" i="22"/>
  <c r="H18" i="22"/>
  <c r="G20" i="22"/>
  <c r="C19" i="22"/>
  <c r="E20" i="22"/>
  <c r="I20" i="22"/>
  <c r="H20" i="22"/>
  <c r="D19" i="22"/>
  <c r="K19" i="22"/>
  <c r="I19" i="22"/>
  <c r="M19" i="22"/>
  <c r="D20" i="22"/>
  <c r="L18" i="22"/>
  <c r="K20" i="22"/>
  <c r="C18" i="22"/>
  <c r="D26" i="22"/>
  <c r="H26" i="22"/>
  <c r="L26" i="22"/>
  <c r="F24" i="22"/>
  <c r="J25" i="22"/>
  <c r="N26" i="22"/>
  <c r="F25" i="22"/>
  <c r="J24" i="22"/>
  <c r="N25" i="22"/>
  <c r="N24" i="22"/>
  <c r="F26" i="22"/>
  <c r="J26" i="22"/>
  <c r="E24" i="22"/>
  <c r="M24" i="22"/>
  <c r="I25" i="22"/>
  <c r="D25" i="22"/>
  <c r="K26" i="22"/>
  <c r="G25" i="22"/>
  <c r="C24" i="22"/>
  <c r="G26" i="22"/>
  <c r="I24" i="22"/>
  <c r="E25" i="22"/>
  <c r="M25" i="22"/>
  <c r="H25" i="22"/>
  <c r="D24" i="22"/>
  <c r="K25" i="22"/>
  <c r="G24" i="22"/>
  <c r="L24" i="22"/>
  <c r="C25" i="22"/>
  <c r="E26" i="22"/>
  <c r="M26" i="22"/>
  <c r="I26" i="22"/>
  <c r="L25" i="22"/>
  <c r="H24" i="22"/>
  <c r="C26" i="22"/>
  <c r="K24" i="22"/>
  <c r="C9" i="14"/>
  <c r="G11" i="14"/>
  <c r="H12" i="14"/>
  <c r="I13" i="14"/>
  <c r="D9" i="14"/>
  <c r="H11" i="14"/>
  <c r="I12" i="14"/>
  <c r="C14" i="14"/>
  <c r="E9" i="14"/>
  <c r="D10" i="14"/>
  <c r="D8" i="14" s="1"/>
  <c r="H10" i="14"/>
  <c r="H8" i="14" s="1"/>
  <c r="I11" i="14"/>
  <c r="C13" i="14"/>
  <c r="D14" i="14"/>
  <c r="F9" i="14"/>
  <c r="E10" i="14"/>
  <c r="E8" i="14" s="1"/>
  <c r="I10" i="14"/>
  <c r="I8" i="14" s="1"/>
  <c r="C12" i="14"/>
  <c r="D13" i="14"/>
  <c r="E14" i="14"/>
  <c r="G9" i="14"/>
  <c r="C11" i="14"/>
  <c r="D12" i="14"/>
  <c r="E13" i="14"/>
  <c r="F14" i="14"/>
  <c r="H9" i="14"/>
  <c r="D11" i="14"/>
  <c r="E12" i="14"/>
  <c r="F13" i="14"/>
  <c r="G14" i="14"/>
  <c r="I9" i="14"/>
  <c r="F10" i="14"/>
  <c r="F8" i="14" s="1"/>
  <c r="E11" i="14"/>
  <c r="F12" i="14"/>
  <c r="G13" i="14"/>
  <c r="H14" i="14"/>
  <c r="C10" i="14"/>
  <c r="G10" i="14"/>
  <c r="G8" i="14" s="1"/>
  <c r="F11" i="14"/>
  <c r="G12" i="14"/>
  <c r="H13" i="14"/>
  <c r="J14" i="14" l="1"/>
  <c r="J11" i="14"/>
  <c r="J12" i="14"/>
  <c r="J10" i="14"/>
  <c r="C8" i="14"/>
  <c r="J13" i="14"/>
  <c r="J9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Divisão de Controle de Licenças</author>
  </authors>
  <commentList>
    <comment ref="A1" authorId="0" shapeId="0" xr:uid="{00000000-0006-0000-0000-000001000000}">
      <text>
        <r>
          <rPr>
            <b/>
            <sz val="8"/>
            <color indexed="81"/>
            <rFont val="Segoe UI"/>
            <family val="2"/>
          </rPr>
          <t xml:space="preserve">Converter Coluna de texto para numero:
</t>
        </r>
        <r>
          <rPr>
            <sz val="8"/>
            <color indexed="81"/>
            <rFont val="Segoe UI"/>
            <family val="2"/>
          </rPr>
          <t>Selecionar coluna guia de dados-texto para colunas - avançar tudo e concluir sem alterar nada.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2015" type="103" refreshedVersion="6" minRefreshableVersion="5">
    <extLst>
      <ext xmlns:x15="http://schemas.microsoft.com/office/spreadsheetml/2010/11/main" uri="{DE250136-89BD-433C-8126-D09CA5730AF9}">
        <x15:connection id="2015" autoDelete="1">
          <x15:textPr sourceFile="X:\Sábado\Paulista36\Instrutor\Heliandro-DashBoard\2-Obter Dados\Treinamentos\2018-3º.csv" decimal="," thousands="." tab="0" semicolon="1">
            <textFields count="9">
              <textField type="text"/>
              <textField/>
              <textField/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  <connection id="2" xr16:uid="{00000000-0015-0000-FFFF-FFFF01000000}" keepAlive="1" name="ModelConnection_2015" description="Modelo de Dados" type="5" refreshedVersion="6" minRefreshableVersion="5" saveData="1">
    <dbPr connection="Data Model Connection" command="2015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<sst xmlns="http://schemas.openxmlformats.org/spreadsheetml/2006/main" count="26186" uniqueCount="918">
  <si>
    <t>Turma</t>
  </si>
  <si>
    <t>Vendedor</t>
  </si>
  <si>
    <t>Treinamento</t>
  </si>
  <si>
    <t>Instrutor</t>
  </si>
  <si>
    <t>Período</t>
  </si>
  <si>
    <t>Feedback</t>
  </si>
  <si>
    <t>Alunos</t>
  </si>
  <si>
    <t>Priscila</t>
  </si>
  <si>
    <t>Access 2007</t>
  </si>
  <si>
    <t>Pessoa Física</t>
  </si>
  <si>
    <t>São Paulo</t>
  </si>
  <si>
    <t>Rodrigo</t>
  </si>
  <si>
    <t>Sérgio</t>
  </si>
  <si>
    <t>Rio de Janeiro</t>
  </si>
  <si>
    <t>Renato</t>
  </si>
  <si>
    <t>Excel Básico 2007</t>
  </si>
  <si>
    <t>Sandra</t>
  </si>
  <si>
    <t>Mirian</t>
  </si>
  <si>
    <t>Paulo</t>
  </si>
  <si>
    <t>Adriana</t>
  </si>
  <si>
    <t>Excel VBA iniciante 2007</t>
  </si>
  <si>
    <t>Joaquim</t>
  </si>
  <si>
    <t>Roberto</t>
  </si>
  <si>
    <t>Pessoa Jurídica</t>
  </si>
  <si>
    <t>Rosana</t>
  </si>
  <si>
    <t>Word VBA 2007</t>
  </si>
  <si>
    <t>Henrique</t>
  </si>
  <si>
    <t>DashBoard 2007</t>
  </si>
  <si>
    <t>Humberto</t>
  </si>
  <si>
    <t>Katia</t>
  </si>
  <si>
    <t>Excel Avançado 2007</t>
  </si>
  <si>
    <t>José</t>
  </si>
  <si>
    <t>Excel VBA avançado 2007</t>
  </si>
  <si>
    <t>Jane</t>
  </si>
  <si>
    <t>Access VBA 2007</t>
  </si>
  <si>
    <t>Leandro</t>
  </si>
  <si>
    <t>Excel Intermediário 2007</t>
  </si>
  <si>
    <t>Ana</t>
  </si>
  <si>
    <t>Fernando</t>
  </si>
  <si>
    <t>Murilo</t>
  </si>
  <si>
    <t>Outlook VBA 2007</t>
  </si>
  <si>
    <t>Manuel</t>
  </si>
  <si>
    <t>PowerPoint 2007</t>
  </si>
  <si>
    <t>Excels 2007</t>
  </si>
  <si>
    <t>Douglas</t>
  </si>
  <si>
    <t>Vanessa</t>
  </si>
  <si>
    <t>Outlook 2007</t>
  </si>
  <si>
    <t>PowerPoint VBA 2007</t>
  </si>
  <si>
    <t>DashBoard 2010</t>
  </si>
  <si>
    <t>Access 2010</t>
  </si>
  <si>
    <t>Excels 2010</t>
  </si>
  <si>
    <t>Excel Básico 2010</t>
  </si>
  <si>
    <t>Excel Intermediário 2010</t>
  </si>
  <si>
    <t>PowerPoint VBA 2010</t>
  </si>
  <si>
    <t>Excel VBA iniciante 2010</t>
  </si>
  <si>
    <t>Access VBA 2010</t>
  </si>
  <si>
    <t>Outlook VBA 2010</t>
  </si>
  <si>
    <t>PowerPoint 2010</t>
  </si>
  <si>
    <t>Outlook 2010</t>
  </si>
  <si>
    <t>Excel VBA avançado 2010</t>
  </si>
  <si>
    <t>Excel Avançado 2010</t>
  </si>
  <si>
    <t>Word VBA 2010</t>
  </si>
  <si>
    <t>Excel VBA iniciante 2013</t>
  </si>
  <si>
    <t>Excel Intermediário 2013</t>
  </si>
  <si>
    <t>Excel VBA avançado 2013</t>
  </si>
  <si>
    <t>DashBoard 2013</t>
  </si>
  <si>
    <t>PowerPoint 2013</t>
  </si>
  <si>
    <t>Outlook VBA 2013</t>
  </si>
  <si>
    <t>Excel Avançado 2013</t>
  </si>
  <si>
    <t>Excels 2013</t>
  </si>
  <si>
    <t>Access VBA 2013</t>
  </si>
  <si>
    <t>Outlook 2013</t>
  </si>
  <si>
    <t>Excel Básico 2013</t>
  </si>
  <si>
    <t>PowerPoint VBA 2013</t>
  </si>
  <si>
    <t>Word VBA 2013</t>
  </si>
  <si>
    <t>Access 2013</t>
  </si>
  <si>
    <t>Access 2016</t>
  </si>
  <si>
    <t>Excel Básico 2016</t>
  </si>
  <si>
    <t>Excel VBA iniciante 2016</t>
  </si>
  <si>
    <t>Word VBA 2016</t>
  </si>
  <si>
    <t>DashBoard 2016</t>
  </si>
  <si>
    <t>Excel Avançado 2016</t>
  </si>
  <si>
    <t>Excel VBA avançado 2016</t>
  </si>
  <si>
    <t>Access VBA 2016</t>
  </si>
  <si>
    <t>Excel Intermediário 2016</t>
  </si>
  <si>
    <t>Outlook VBA 2016</t>
  </si>
  <si>
    <t>PowerPoint 2016</t>
  </si>
  <si>
    <t>Excels 2016</t>
  </si>
  <si>
    <t>Outlook 2016</t>
  </si>
  <si>
    <t>PowerPoint VBA 2016</t>
  </si>
  <si>
    <t>Ramal</t>
  </si>
  <si>
    <t>Celular</t>
  </si>
  <si>
    <t>Priscila Alcantara</t>
  </si>
  <si>
    <t>Rodrigo Moraes</t>
  </si>
  <si>
    <t>Renato Russo</t>
  </si>
  <si>
    <t>Mirian Alves Dias</t>
  </si>
  <si>
    <t>Adriana Conceição</t>
  </si>
  <si>
    <t>Roberto Almeida Dias</t>
  </si>
  <si>
    <t>Katia Cruz de Liz</t>
  </si>
  <si>
    <t>Murilo Rezende</t>
  </si>
  <si>
    <t>Vanessa Soares Cruz</t>
  </si>
  <si>
    <t>Email</t>
  </si>
  <si>
    <t>Endereço</t>
  </si>
  <si>
    <t>Complemento</t>
  </si>
  <si>
    <t>Cidade</t>
  </si>
  <si>
    <t>CEP</t>
  </si>
  <si>
    <t>Estado</t>
  </si>
  <si>
    <t>R. Canadá, 225</t>
  </si>
  <si>
    <t>21111-222</t>
  </si>
  <si>
    <t>RJ</t>
  </si>
  <si>
    <t>sérgio@empresa.com.br</t>
  </si>
  <si>
    <t>Av. das Nações Unidas, 8.250</t>
  </si>
  <si>
    <t>05666-555</t>
  </si>
  <si>
    <t>SP</t>
  </si>
  <si>
    <t>sandra@empresa.com.br</t>
  </si>
  <si>
    <t>Av. Pão de Açúcar, 2.450</t>
  </si>
  <si>
    <t>25645-777</t>
  </si>
  <si>
    <t>paulo@empresa.com.br</t>
  </si>
  <si>
    <t>Av. das Nações Unidas, 4.500</t>
  </si>
  <si>
    <t>Bloco A - Ap 2</t>
  </si>
  <si>
    <t>05666-999</t>
  </si>
  <si>
    <t>joaquim@empresa.com.br</t>
  </si>
  <si>
    <t>R. dos Colibris, 670</t>
  </si>
  <si>
    <t>04949-999</t>
  </si>
  <si>
    <t>rosana@empresa.com.br</t>
  </si>
  <si>
    <t>R. Eudes Penteado, 345</t>
  </si>
  <si>
    <t>04141-999</t>
  </si>
  <si>
    <t>henrique@empresa.com.br</t>
  </si>
  <si>
    <t>Estrada das Árvores, km 27,5</t>
  </si>
  <si>
    <t>04555-111</t>
  </si>
  <si>
    <t>humberto@empresa.com.br</t>
  </si>
  <si>
    <t>Av. Brasil, 8250</t>
  </si>
  <si>
    <t>21333-888</t>
  </si>
  <si>
    <t>josé@empresa.com.br</t>
  </si>
  <si>
    <t>Av. Caminho da Serra, 2.457</t>
  </si>
  <si>
    <t>Bloco 2 - Ap 34</t>
  </si>
  <si>
    <t>05666-888</t>
  </si>
  <si>
    <t>roberto@empresa.com.br</t>
  </si>
  <si>
    <t>Pça. 25 de Dezembro, 355</t>
  </si>
  <si>
    <t>22000-666</t>
  </si>
  <si>
    <t>jane@empresa.com.br</t>
  </si>
  <si>
    <t>Av Dom Pedro I, 1234</t>
  </si>
  <si>
    <t>09898-000</t>
  </si>
  <si>
    <t>leandro@empresa.com.br</t>
  </si>
  <si>
    <t>Av Leme, 1006</t>
  </si>
  <si>
    <t>21212-222</t>
  </si>
  <si>
    <t>ana@empresa.com.br</t>
  </si>
  <si>
    <t>Av Marechal Deodoro, 987</t>
  </si>
  <si>
    <t>Bloco 2 - Ap 1</t>
  </si>
  <si>
    <t>São Bernardo do Campo</t>
  </si>
  <si>
    <t>80980-988</t>
  </si>
  <si>
    <t>fernando@empresa.com.br</t>
  </si>
  <si>
    <t>Av Fagundes de Oliveira, 3874</t>
  </si>
  <si>
    <t>Diadema</t>
  </si>
  <si>
    <t>98798-876</t>
  </si>
  <si>
    <t>manuel@empresa.com.br</t>
  </si>
  <si>
    <t>Av Lucas Nogueira Garcês, 343</t>
  </si>
  <si>
    <t>07879-786</t>
  </si>
  <si>
    <t>douglas@empresa.com.br</t>
  </si>
  <si>
    <t>Av das Nações, 345</t>
  </si>
  <si>
    <t>09980-000</t>
  </si>
  <si>
    <t>Valor</t>
  </si>
  <si>
    <t>Horas</t>
  </si>
  <si>
    <t>Total</t>
  </si>
  <si>
    <t>Calendário</t>
  </si>
  <si>
    <t>Nome</t>
  </si>
  <si>
    <t>Gestor</t>
  </si>
  <si>
    <t>Módulo</t>
  </si>
  <si>
    <t>Word</t>
  </si>
  <si>
    <t>PowerPoint</t>
  </si>
  <si>
    <t>Outlook</t>
  </si>
  <si>
    <t>Excels</t>
  </si>
  <si>
    <t>Excel</t>
  </si>
  <si>
    <t>DashBoard</t>
  </si>
  <si>
    <t>Access</t>
  </si>
  <si>
    <t>Marcelo Leal</t>
  </si>
  <si>
    <t>Janny Costa</t>
  </si>
  <si>
    <t>Alexandra Conceição</t>
  </si>
  <si>
    <t>claudio@empresa.com.br</t>
  </si>
  <si>
    <t>Ativo</t>
  </si>
  <si>
    <t>Inativo</t>
  </si>
  <si>
    <t>Mês</t>
  </si>
  <si>
    <t>Ano</t>
  </si>
  <si>
    <t>Data Início</t>
  </si>
  <si>
    <t>Data Término</t>
  </si>
  <si>
    <t>Cliente</t>
  </si>
  <si>
    <t>5</t>
  </si>
  <si>
    <t>3</t>
  </si>
  <si>
    <t>2</t>
  </si>
  <si>
    <t>4</t>
  </si>
  <si>
    <t>Caio</t>
  </si>
  <si>
    <t>-</t>
  </si>
  <si>
    <t>4773</t>
  </si>
  <si>
    <t>4774</t>
  </si>
  <si>
    <t>4775</t>
  </si>
  <si>
    <t>4776</t>
  </si>
  <si>
    <t>4777</t>
  </si>
  <si>
    <t>4778</t>
  </si>
  <si>
    <t>4779</t>
  </si>
  <si>
    <t>4780</t>
  </si>
  <si>
    <t>4781</t>
  </si>
  <si>
    <t>4782</t>
  </si>
  <si>
    <t>4783</t>
  </si>
  <si>
    <t>4784</t>
  </si>
  <si>
    <t>4785</t>
  </si>
  <si>
    <t>4786</t>
  </si>
  <si>
    <t>4787</t>
  </si>
  <si>
    <t>4788</t>
  </si>
  <si>
    <t>4789</t>
  </si>
  <si>
    <t>4790</t>
  </si>
  <si>
    <t>4791</t>
  </si>
  <si>
    <t>4792</t>
  </si>
  <si>
    <t>4793</t>
  </si>
  <si>
    <t>4794</t>
  </si>
  <si>
    <t>4795</t>
  </si>
  <si>
    <t>4796</t>
  </si>
  <si>
    <t>4797</t>
  </si>
  <si>
    <t>4798</t>
  </si>
  <si>
    <t>4799</t>
  </si>
  <si>
    <t>4800</t>
  </si>
  <si>
    <t>4801</t>
  </si>
  <si>
    <t>4802</t>
  </si>
  <si>
    <t>4803</t>
  </si>
  <si>
    <t>4804</t>
  </si>
  <si>
    <t>4805</t>
  </si>
  <si>
    <t>4806</t>
  </si>
  <si>
    <t>4807</t>
  </si>
  <si>
    <t>4808</t>
  </si>
  <si>
    <t>4809</t>
  </si>
  <si>
    <t>4810</t>
  </si>
  <si>
    <t>4811</t>
  </si>
  <si>
    <t>4812</t>
  </si>
  <si>
    <t>4813</t>
  </si>
  <si>
    <t>4814</t>
  </si>
  <si>
    <t>4815</t>
  </si>
  <si>
    <t>4816</t>
  </si>
  <si>
    <t>4817</t>
  </si>
  <si>
    <t>4818</t>
  </si>
  <si>
    <t>4819</t>
  </si>
  <si>
    <t>4820</t>
  </si>
  <si>
    <t>4821</t>
  </si>
  <si>
    <t>4822</t>
  </si>
  <si>
    <t>4823</t>
  </si>
  <si>
    <t>4824</t>
  </si>
  <si>
    <t>4825</t>
  </si>
  <si>
    <t>4826</t>
  </si>
  <si>
    <t>4827</t>
  </si>
  <si>
    <t>4828</t>
  </si>
  <si>
    <t>4829</t>
  </si>
  <si>
    <t>4830</t>
  </si>
  <si>
    <t>4831</t>
  </si>
  <si>
    <t>4832</t>
  </si>
  <si>
    <t>4833</t>
  </si>
  <si>
    <t>4834</t>
  </si>
  <si>
    <t>4835</t>
  </si>
  <si>
    <t>4836</t>
  </si>
  <si>
    <t>4837</t>
  </si>
  <si>
    <t>4838</t>
  </si>
  <si>
    <t>4839</t>
  </si>
  <si>
    <t>4840</t>
  </si>
  <si>
    <t>4841</t>
  </si>
  <si>
    <t>4842</t>
  </si>
  <si>
    <t>4843</t>
  </si>
  <si>
    <t>4844</t>
  </si>
  <si>
    <t>4845</t>
  </si>
  <si>
    <t>4846</t>
  </si>
  <si>
    <t>4847</t>
  </si>
  <si>
    <t>4848</t>
  </si>
  <si>
    <t>4849</t>
  </si>
  <si>
    <t>4850</t>
  </si>
  <si>
    <t>4851</t>
  </si>
  <si>
    <t>4852</t>
  </si>
  <si>
    <t>4853</t>
  </si>
  <si>
    <t>4854</t>
  </si>
  <si>
    <t>4855</t>
  </si>
  <si>
    <t>4856</t>
  </si>
  <si>
    <t>4857</t>
  </si>
  <si>
    <t>4858</t>
  </si>
  <si>
    <t>4859</t>
  </si>
  <si>
    <t>4860</t>
  </si>
  <si>
    <t>4861</t>
  </si>
  <si>
    <t>4862</t>
  </si>
  <si>
    <t>4863</t>
  </si>
  <si>
    <t>4864</t>
  </si>
  <si>
    <t>4865</t>
  </si>
  <si>
    <t>4866</t>
  </si>
  <si>
    <t>4867</t>
  </si>
  <si>
    <t>4868</t>
  </si>
  <si>
    <t>4869</t>
  </si>
  <si>
    <t>4870</t>
  </si>
  <si>
    <t>4871</t>
  </si>
  <si>
    <t>4872</t>
  </si>
  <si>
    <t>4873</t>
  </si>
  <si>
    <t>4874</t>
  </si>
  <si>
    <t>4875</t>
  </si>
  <si>
    <t>4876</t>
  </si>
  <si>
    <t>4877</t>
  </si>
  <si>
    <t>4878</t>
  </si>
  <si>
    <t>4879</t>
  </si>
  <si>
    <t>4880</t>
  </si>
  <si>
    <t>4881</t>
  </si>
  <si>
    <t>4882</t>
  </si>
  <si>
    <t>4883</t>
  </si>
  <si>
    <t>4884</t>
  </si>
  <si>
    <t>4885</t>
  </si>
  <si>
    <t>4886</t>
  </si>
  <si>
    <t>4887</t>
  </si>
  <si>
    <t>4888</t>
  </si>
  <si>
    <t>4889</t>
  </si>
  <si>
    <t>4890</t>
  </si>
  <si>
    <t>4891</t>
  </si>
  <si>
    <t>4892</t>
  </si>
  <si>
    <t>4893</t>
  </si>
  <si>
    <t>4894</t>
  </si>
  <si>
    <t>4895</t>
  </si>
  <si>
    <t>4896</t>
  </si>
  <si>
    <t>4897</t>
  </si>
  <si>
    <t>4898</t>
  </si>
  <si>
    <t>4899</t>
  </si>
  <si>
    <t>4900</t>
  </si>
  <si>
    <t>4901</t>
  </si>
  <si>
    <t>4902</t>
  </si>
  <si>
    <t>4903</t>
  </si>
  <si>
    <t>4904</t>
  </si>
  <si>
    <t>4905</t>
  </si>
  <si>
    <t>4906</t>
  </si>
  <si>
    <t>4907</t>
  </si>
  <si>
    <t>4908</t>
  </si>
  <si>
    <t>4909</t>
  </si>
  <si>
    <t>4910</t>
  </si>
  <si>
    <t>4911</t>
  </si>
  <si>
    <t>4912</t>
  </si>
  <si>
    <t>4913</t>
  </si>
  <si>
    <t>4914</t>
  </si>
  <si>
    <t>4915</t>
  </si>
  <si>
    <t>4916</t>
  </si>
  <si>
    <t>4917</t>
  </si>
  <si>
    <t>4918</t>
  </si>
  <si>
    <t>4919</t>
  </si>
  <si>
    <t>4920</t>
  </si>
  <si>
    <t>4921</t>
  </si>
  <si>
    <t>4922</t>
  </si>
  <si>
    <t>4923</t>
  </si>
  <si>
    <t>4924</t>
  </si>
  <si>
    <t>4925</t>
  </si>
  <si>
    <t>4926</t>
  </si>
  <si>
    <t>4927</t>
  </si>
  <si>
    <t>4928</t>
  </si>
  <si>
    <t>4929</t>
  </si>
  <si>
    <t>4930</t>
  </si>
  <si>
    <t>4931</t>
  </si>
  <si>
    <t>4932</t>
  </si>
  <si>
    <t>4933</t>
  </si>
  <si>
    <t>4934</t>
  </si>
  <si>
    <t>4935</t>
  </si>
  <si>
    <t>4936</t>
  </si>
  <si>
    <t>4937</t>
  </si>
  <si>
    <t>4938</t>
  </si>
  <si>
    <t>4939</t>
  </si>
  <si>
    <t>4940</t>
  </si>
  <si>
    <t>4941</t>
  </si>
  <si>
    <t>4942</t>
  </si>
  <si>
    <t>4943</t>
  </si>
  <si>
    <t>4944</t>
  </si>
  <si>
    <t>4945</t>
  </si>
  <si>
    <t>4946</t>
  </si>
  <si>
    <t>4947</t>
  </si>
  <si>
    <t>4948</t>
  </si>
  <si>
    <t>4949</t>
  </si>
  <si>
    <t>4950</t>
  </si>
  <si>
    <t>4951</t>
  </si>
  <si>
    <t>4952</t>
  </si>
  <si>
    <t>4953</t>
  </si>
  <si>
    <t>4954</t>
  </si>
  <si>
    <t>4955</t>
  </si>
  <si>
    <t>4956</t>
  </si>
  <si>
    <t>4957</t>
  </si>
  <si>
    <t>4958</t>
  </si>
  <si>
    <t>4959</t>
  </si>
  <si>
    <t>4960</t>
  </si>
  <si>
    <t>4961</t>
  </si>
  <si>
    <t>4962</t>
  </si>
  <si>
    <t>4963</t>
  </si>
  <si>
    <t>4964</t>
  </si>
  <si>
    <t>4965</t>
  </si>
  <si>
    <t>4966</t>
  </si>
  <si>
    <t>4967</t>
  </si>
  <si>
    <t>4968</t>
  </si>
  <si>
    <t>4969</t>
  </si>
  <si>
    <t>4970</t>
  </si>
  <si>
    <t>4971</t>
  </si>
  <si>
    <t>4972</t>
  </si>
  <si>
    <t>4973</t>
  </si>
  <si>
    <t>4974</t>
  </si>
  <si>
    <t>4975</t>
  </si>
  <si>
    <t>4976</t>
  </si>
  <si>
    <t>4977</t>
  </si>
  <si>
    <t>4978</t>
  </si>
  <si>
    <t>4979</t>
  </si>
  <si>
    <t>4980</t>
  </si>
  <si>
    <t>4981</t>
  </si>
  <si>
    <t>4982</t>
  </si>
  <si>
    <t>4983</t>
  </si>
  <si>
    <t>4984</t>
  </si>
  <si>
    <t>4985</t>
  </si>
  <si>
    <t>4986</t>
  </si>
  <si>
    <t>4987</t>
  </si>
  <si>
    <t>4988</t>
  </si>
  <si>
    <t>4989</t>
  </si>
  <si>
    <t>4990</t>
  </si>
  <si>
    <t>4991</t>
  </si>
  <si>
    <t>4992</t>
  </si>
  <si>
    <t>4993</t>
  </si>
  <si>
    <t>4994</t>
  </si>
  <si>
    <t>4995</t>
  </si>
  <si>
    <t>4996</t>
  </si>
  <si>
    <t>4997</t>
  </si>
  <si>
    <t>4998</t>
  </si>
  <si>
    <t>4999</t>
  </si>
  <si>
    <t>5000</t>
  </si>
  <si>
    <t>5001</t>
  </si>
  <si>
    <t>5002</t>
  </si>
  <si>
    <t>5003</t>
  </si>
  <si>
    <t>5004</t>
  </si>
  <si>
    <t>5005</t>
  </si>
  <si>
    <t>5006</t>
  </si>
  <si>
    <t>5007</t>
  </si>
  <si>
    <t>5008</t>
  </si>
  <si>
    <t>5009</t>
  </si>
  <si>
    <t>5010</t>
  </si>
  <si>
    <t>5011</t>
  </si>
  <si>
    <t>5012</t>
  </si>
  <si>
    <t>5013</t>
  </si>
  <si>
    <t>5014</t>
  </si>
  <si>
    <t>5015</t>
  </si>
  <si>
    <t>5016</t>
  </si>
  <si>
    <t>5017</t>
  </si>
  <si>
    <t>5018</t>
  </si>
  <si>
    <t>5019</t>
  </si>
  <si>
    <t>5020</t>
  </si>
  <si>
    <t>5021</t>
  </si>
  <si>
    <t>5022</t>
  </si>
  <si>
    <t>5023</t>
  </si>
  <si>
    <t>5024</t>
  </si>
  <si>
    <t>5025</t>
  </si>
  <si>
    <t>5026</t>
  </si>
  <si>
    <t>5027</t>
  </si>
  <si>
    <t>5028</t>
  </si>
  <si>
    <t>5029</t>
  </si>
  <si>
    <t>5030</t>
  </si>
  <si>
    <t>5031</t>
  </si>
  <si>
    <t>5032</t>
  </si>
  <si>
    <t>5033</t>
  </si>
  <si>
    <t>5034</t>
  </si>
  <si>
    <t>5035</t>
  </si>
  <si>
    <t>5036</t>
  </si>
  <si>
    <t>5037</t>
  </si>
  <si>
    <t>5038</t>
  </si>
  <si>
    <t>5039</t>
  </si>
  <si>
    <t>5040</t>
  </si>
  <si>
    <t>5041</t>
  </si>
  <si>
    <t>5042</t>
  </si>
  <si>
    <t>5043</t>
  </si>
  <si>
    <t>5044</t>
  </si>
  <si>
    <t>5045</t>
  </si>
  <si>
    <t>5046</t>
  </si>
  <si>
    <t>5047</t>
  </si>
  <si>
    <t>5048</t>
  </si>
  <si>
    <t>5049</t>
  </si>
  <si>
    <t>5050</t>
  </si>
  <si>
    <t>5051</t>
  </si>
  <si>
    <t>5052</t>
  </si>
  <si>
    <t>5053</t>
  </si>
  <si>
    <t>5054</t>
  </si>
  <si>
    <t>5055</t>
  </si>
  <si>
    <t>5056</t>
  </si>
  <si>
    <t>5057</t>
  </si>
  <si>
    <t>5058</t>
  </si>
  <si>
    <t>5059</t>
  </si>
  <si>
    <t>5060</t>
  </si>
  <si>
    <t>5061</t>
  </si>
  <si>
    <t>5062</t>
  </si>
  <si>
    <t>5063</t>
  </si>
  <si>
    <t>5064</t>
  </si>
  <si>
    <t>5065</t>
  </si>
  <si>
    <t>5066</t>
  </si>
  <si>
    <t>5067</t>
  </si>
  <si>
    <t>5068</t>
  </si>
  <si>
    <t>5069</t>
  </si>
  <si>
    <t>5070</t>
  </si>
  <si>
    <t>5071</t>
  </si>
  <si>
    <t>5072</t>
  </si>
  <si>
    <t>5073</t>
  </si>
  <si>
    <t>5074</t>
  </si>
  <si>
    <t>5075</t>
  </si>
  <si>
    <t>5076</t>
  </si>
  <si>
    <t>5077</t>
  </si>
  <si>
    <t>5078</t>
  </si>
  <si>
    <t>5079</t>
  </si>
  <si>
    <t>5080</t>
  </si>
  <si>
    <t>5081</t>
  </si>
  <si>
    <t>5082</t>
  </si>
  <si>
    <t>5083</t>
  </si>
  <si>
    <t>5084</t>
  </si>
  <si>
    <t>5085</t>
  </si>
  <si>
    <t>5086</t>
  </si>
  <si>
    <t>5087</t>
  </si>
  <si>
    <t>5088</t>
  </si>
  <si>
    <t>5089</t>
  </si>
  <si>
    <t>5090</t>
  </si>
  <si>
    <t>5091</t>
  </si>
  <si>
    <t>5092</t>
  </si>
  <si>
    <t>5093</t>
  </si>
  <si>
    <t>5094</t>
  </si>
  <si>
    <t>5095</t>
  </si>
  <si>
    <t>5096</t>
  </si>
  <si>
    <t>5097</t>
  </si>
  <si>
    <t>Versão</t>
  </si>
  <si>
    <t>Início</t>
  </si>
  <si>
    <t>Término</t>
  </si>
  <si>
    <t>Hora Início</t>
  </si>
  <si>
    <t>Hora Término</t>
  </si>
  <si>
    <t>08:00</t>
  </si>
  <si>
    <t>jan</t>
  </si>
  <si>
    <t>2016</t>
  </si>
  <si>
    <t>09:00</t>
  </si>
  <si>
    <t>19:00</t>
  </si>
  <si>
    <t>14:00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</si>
  <si>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</si>
  <si>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</si>
  <si>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</si>
  <si>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</si>
  <si>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</si>
  <si>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</si>
  <si>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</si>
  <si>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</si>
  <si>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</si>
  <si>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</si>
  <si>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</si>
  <si>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Manhã</t>
  </si>
  <si>
    <t>Integral</t>
  </si>
  <si>
    <t>Noite</t>
  </si>
  <si>
    <t>Tarde</t>
  </si>
  <si>
    <t>2017</t>
  </si>
  <si>
    <t>Passos</t>
  </si>
  <si>
    <t>Planilha Painel</t>
  </si>
  <si>
    <t>A2</t>
  </si>
  <si>
    <t>Selecionar tudo = Ctrl + T</t>
  </si>
  <si>
    <t>Copiar (Ctrl + C)</t>
  </si>
  <si>
    <t>Planilha historico</t>
  </si>
  <si>
    <t>Ctrl + ↓</t>
  </si>
  <si>
    <t>Colar Somente Valores</t>
  </si>
  <si>
    <t>Voltar para Painel</t>
  </si>
  <si>
    <t>5098</t>
  </si>
  <si>
    <t>5099</t>
  </si>
  <si>
    <t>5100</t>
  </si>
  <si>
    <t>5101</t>
  </si>
  <si>
    <t>5102</t>
  </si>
  <si>
    <t>5103</t>
  </si>
  <si>
    <t>5104</t>
  </si>
  <si>
    <t>5105</t>
  </si>
  <si>
    <t>5106</t>
  </si>
  <si>
    <t>5107</t>
  </si>
  <si>
    <t>5108</t>
  </si>
  <si>
    <t>5109</t>
  </si>
  <si>
    <t>5110</t>
  </si>
  <si>
    <t>5111</t>
  </si>
  <si>
    <t>5112</t>
  </si>
  <si>
    <t>5113</t>
  </si>
  <si>
    <t>5114</t>
  </si>
  <si>
    <t>5115</t>
  </si>
  <si>
    <t>5116</t>
  </si>
  <si>
    <t>5117</t>
  </si>
  <si>
    <t>5118</t>
  </si>
  <si>
    <t>5119</t>
  </si>
  <si>
    <t>5120</t>
  </si>
  <si>
    <t>5121</t>
  </si>
  <si>
    <t>5122</t>
  </si>
  <si>
    <t>5123</t>
  </si>
  <si>
    <t>5124</t>
  </si>
  <si>
    <t>5125</t>
  </si>
  <si>
    <t>5126</t>
  </si>
  <si>
    <t>5127</t>
  </si>
  <si>
    <t>5128</t>
  </si>
  <si>
    <t>5129</t>
  </si>
  <si>
    <t>5130</t>
  </si>
  <si>
    <t>5131</t>
  </si>
  <si>
    <t>5132</t>
  </si>
  <si>
    <t>5133</t>
  </si>
  <si>
    <t>5134</t>
  </si>
  <si>
    <t>5135</t>
  </si>
  <si>
    <t>5136</t>
  </si>
  <si>
    <t>5137</t>
  </si>
  <si>
    <t>5138</t>
  </si>
  <si>
    <t>5139</t>
  </si>
  <si>
    <t>5140</t>
  </si>
  <si>
    <t>5141</t>
  </si>
  <si>
    <t>5142</t>
  </si>
  <si>
    <t>5143</t>
  </si>
  <si>
    <t>5144</t>
  </si>
  <si>
    <t>5145</t>
  </si>
  <si>
    <t>5146</t>
  </si>
  <si>
    <t>5147</t>
  </si>
  <si>
    <t>5148</t>
  </si>
  <si>
    <t>5149</t>
  </si>
  <si>
    <t>5150</t>
  </si>
  <si>
    <t>5151</t>
  </si>
  <si>
    <t>5152</t>
  </si>
  <si>
    <t>5153</t>
  </si>
  <si>
    <t>5154</t>
  </si>
  <si>
    <t>5155</t>
  </si>
  <si>
    <t>5156</t>
  </si>
  <si>
    <t>5157</t>
  </si>
  <si>
    <t>5158</t>
  </si>
  <si>
    <t>5159</t>
  </si>
  <si>
    <t>5160</t>
  </si>
  <si>
    <t>5161</t>
  </si>
  <si>
    <t>5162</t>
  </si>
  <si>
    <t>5163</t>
  </si>
  <si>
    <t>5164</t>
  </si>
  <si>
    <t>5165</t>
  </si>
  <si>
    <t>5166</t>
  </si>
  <si>
    <t>5167</t>
  </si>
  <si>
    <t>5168</t>
  </si>
  <si>
    <t>5169</t>
  </si>
  <si>
    <t>5170</t>
  </si>
  <si>
    <t>5171</t>
  </si>
  <si>
    <t>5172</t>
  </si>
  <si>
    <t>5173</t>
  </si>
  <si>
    <t>5174</t>
  </si>
  <si>
    <t>5175</t>
  </si>
  <si>
    <t>5176</t>
  </si>
  <si>
    <t>5177</t>
  </si>
  <si>
    <t>5178</t>
  </si>
  <si>
    <t>5179</t>
  </si>
  <si>
    <t>5180</t>
  </si>
  <si>
    <t>5181</t>
  </si>
  <si>
    <t>5182</t>
  </si>
  <si>
    <t>5183</t>
  </si>
  <si>
    <t>5184</t>
  </si>
  <si>
    <t>5185</t>
  </si>
  <si>
    <t>5186</t>
  </si>
  <si>
    <t>5187</t>
  </si>
  <si>
    <t>5188</t>
  </si>
  <si>
    <t>5189</t>
  </si>
  <si>
    <t>5190</t>
  </si>
  <si>
    <t>5191</t>
  </si>
  <si>
    <t>5192</t>
  </si>
  <si>
    <t>5193</t>
  </si>
  <si>
    <t>5194</t>
  </si>
  <si>
    <t>5195</t>
  </si>
  <si>
    <t>5196</t>
  </si>
  <si>
    <t>5197</t>
  </si>
  <si>
    <t>5198</t>
  </si>
  <si>
    <t>5199</t>
  </si>
  <si>
    <t>5200</t>
  </si>
  <si>
    <t>5201</t>
  </si>
  <si>
    <t>5202</t>
  </si>
  <si>
    <t>5203</t>
  </si>
  <si>
    <t>5204</t>
  </si>
  <si>
    <t>5205</t>
  </si>
  <si>
    <t>5206</t>
  </si>
  <si>
    <t>5207</t>
  </si>
  <si>
    <t>5208</t>
  </si>
  <si>
    <t>5209</t>
  </si>
  <si>
    <t>5210</t>
  </si>
  <si>
    <t>5211</t>
  </si>
  <si>
    <t>5212</t>
  </si>
  <si>
    <t>5213</t>
  </si>
  <si>
    <t>2018</t>
  </si>
  <si>
    <t>5214</t>
  </si>
  <si>
    <t>5215</t>
  </si>
  <si>
    <t>5216</t>
  </si>
  <si>
    <t>5217</t>
  </si>
  <si>
    <t>5218</t>
  </si>
  <si>
    <t>5219</t>
  </si>
  <si>
    <t>5220</t>
  </si>
  <si>
    <t>5221</t>
  </si>
  <si>
    <t>5222</t>
  </si>
  <si>
    <t>5223</t>
  </si>
  <si>
    <t>5224</t>
  </si>
  <si>
    <t>5225</t>
  </si>
  <si>
    <t>5226</t>
  </si>
  <si>
    <t>5227</t>
  </si>
  <si>
    <t>5228</t>
  </si>
  <si>
    <t>5229</t>
  </si>
  <si>
    <t>5230</t>
  </si>
  <si>
    <t>5231</t>
  </si>
  <si>
    <t>5232</t>
  </si>
  <si>
    <t>5233</t>
  </si>
  <si>
    <t>5234</t>
  </si>
  <si>
    <t>5235</t>
  </si>
  <si>
    <t>5236</t>
  </si>
  <si>
    <t>5237</t>
  </si>
  <si>
    <t>5238</t>
  </si>
  <si>
    <t>5239</t>
  </si>
  <si>
    <t>5240</t>
  </si>
  <si>
    <t>5241</t>
  </si>
  <si>
    <t>5242</t>
  </si>
  <si>
    <t>5243</t>
  </si>
  <si>
    <t>5244</t>
  </si>
  <si>
    <t>5245</t>
  </si>
  <si>
    <t>5246</t>
  </si>
  <si>
    <t>5247</t>
  </si>
  <si>
    <t>5248</t>
  </si>
  <si>
    <t>5249</t>
  </si>
  <si>
    <t>5250</t>
  </si>
  <si>
    <t>5251</t>
  </si>
  <si>
    <t>5252</t>
  </si>
  <si>
    <t>5253</t>
  </si>
  <si>
    <t>5254</t>
  </si>
  <si>
    <t>5255</t>
  </si>
  <si>
    <t>5256</t>
  </si>
  <si>
    <t>5257</t>
  </si>
  <si>
    <t>5258</t>
  </si>
  <si>
    <t>5259</t>
  </si>
  <si>
    <t>5260</t>
  </si>
  <si>
    <t>5261</t>
  </si>
  <si>
    <t>5262</t>
  </si>
  <si>
    <t>5263</t>
  </si>
  <si>
    <t>5264</t>
  </si>
  <si>
    <t>5265</t>
  </si>
  <si>
    <t>5266</t>
  </si>
  <si>
    <t>5267</t>
  </si>
  <si>
    <t>5268</t>
  </si>
  <si>
    <t>5269</t>
  </si>
  <si>
    <t>5270</t>
  </si>
  <si>
    <t>5271</t>
  </si>
  <si>
    <t>5272</t>
  </si>
  <si>
    <t>5273</t>
  </si>
  <si>
    <t>5274</t>
  </si>
  <si>
    <t>5275</t>
  </si>
  <si>
    <t>5276</t>
  </si>
  <si>
    <t>5277</t>
  </si>
  <si>
    <t>5278</t>
  </si>
  <si>
    <t>5279</t>
  </si>
  <si>
    <t>5280</t>
  </si>
  <si>
    <t>5281</t>
  </si>
  <si>
    <t>5282</t>
  </si>
  <si>
    <t>5283</t>
  </si>
  <si>
    <t>5284</t>
  </si>
  <si>
    <t>5285</t>
  </si>
  <si>
    <t>5286</t>
  </si>
  <si>
    <t>5287</t>
  </si>
  <si>
    <t>5288</t>
  </si>
  <si>
    <t>5289</t>
  </si>
  <si>
    <t>5290</t>
  </si>
  <si>
    <t>5291</t>
  </si>
  <si>
    <t>5292</t>
  </si>
  <si>
    <t>5293</t>
  </si>
  <si>
    <t>5294</t>
  </si>
  <si>
    <t>5295</t>
  </si>
  <si>
    <t>5296</t>
  </si>
  <si>
    <t>5297</t>
  </si>
  <si>
    <t>5298</t>
  </si>
  <si>
    <t>5299</t>
  </si>
  <si>
    <t>5300</t>
  </si>
  <si>
    <t>5301</t>
  </si>
  <si>
    <t>5302</t>
  </si>
  <si>
    <t>5303</t>
  </si>
  <si>
    <t>5304</t>
  </si>
  <si>
    <t>5305</t>
  </si>
  <si>
    <t>5306</t>
  </si>
  <si>
    <t>5307</t>
  </si>
  <si>
    <t>5308</t>
  </si>
  <si>
    <t>5309</t>
  </si>
  <si>
    <t>5310</t>
  </si>
  <si>
    <t>5311</t>
  </si>
  <si>
    <t>5312</t>
  </si>
  <si>
    <t>5313</t>
  </si>
  <si>
    <t>5314</t>
  </si>
  <si>
    <t>5315</t>
  </si>
  <si>
    <t>5316</t>
  </si>
  <si>
    <t>5317</t>
  </si>
  <si>
    <t>5318</t>
  </si>
  <si>
    <t>5319</t>
  </si>
  <si>
    <t>5320</t>
  </si>
  <si>
    <t>5321</t>
  </si>
  <si>
    <t>5322</t>
  </si>
  <si>
    <t>5323</t>
  </si>
  <si>
    <t>5324</t>
  </si>
  <si>
    <t>5325</t>
  </si>
  <si>
    <t>5326</t>
  </si>
  <si>
    <t>Contagem vendas</t>
  </si>
  <si>
    <t>5327</t>
  </si>
  <si>
    <t>5329</t>
  </si>
  <si>
    <t>5330</t>
  </si>
  <si>
    <t>5331</t>
  </si>
  <si>
    <t>5332</t>
  </si>
  <si>
    <t>5333</t>
  </si>
  <si>
    <t>5334</t>
  </si>
  <si>
    <t>5335</t>
  </si>
  <si>
    <t>5336</t>
  </si>
  <si>
    <t>5337</t>
  </si>
  <si>
    <t>5338</t>
  </si>
  <si>
    <t>5339</t>
  </si>
  <si>
    <t>5340</t>
  </si>
  <si>
    <t>5341</t>
  </si>
  <si>
    <t>5342</t>
  </si>
  <si>
    <t>5343</t>
  </si>
  <si>
    <t>5344</t>
  </si>
  <si>
    <t>5345</t>
  </si>
  <si>
    <t>5346</t>
  </si>
  <si>
    <t>5347</t>
  </si>
  <si>
    <t>5348</t>
  </si>
  <si>
    <t>5349</t>
  </si>
  <si>
    <t>5350</t>
  </si>
  <si>
    <t>5351</t>
  </si>
  <si>
    <t>5352</t>
  </si>
  <si>
    <t>5353</t>
  </si>
  <si>
    <t>5354</t>
  </si>
  <si>
    <t>5355</t>
  </si>
  <si>
    <t>5356</t>
  </si>
  <si>
    <t>5357</t>
  </si>
  <si>
    <t>5358</t>
  </si>
  <si>
    <t>5359</t>
  </si>
  <si>
    <t>5360</t>
  </si>
  <si>
    <t>5361</t>
  </si>
  <si>
    <t>5362</t>
  </si>
  <si>
    <t>5363</t>
  </si>
  <si>
    <t>5364</t>
  </si>
  <si>
    <t>5365</t>
  </si>
  <si>
    <t>5366</t>
  </si>
  <si>
    <t>5367</t>
  </si>
  <si>
    <t>5368</t>
  </si>
  <si>
    <t>5369</t>
  </si>
  <si>
    <t>5370</t>
  </si>
  <si>
    <t>5371</t>
  </si>
  <si>
    <t>5372</t>
  </si>
  <si>
    <t>5373</t>
  </si>
  <si>
    <t>5374</t>
  </si>
  <si>
    <t>5375</t>
  </si>
  <si>
    <t>5376</t>
  </si>
  <si>
    <t>5377</t>
  </si>
  <si>
    <t>5378</t>
  </si>
  <si>
    <t>5379</t>
  </si>
  <si>
    <t>5380</t>
  </si>
  <si>
    <t>5381</t>
  </si>
  <si>
    <t>5382</t>
  </si>
  <si>
    <t>5383</t>
  </si>
  <si>
    <t>5384</t>
  </si>
  <si>
    <t>5385</t>
  </si>
  <si>
    <t>5386</t>
  </si>
  <si>
    <t>5387</t>
  </si>
  <si>
    <t>5388</t>
  </si>
  <si>
    <t>5389</t>
  </si>
  <si>
    <t>5390</t>
  </si>
  <si>
    <t>5391</t>
  </si>
  <si>
    <t>5392</t>
  </si>
  <si>
    <t>5393</t>
  </si>
  <si>
    <t>5394</t>
  </si>
  <si>
    <t>5395</t>
  </si>
  <si>
    <t>5396</t>
  </si>
  <si>
    <t>5397</t>
  </si>
  <si>
    <t>5398</t>
  </si>
  <si>
    <t>5399</t>
  </si>
  <si>
    <t>5400</t>
  </si>
  <si>
    <t>5401</t>
  </si>
  <si>
    <t>5402</t>
  </si>
  <si>
    <t>5403</t>
  </si>
  <si>
    <t>5404</t>
  </si>
  <si>
    <t>5405</t>
  </si>
  <si>
    <t>5406</t>
  </si>
  <si>
    <t>5407</t>
  </si>
  <si>
    <t>5408</t>
  </si>
  <si>
    <t>5409</t>
  </si>
  <si>
    <t>5410</t>
  </si>
  <si>
    <t>5411</t>
  </si>
  <si>
    <t>5412</t>
  </si>
  <si>
    <t>5413</t>
  </si>
  <si>
    <t>5414</t>
  </si>
  <si>
    <t>5415</t>
  </si>
  <si>
    <t>5416</t>
  </si>
  <si>
    <t>5417</t>
  </si>
  <si>
    <t>5418</t>
  </si>
  <si>
    <t>5419</t>
  </si>
  <si>
    <t>Soma das Vendas</t>
  </si>
  <si>
    <t>Total Alunos</t>
  </si>
  <si>
    <t>FeedBack</t>
  </si>
  <si>
    <t>Contagem</t>
  </si>
  <si>
    <t>Menor</t>
  </si>
  <si>
    <t>Maior</t>
  </si>
  <si>
    <t>Totais</t>
  </si>
  <si>
    <t>MoM</t>
  </si>
  <si>
    <t>YoY</t>
  </si>
  <si>
    <t>MoM - Totais</t>
  </si>
  <si>
    <t>% Contagem Total</t>
  </si>
  <si>
    <t>% Ano</t>
  </si>
  <si>
    <t>% R$ Total</t>
  </si>
  <si>
    <t>%  Ano R$</t>
  </si>
  <si>
    <t>%  Mês</t>
  </si>
  <si>
    <t>%  Mês R$</t>
  </si>
  <si>
    <t>JAN</t>
  </si>
  <si>
    <t>Vendedores</t>
  </si>
  <si>
    <t>Módulos</t>
  </si>
  <si>
    <t>Meses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</si>
  <si>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</si>
  <si>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</si>
  <si>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</si>
  <si>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</si>
  <si>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</si>
  <si>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</si>
  <si>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</si>
  <si>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</si>
  <si>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</si>
  <si>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</si>
  <si>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</si>
  <si>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Anos</t>
  </si>
  <si>
    <t>Gestores</t>
  </si>
  <si>
    <t>% Contagem</t>
  </si>
  <si>
    <t>% Total Ano</t>
  </si>
  <si>
    <t>Limite</t>
  </si>
  <si>
    <t>Ponteiro</t>
  </si>
  <si>
    <t>Ruim</t>
  </si>
  <si>
    <t>Regular</t>
  </si>
  <si>
    <t>Bom</t>
  </si>
  <si>
    <t>Ótimo</t>
  </si>
  <si>
    <t>Límite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</si>
</sst>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[h]:mm"/>
    <numFmt numFmtId="166" formatCode="d"/>
    <numFmt numFmtId="167" formatCode="General;;;"/>
    <numFmt numFmtId="168" formatCode="h:mm"/>
    <numFmt numFmtId="169" formatCode="_-&quot;R$&quot;* #,##0.00_-;\-&quot;R$&quot;* #,##0.00_-;_-&quot;R$&quot;* &quot;-&quot;??_-;_-@_-"/>
    <numFmt numFmtId="170" formatCode="dddd\,\ d\ &quot;de&quot;\ mmmm\ &quot;de&quot;\ yyyy"/>
    <numFmt numFmtId="171" formatCode=";;;"/>
    <numFmt numFmtId="172" formatCode="\(00\)00000\-0000"/>
    <numFmt numFmtId="173" formatCode="[$-F400]h:mm:ss\ AM/PM"/>
  </numFmts>
  <fonts count="49" x14ac:knownFonts="1">
    <font>
      <sz val="12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 Light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8"/>
      <color theme="4" tint="-0.24994659260841701"/>
      <name val="Calibri"/>
      <family val="2"/>
      <scheme val="minor"/>
    </font>
    <font>
      <i/>
      <sz val="10"/>
      <color theme="4" tint="-0.2499465926084170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2"/>
      <color theme="3"/>
      <name val="Calibri"/>
      <family val="2"/>
      <scheme val="minor"/>
    </font>
    <font>
      <sz val="22"/>
      <color theme="3"/>
      <name val="Calibri Light"/>
      <family val="2"/>
      <scheme val="major"/>
    </font>
    <font>
      <sz val="12"/>
      <color theme="0"/>
      <name val="Calibri Light"/>
      <family val="1"/>
      <scheme val="major"/>
    </font>
    <font>
      <b/>
      <sz val="8"/>
      <color theme="5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entury Gothic"/>
      <family val="2"/>
    </font>
    <font>
      <sz val="12"/>
      <color theme="0"/>
      <name val="Calibri Light"/>
      <family val="2"/>
    </font>
    <font>
      <sz val="16"/>
      <color theme="0"/>
      <name val="Calibri Light"/>
      <family val="2"/>
    </font>
    <font>
      <sz val="20"/>
      <color theme="1"/>
      <name val="Century Gothic"/>
      <family val="2"/>
    </font>
    <font>
      <b/>
      <sz val="14"/>
      <color theme="1"/>
      <name val="Calibri"/>
      <family val="2"/>
      <scheme val="minor"/>
    </font>
    <font>
      <sz val="18"/>
      <color theme="1"/>
      <name val="Century Gothic"/>
      <family val="2"/>
    </font>
    <font>
      <sz val="16"/>
      <color theme="1"/>
      <name val="Century Gothic"/>
      <family val="2"/>
    </font>
    <font>
      <sz val="8"/>
      <color theme="1"/>
      <name val="Century Gothic"/>
      <family val="2"/>
    </font>
    <font>
      <sz val="9"/>
      <color theme="1"/>
      <name val="Century Gothic"/>
      <family val="2"/>
    </font>
    <font>
      <sz val="12"/>
      <color theme="0"/>
      <name val="Century Gothic"/>
      <family val="2"/>
    </font>
    <font>
      <sz val="10"/>
      <color theme="1"/>
      <name val="Century Gothic"/>
      <family val="2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8"/>
      <color indexed="81"/>
      <name val="Segoe UI"/>
      <family val="2"/>
    </font>
    <font>
      <sz val="8"/>
      <color indexed="81"/>
      <name val="Segoe UI"/>
      <family val="2"/>
    </font>
    <font>
      <sz val="12"/>
      <color theme="1"/>
      <name val="Agency FB"/>
      <family val="2"/>
    </font>
    <font>
      <sz val="12"/>
      <color theme="0"/>
      <name val="Agency FB"/>
      <family val="2"/>
    </font>
    <font>
      <sz val="26"/>
      <color theme="0"/>
      <name val="Agency FB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 Light"/>
      <family val="2"/>
      <scheme val="major"/>
    </font>
    <font>
      <b/>
      <sz val="12"/>
      <color theme="1"/>
      <name val="Calibri Light"/>
      <family val="2"/>
      <scheme val="maj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Agency FB"/>
      <family val="2"/>
    </font>
    <font>
      <sz val="12"/>
      <color theme="0"/>
      <name val="Calibri Light"/>
      <family val="2"/>
      <scheme val="major"/>
    </font>
    <font>
      <sz val="8"/>
      <color theme="0"/>
      <name val="Calibri Light"/>
      <family val="2"/>
      <scheme val="major"/>
    </font>
    <font>
      <sz val="12"/>
      <name val="Calibri Light"/>
      <family val="2"/>
      <scheme val="major"/>
    </font>
    <font>
      <sz val="20"/>
      <name val="Agency FB"/>
      <family val="2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499984740745262"/>
        <bgColor indexed="64"/>
      </patternFill>
    </fill>
  </fills>
  <borders count="39">
    <border>
      <left/>
      <right/>
      <top/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8" tint="-0.499984740745262"/>
      </left>
      <right/>
      <top style="thin">
        <color theme="8" tint="-0.499984740745262"/>
      </top>
      <bottom/>
      <diagonal/>
    </border>
    <border>
      <left/>
      <right/>
      <top style="thin">
        <color theme="8" tint="-0.499984740745262"/>
      </top>
      <bottom/>
      <diagonal/>
    </border>
    <border>
      <left/>
      <right style="thin">
        <color theme="8" tint="-0.499984740745262"/>
      </right>
      <top style="thin">
        <color theme="8" tint="-0.499984740745262"/>
      </top>
      <bottom/>
      <diagonal/>
    </border>
    <border>
      <left style="medium">
        <color theme="1" tint="0.499984740745262"/>
      </left>
      <right style="thin">
        <color theme="0" tint="-0.14996795556505021"/>
      </right>
      <top style="medium">
        <color theme="1" tint="0.499984740745262"/>
      </top>
      <bottom style="thin">
        <color theme="0" tint="-0.14996795556505021"/>
      </bottom>
      <diagonal/>
    </border>
    <border>
      <left style="thin">
        <color theme="8" tint="-0.499984740745262"/>
      </left>
      <right/>
      <top/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8" tint="-0.499984740745262"/>
      </right>
      <top/>
      <bottom/>
      <diagonal/>
    </border>
    <border>
      <left style="thin">
        <color theme="3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3"/>
      </right>
      <top style="thin">
        <color theme="0"/>
      </top>
      <bottom style="thin">
        <color theme="0"/>
      </bottom>
      <diagonal/>
    </border>
    <border>
      <left style="thin">
        <color theme="3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3"/>
      </right>
      <top/>
      <bottom style="thin">
        <color theme="4" tint="0.59996337778862885"/>
      </bottom>
      <diagonal/>
    </border>
    <border>
      <left style="thin">
        <color theme="3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3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3"/>
      </left>
      <right style="thin">
        <color theme="4" tint="0.59996337778862885"/>
      </right>
      <top style="thin">
        <color theme="4" tint="0.59996337778862885"/>
      </top>
      <bottom style="thin">
        <color theme="3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3"/>
      </bottom>
      <diagonal/>
    </border>
    <border>
      <left style="thin">
        <color theme="4" tint="0.59996337778862885"/>
      </left>
      <right style="thin">
        <color theme="3"/>
      </right>
      <top style="thin">
        <color theme="4" tint="0.59996337778862885"/>
      </top>
      <bottom style="thin">
        <color theme="3"/>
      </bottom>
      <diagonal/>
    </border>
    <border>
      <left style="thin">
        <color theme="8" tint="-0.499984740745262"/>
      </left>
      <right/>
      <top/>
      <bottom style="thin">
        <color theme="8" tint="-0.499984740745262"/>
      </bottom>
      <diagonal/>
    </border>
    <border>
      <left/>
      <right/>
      <top/>
      <bottom style="thin">
        <color theme="8" tint="-0.499984740745262"/>
      </bottom>
      <diagonal/>
    </border>
    <border>
      <left/>
      <right style="thin">
        <color theme="8" tint="-0.499984740745262"/>
      </right>
      <top/>
      <bottom style="thin">
        <color theme="8" tint="-0.499984740745262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</borders>
  <cellStyleXfs count="29">
    <xf numFmtId="0" fontId="0" fillId="0" borderId="0"/>
    <xf numFmtId="0" fontId="4" fillId="0" borderId="0"/>
    <xf numFmtId="164" fontId="4" fillId="0" borderId="0" applyFont="0" applyFill="0" applyBorder="0" applyAlignment="0" applyProtection="0"/>
    <xf numFmtId="0" fontId="5" fillId="0" borderId="0"/>
    <xf numFmtId="0" fontId="11" fillId="0" borderId="0" applyNumberFormat="0" applyFill="0" applyAlignment="0" applyProtection="0"/>
    <xf numFmtId="166" fontId="5" fillId="6" borderId="1">
      <alignment horizontal="center" vertical="center"/>
    </xf>
    <xf numFmtId="0" fontId="6" fillId="4" borderId="1">
      <alignment horizontal="center"/>
    </xf>
    <xf numFmtId="167" fontId="8" fillId="0" borderId="0">
      <alignment vertical="center"/>
    </xf>
    <xf numFmtId="0" fontId="13" fillId="5" borderId="0" applyNumberFormat="0">
      <alignment horizontal="centerContinuous" vertical="center"/>
    </xf>
    <xf numFmtId="166" fontId="7" fillId="3" borderId="1">
      <alignment horizontal="center"/>
    </xf>
    <xf numFmtId="0" fontId="12" fillId="3" borderId="0" applyNumberFormat="0" applyBorder="0" applyProtection="0">
      <alignment horizontal="centerContinuous"/>
    </xf>
    <xf numFmtId="0" fontId="9" fillId="0" borderId="0">
      <alignment horizontal="centerContinuous"/>
    </xf>
    <xf numFmtId="166" fontId="15" fillId="0" borderId="2" applyBorder="0">
      <alignment horizontal="left" vertical="center"/>
    </xf>
    <xf numFmtId="0" fontId="14" fillId="0" borderId="3" applyBorder="0">
      <alignment horizontal="right" vertical="top" wrapText="1"/>
    </xf>
    <xf numFmtId="0" fontId="10" fillId="0" borderId="0" applyNumberFormat="0" applyFill="0" applyBorder="0">
      <alignment vertical="top" wrapText="1"/>
      <protection locked="0"/>
    </xf>
    <xf numFmtId="0" fontId="16" fillId="0" borderId="0" applyNumberFormat="0" applyFill="0" applyAlignment="0" applyProtection="0"/>
    <xf numFmtId="0" fontId="17" fillId="0" borderId="0" applyNumberFormat="0" applyFill="0" applyAlignment="0" applyProtection="0"/>
    <xf numFmtId="0" fontId="18" fillId="2" borderId="0" applyNumberFormat="0" applyBorder="0" applyAlignment="0" applyProtection="0"/>
    <xf numFmtId="166" fontId="19" fillId="0" borderId="0">
      <alignment horizontal="right" vertical="top" wrapText="1"/>
    </xf>
    <xf numFmtId="0" fontId="20" fillId="0" borderId="0"/>
    <xf numFmtId="0" fontId="10" fillId="0" borderId="0" applyNumberFormat="0" applyFill="0" applyBorder="0" applyAlignment="0" applyProtection="0"/>
    <xf numFmtId="0" fontId="22" fillId="2" borderId="0" applyNumberFormat="0" applyBorder="0" applyAlignment="0" applyProtection="0"/>
    <xf numFmtId="169" fontId="25" fillId="9" borderId="8" applyNumberFormat="0"/>
    <xf numFmtId="0" fontId="3" fillId="7" borderId="0" applyNumberFormat="0" applyBorder="0" applyAlignment="0" applyProtection="0"/>
    <xf numFmtId="44" fontId="33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2" fillId="18" borderId="0" applyNumberFormat="0" applyBorder="0" applyAlignment="0" applyProtection="0"/>
    <xf numFmtId="0" fontId="1" fillId="21" borderId="0" applyNumberFormat="0" applyBorder="0" applyAlignment="0" applyProtection="0"/>
    <xf numFmtId="0" fontId="18" fillId="22" borderId="0" applyNumberFormat="0" applyBorder="0" applyAlignment="0" applyProtection="0"/>
  </cellStyleXfs>
  <cellXfs count="166">
    <xf numFmtId="0" fontId="0" fillId="0" borderId="0" xfId="0"/>
    <xf numFmtId="4" fontId="0" fillId="0" borderId="0" xfId="0" applyNumberFormat="1"/>
    <xf numFmtId="0" fontId="3" fillId="0" borderId="0" xfId="1" applyFont="1" applyAlignment="1">
      <alignment horizontal="center"/>
    </xf>
    <xf numFmtId="1" fontId="0" fillId="0" borderId="0" xfId="0" applyNumberFormat="1"/>
    <xf numFmtId="0" fontId="0" fillId="0" borderId="0" xfId="0" applyFill="1"/>
    <xf numFmtId="0" fontId="0" fillId="0" borderId="0" xfId="0" applyBorder="1"/>
    <xf numFmtId="4" fontId="0" fillId="0" borderId="0" xfId="0" applyNumberFormat="1" applyBorder="1"/>
    <xf numFmtId="165" fontId="0" fillId="0" borderId="0" xfId="0" applyNumberFormat="1" applyBorder="1"/>
    <xf numFmtId="168" fontId="3" fillId="0" borderId="0" xfId="1" applyNumberFormat="1" applyFont="1" applyAlignment="1">
      <alignment horizontal="center"/>
    </xf>
    <xf numFmtId="0" fontId="21" fillId="0" borderId="0" xfId="0" applyFont="1" applyAlignment="1">
      <alignment horizontal="right"/>
    </xf>
    <xf numFmtId="0" fontId="20" fillId="0" borderId="0" xfId="0" applyFont="1"/>
    <xf numFmtId="0" fontId="23" fillId="8" borderId="5" xfId="21" applyFont="1" applyFill="1" applyBorder="1" applyAlignment="1">
      <alignment horizontal="centerContinuous"/>
    </xf>
    <xf numFmtId="0" fontId="22" fillId="8" borderId="6" xfId="21" applyFill="1" applyBorder="1" applyAlignment="1">
      <alignment horizontal="centerContinuous"/>
    </xf>
    <xf numFmtId="0" fontId="22" fillId="8" borderId="7" xfId="21" applyFill="1" applyBorder="1" applyAlignment="1">
      <alignment horizontal="centerContinuous"/>
    </xf>
    <xf numFmtId="0" fontId="10" fillId="0" borderId="0" xfId="0" applyFont="1"/>
    <xf numFmtId="0" fontId="0" fillId="0" borderId="5" xfId="0" applyBorder="1"/>
    <xf numFmtId="0" fontId="24" fillId="0" borderId="6" xfId="0" applyFont="1" applyFill="1" applyBorder="1" applyAlignment="1">
      <alignment vertical="center"/>
    </xf>
    <xf numFmtId="0" fontId="21" fillId="0" borderId="6" xfId="0" applyFont="1" applyBorder="1"/>
    <xf numFmtId="0" fontId="0" fillId="0" borderId="6" xfId="0" applyBorder="1"/>
    <xf numFmtId="0" fontId="24" fillId="0" borderId="6" xfId="0" applyFont="1" applyBorder="1" applyAlignment="1"/>
    <xf numFmtId="0" fontId="0" fillId="0" borderId="7" xfId="0" applyBorder="1"/>
    <xf numFmtId="0" fontId="24" fillId="0" borderId="9" xfId="0" applyFont="1" applyFill="1" applyBorder="1" applyAlignment="1">
      <alignment vertical="center"/>
    </xf>
    <xf numFmtId="0" fontId="0" fillId="0" borderId="13" xfId="0" applyBorder="1"/>
    <xf numFmtId="0" fontId="28" fillId="0" borderId="0" xfId="0" applyFont="1"/>
    <xf numFmtId="0" fontId="21" fillId="0" borderId="9" xfId="0" applyFont="1" applyBorder="1"/>
    <xf numFmtId="0" fontId="0" fillId="0" borderId="9" xfId="0" applyBorder="1"/>
    <xf numFmtId="170" fontId="30" fillId="8" borderId="14" xfId="21" applyNumberFormat="1" applyFont="1" applyFill="1" applyBorder="1" applyAlignment="1">
      <alignment horizontal="centerContinuous"/>
    </xf>
    <xf numFmtId="0" fontId="22" fillId="8" borderId="15" xfId="21" applyFill="1" applyBorder="1" applyAlignment="1">
      <alignment horizontal="centerContinuous"/>
    </xf>
    <xf numFmtId="0" fontId="22" fillId="8" borderId="16" xfId="21" applyFill="1" applyBorder="1" applyAlignment="1">
      <alignment horizontal="centerContinuous"/>
    </xf>
    <xf numFmtId="14" fontId="21" fillId="9" borderId="8" xfId="22" applyNumberFormat="1" applyFont="1"/>
    <xf numFmtId="0" fontId="31" fillId="10" borderId="17" xfId="23" applyFont="1" applyFill="1" applyBorder="1" applyAlignment="1">
      <alignment horizontal="center"/>
    </xf>
    <xf numFmtId="0" fontId="31" fillId="10" borderId="18" xfId="23" applyFont="1" applyFill="1" applyBorder="1" applyAlignment="1">
      <alignment horizontal="center"/>
    </xf>
    <xf numFmtId="0" fontId="31" fillId="10" borderId="19" xfId="23" applyFont="1" applyFill="1" applyBorder="1" applyAlignment="1">
      <alignment horizontal="center"/>
    </xf>
    <xf numFmtId="0" fontId="21" fillId="0" borderId="0" xfId="0" applyFont="1"/>
    <xf numFmtId="166" fontId="5" fillId="6" borderId="20" xfId="5" applyBorder="1">
      <alignment horizontal="center" vertical="center"/>
    </xf>
    <xf numFmtId="166" fontId="5" fillId="6" borderId="21" xfId="5" applyBorder="1">
      <alignment horizontal="center" vertical="center"/>
    </xf>
    <xf numFmtId="166" fontId="5" fillId="6" borderId="22" xfId="5" applyBorder="1">
      <alignment horizontal="center" vertical="center"/>
    </xf>
    <xf numFmtId="166" fontId="5" fillId="6" borderId="23" xfId="5" applyBorder="1">
      <alignment horizontal="center" vertical="center"/>
    </xf>
    <xf numFmtId="166" fontId="5" fillId="6" borderId="1" xfId="5" applyBorder="1">
      <alignment horizontal="center" vertical="center"/>
    </xf>
    <xf numFmtId="166" fontId="5" fillId="6" borderId="24" xfId="5" applyBorder="1">
      <alignment horizontal="center" vertical="center"/>
    </xf>
    <xf numFmtId="166" fontId="5" fillId="6" borderId="25" xfId="5" applyBorder="1">
      <alignment horizontal="center" vertical="center"/>
    </xf>
    <xf numFmtId="166" fontId="5" fillId="6" borderId="26" xfId="5" applyBorder="1">
      <alignment horizontal="center" vertical="center"/>
    </xf>
    <xf numFmtId="166" fontId="5" fillId="6" borderId="27" xfId="5" applyBorder="1">
      <alignment horizontal="center" vertical="center"/>
    </xf>
    <xf numFmtId="171" fontId="0" fillId="0" borderId="13" xfId="0" applyNumberFormat="1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21" fillId="0" borderId="0" xfId="0" applyFont="1" applyAlignment="1">
      <alignment horizontal="right" indent="1"/>
    </xf>
    <xf numFmtId="172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173" fontId="0" fillId="0" borderId="0" xfId="0" applyNumberFormat="1" applyAlignment="1">
      <alignment horizontal="center"/>
    </xf>
    <xf numFmtId="173" fontId="3" fillId="0" borderId="0" xfId="1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NumberFormat="1" applyBorder="1"/>
    <xf numFmtId="0" fontId="0" fillId="0" borderId="0" xfId="0" applyFont="1" applyAlignment="1">
      <alignment horizontal="center"/>
    </xf>
    <xf numFmtId="44" fontId="21" fillId="9" borderId="8" xfId="24" applyFont="1" applyFill="1" applyBorder="1"/>
    <xf numFmtId="0" fontId="21" fillId="9" borderId="8" xfId="22" applyNumberFormat="1" applyFont="1" applyAlignment="1">
      <alignment horizontal="center"/>
    </xf>
    <xf numFmtId="14" fontId="21" fillId="9" borderId="8" xfId="22" applyNumberFormat="1" applyFont="1" applyAlignment="1">
      <alignment horizontal="center"/>
    </xf>
    <xf numFmtId="0" fontId="32" fillId="0" borderId="0" xfId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0" fillId="0" borderId="0" xfId="1" applyFont="1" applyAlignment="1">
      <alignment horizontal="center"/>
    </xf>
    <xf numFmtId="44" fontId="0" fillId="0" borderId="0" xfId="24" applyFont="1" applyAlignment="1">
      <alignment horizontal="center"/>
    </xf>
    <xf numFmtId="44" fontId="32" fillId="0" borderId="0" xfId="24" applyFont="1" applyAlignment="1">
      <alignment horizontal="center"/>
    </xf>
    <xf numFmtId="44" fontId="0" fillId="0" borderId="0" xfId="24" applyFont="1"/>
    <xf numFmtId="0" fontId="36" fillId="0" borderId="0" xfId="0" applyFont="1"/>
    <xf numFmtId="0" fontId="38" fillId="15" borderId="0" xfId="0" applyFont="1" applyFill="1" applyAlignment="1">
      <alignment horizontal="center"/>
    </xf>
    <xf numFmtId="2" fontId="38" fillId="15" borderId="0" xfId="0" applyNumberFormat="1" applyFont="1" applyFill="1" applyAlignment="1">
      <alignment horizontal="center"/>
    </xf>
    <xf numFmtId="0" fontId="36" fillId="17" borderId="0" xfId="0" applyFont="1" applyFill="1"/>
    <xf numFmtId="1" fontId="38" fillId="13" borderId="0" xfId="0" applyNumberFormat="1" applyFont="1" applyFill="1" applyAlignment="1">
      <alignment horizontal="center"/>
    </xf>
    <xf numFmtId="0" fontId="37" fillId="16" borderId="0" xfId="0" applyFont="1" applyFill="1" applyAlignment="1">
      <alignment horizontal="center"/>
    </xf>
    <xf numFmtId="0" fontId="37" fillId="14" borderId="0" xfId="0" applyFont="1" applyFill="1" applyAlignment="1">
      <alignment horizontal="center"/>
    </xf>
    <xf numFmtId="10" fontId="36" fillId="0" borderId="0" xfId="25" applyNumberFormat="1" applyFont="1" applyAlignment="1">
      <alignment horizontal="center"/>
    </xf>
    <xf numFmtId="10" fontId="36" fillId="0" borderId="0" xfId="0" applyNumberFormat="1" applyFont="1" applyAlignment="1">
      <alignment horizontal="center"/>
    </xf>
    <xf numFmtId="0" fontId="37" fillId="11" borderId="0" xfId="0" applyFont="1" applyFill="1" applyAlignment="1">
      <alignment horizontal="center"/>
    </xf>
    <xf numFmtId="44" fontId="38" fillId="12" borderId="0" xfId="24" applyFont="1" applyFill="1" applyAlignment="1">
      <alignment horizontal="center"/>
    </xf>
    <xf numFmtId="0" fontId="36" fillId="17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2" fillId="18" borderId="0" xfId="26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9" fillId="9" borderId="8" xfId="22" applyNumberFormat="1" applyFont="1"/>
    <xf numFmtId="2" fontId="0" fillId="0" borderId="31" xfId="0" applyNumberFormat="1" applyBorder="1" applyAlignment="1">
      <alignment horizontal="center" vertical="center"/>
    </xf>
    <xf numFmtId="44" fontId="0" fillId="0" borderId="31" xfId="24" applyFont="1" applyBorder="1" applyAlignment="1">
      <alignment horizontal="center" vertical="center"/>
    </xf>
    <xf numFmtId="0" fontId="39" fillId="9" borderId="8" xfId="22" applyNumberFormat="1" applyFont="1" applyAlignment="1">
      <alignment horizontal="center"/>
    </xf>
    <xf numFmtId="10" fontId="0" fillId="0" borderId="31" xfId="0" applyNumberFormat="1" applyBorder="1" applyAlignment="1">
      <alignment horizontal="center" vertical="center"/>
    </xf>
    <xf numFmtId="10" fontId="0" fillId="0" borderId="31" xfId="25" applyNumberFormat="1" applyFont="1" applyBorder="1" applyAlignment="1">
      <alignment horizontal="center" vertical="center"/>
    </xf>
    <xf numFmtId="0" fontId="0" fillId="19" borderId="31" xfId="0" applyFill="1" applyBorder="1" applyAlignment="1">
      <alignment horizontal="center" vertical="center"/>
    </xf>
    <xf numFmtId="0" fontId="0" fillId="20" borderId="31" xfId="0" applyFill="1" applyBorder="1" applyAlignment="1">
      <alignment horizontal="center" vertical="center"/>
    </xf>
    <xf numFmtId="169" fontId="0" fillId="0" borderId="0" xfId="0" applyNumberFormat="1" applyAlignment="1">
      <alignment horizontal="center"/>
    </xf>
    <xf numFmtId="0" fontId="42" fillId="22" borderId="0" xfId="28" applyFont="1" applyAlignment="1">
      <alignment horizontal="center"/>
    </xf>
    <xf numFmtId="0" fontId="43" fillId="22" borderId="0" xfId="28" applyFont="1" applyAlignment="1">
      <alignment horizontal="center"/>
    </xf>
    <xf numFmtId="0" fontId="41" fillId="0" borderId="32" xfId="0" applyFont="1" applyBorder="1" applyAlignment="1">
      <alignment horizontal="center"/>
    </xf>
    <xf numFmtId="0" fontId="41" fillId="0" borderId="33" xfId="0" applyFont="1" applyBorder="1" applyAlignment="1">
      <alignment horizontal="center"/>
    </xf>
    <xf numFmtId="14" fontId="41" fillId="0" borderId="33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/>
    <xf numFmtId="0" fontId="0" fillId="9" borderId="34" xfId="0" applyFill="1" applyBorder="1"/>
    <xf numFmtId="0" fontId="41" fillId="25" borderId="34" xfId="0" applyFont="1" applyFill="1" applyBorder="1"/>
    <xf numFmtId="0" fontId="40" fillId="23" borderId="35" xfId="0" applyFont="1" applyFill="1" applyBorder="1" applyAlignment="1">
      <alignment horizontal="center"/>
    </xf>
    <xf numFmtId="0" fontId="40" fillId="23" borderId="36" xfId="0" applyFont="1" applyFill="1" applyBorder="1" applyAlignment="1">
      <alignment horizontal="center"/>
    </xf>
    <xf numFmtId="173" fontId="40" fillId="23" borderId="36" xfId="0" applyNumberFormat="1" applyFont="1" applyFill="1" applyBorder="1" applyAlignment="1">
      <alignment horizontal="center"/>
    </xf>
    <xf numFmtId="0" fontId="0" fillId="24" borderId="35" xfId="0" applyFont="1" applyFill="1" applyBorder="1" applyAlignment="1">
      <alignment horizontal="center"/>
    </xf>
    <xf numFmtId="0" fontId="0" fillId="24" borderId="36" xfId="0" applyFont="1" applyFill="1" applyBorder="1" applyAlignment="1">
      <alignment horizontal="center"/>
    </xf>
    <xf numFmtId="22" fontId="0" fillId="24" borderId="36" xfId="0" applyNumberFormat="1" applyFont="1" applyFill="1" applyBorder="1" applyAlignment="1">
      <alignment horizontal="center"/>
    </xf>
    <xf numFmtId="14" fontId="0" fillId="24" borderId="36" xfId="0" applyNumberFormat="1" applyFont="1" applyFill="1" applyBorder="1" applyAlignment="1">
      <alignment horizontal="center"/>
    </xf>
    <xf numFmtId="173" fontId="0" fillId="24" borderId="36" xfId="0" applyNumberFormat="1" applyFont="1" applyFill="1" applyBorder="1" applyAlignment="1">
      <alignment horizontal="center"/>
    </xf>
    <xf numFmtId="0" fontId="0" fillId="0" borderId="35" xfId="0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22" fontId="0" fillId="0" borderId="36" xfId="0" applyNumberFormat="1" applyFont="1" applyBorder="1" applyAlignment="1">
      <alignment horizontal="center"/>
    </xf>
    <xf numFmtId="14" fontId="0" fillId="0" borderId="36" xfId="0" applyNumberFormat="1" applyFont="1" applyBorder="1" applyAlignment="1">
      <alignment horizontal="center"/>
    </xf>
    <xf numFmtId="173" fontId="0" fillId="0" borderId="36" xfId="0" applyNumberFormat="1" applyFont="1" applyBorder="1" applyAlignment="1">
      <alignment horizontal="center"/>
    </xf>
    <xf numFmtId="0" fontId="40" fillId="23" borderId="34" xfId="0" applyFont="1" applyFill="1" applyBorder="1" applyAlignment="1">
      <alignment horizontal="center"/>
    </xf>
    <xf numFmtId="173" fontId="40" fillId="23" borderId="34" xfId="0" applyNumberFormat="1" applyFont="1" applyFill="1" applyBorder="1" applyAlignment="1">
      <alignment horizontal="center"/>
    </xf>
    <xf numFmtId="0" fontId="0" fillId="24" borderId="34" xfId="0" applyFont="1" applyFill="1" applyBorder="1" applyAlignment="1">
      <alignment horizontal="center"/>
    </xf>
    <xf numFmtId="22" fontId="0" fillId="24" borderId="34" xfId="0" applyNumberFormat="1" applyFont="1" applyFill="1" applyBorder="1" applyAlignment="1">
      <alignment horizontal="center"/>
    </xf>
    <xf numFmtId="14" fontId="0" fillId="24" borderId="34" xfId="0" applyNumberFormat="1" applyFont="1" applyFill="1" applyBorder="1" applyAlignment="1">
      <alignment horizontal="center"/>
    </xf>
    <xf numFmtId="173" fontId="0" fillId="24" borderId="34" xfId="0" applyNumberFormat="1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22" fontId="0" fillId="0" borderId="34" xfId="0" applyNumberFormat="1" applyFont="1" applyBorder="1" applyAlignment="1">
      <alignment horizontal="center"/>
    </xf>
    <xf numFmtId="14" fontId="0" fillId="0" borderId="34" xfId="0" applyNumberFormat="1" applyFont="1" applyBorder="1" applyAlignment="1">
      <alignment horizontal="center"/>
    </xf>
    <xf numFmtId="173" fontId="0" fillId="0" borderId="34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44" fillId="0" borderId="0" xfId="0" applyFont="1"/>
    <xf numFmtId="0" fontId="44" fillId="21" borderId="0" xfId="27" applyFont="1" applyAlignment="1">
      <alignment horizontal="center"/>
    </xf>
    <xf numFmtId="0" fontId="44" fillId="21" borderId="0" xfId="27" applyFont="1"/>
    <xf numFmtId="0" fontId="45" fillId="0" borderId="0" xfId="0" applyFont="1"/>
    <xf numFmtId="0" fontId="45" fillId="0" borderId="0" xfId="0" applyFont="1" applyAlignment="1">
      <alignment horizontal="center"/>
    </xf>
    <xf numFmtId="0" fontId="46" fillId="0" borderId="0" xfId="0" applyFont="1"/>
    <xf numFmtId="0" fontId="47" fillId="0" borderId="0" xfId="0" applyFont="1"/>
    <xf numFmtId="0" fontId="47" fillId="0" borderId="0" xfId="0" applyFont="1" applyAlignment="1">
      <alignment horizontal="center"/>
    </xf>
    <xf numFmtId="0" fontId="48" fillId="0" borderId="0" xfId="0" applyFont="1" applyAlignment="1">
      <alignment horizontal="center"/>
    </xf>
    <xf numFmtId="9" fontId="47" fillId="0" borderId="0" xfId="25" applyNumberFormat="1" applyFont="1"/>
    <xf numFmtId="0" fontId="47" fillId="0" borderId="0" xfId="0" applyNumberFormat="1" applyFont="1"/>
    <xf numFmtId="44" fontId="40" fillId="23" borderId="36" xfId="24" applyFont="1" applyFill="1" applyBorder="1" applyAlignment="1">
      <alignment horizontal="center"/>
    </xf>
    <xf numFmtId="44" fontId="40" fillId="23" borderId="37" xfId="24" applyFont="1" applyFill="1" applyBorder="1" applyAlignment="1">
      <alignment horizontal="center"/>
    </xf>
    <xf numFmtId="44" fontId="0" fillId="24" borderId="36" xfId="24" applyFont="1" applyFill="1" applyBorder="1" applyAlignment="1">
      <alignment horizontal="center"/>
    </xf>
    <xf numFmtId="44" fontId="0" fillId="24" borderId="37" xfId="24" applyFont="1" applyFill="1" applyBorder="1" applyAlignment="1">
      <alignment horizontal="center"/>
    </xf>
    <xf numFmtId="44" fontId="0" fillId="0" borderId="36" xfId="24" applyFont="1" applyBorder="1" applyAlignment="1">
      <alignment horizontal="center"/>
    </xf>
    <xf numFmtId="44" fontId="0" fillId="0" borderId="37" xfId="24" applyFont="1" applyBorder="1" applyAlignment="1">
      <alignment horizontal="center"/>
    </xf>
    <xf numFmtId="44" fontId="41" fillId="0" borderId="33" xfId="24" applyFont="1" applyBorder="1" applyAlignment="1">
      <alignment horizontal="center"/>
    </xf>
    <xf numFmtId="44" fontId="41" fillId="0" borderId="38" xfId="24" applyFont="1" applyBorder="1" applyAlignment="1">
      <alignment horizontal="center"/>
    </xf>
    <xf numFmtId="0" fontId="46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5" fillId="0" borderId="0" xfId="0" applyFont="1" applyAlignment="1" applyProtection="1">
      <alignment horizontal="center"/>
      <protection hidden="1"/>
    </xf>
    <xf numFmtId="0" fontId="45" fillId="0" borderId="0" xfId="0" applyFont="1" applyAlignment="1" applyProtection="1">
      <alignment horizontal="left"/>
      <protection hidden="1"/>
    </xf>
    <xf numFmtId="0" fontId="47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0" fontId="48" fillId="0" borderId="0" xfId="0" applyFont="1" applyAlignment="1" applyProtection="1">
      <alignment horizontal="center"/>
      <protection hidden="1"/>
    </xf>
    <xf numFmtId="44" fontId="48" fillId="0" borderId="0" xfId="24" applyFont="1" applyAlignment="1" applyProtection="1">
      <alignment horizontal="center"/>
      <protection hidden="1"/>
    </xf>
    <xf numFmtId="2" fontId="48" fillId="0" borderId="0" xfId="0" applyNumberFormat="1" applyFont="1" applyAlignment="1" applyProtection="1">
      <alignment horizontal="center"/>
      <protection hidden="1"/>
    </xf>
    <xf numFmtId="10" fontId="48" fillId="0" borderId="0" xfId="25" applyNumberFormat="1" applyFont="1" applyAlignment="1" applyProtection="1">
      <alignment horizontal="center"/>
      <protection hidden="1"/>
    </xf>
    <xf numFmtId="2" fontId="47" fillId="0" borderId="0" xfId="0" applyNumberFormat="1" applyFont="1" applyProtection="1">
      <protection hidden="1"/>
    </xf>
    <xf numFmtId="9" fontId="47" fillId="0" borderId="0" xfId="0" applyNumberFormat="1" applyFont="1"/>
    <xf numFmtId="10" fontId="47" fillId="0" borderId="0" xfId="25" applyNumberFormat="1" applyFont="1" applyProtection="1">
      <protection hidden="1"/>
    </xf>
    <xf numFmtId="10" fontId="47" fillId="0" borderId="0" xfId="0" applyNumberFormat="1" applyFont="1" applyProtection="1">
      <protection hidden="1"/>
    </xf>
    <xf numFmtId="0" fontId="46" fillId="0" borderId="0" xfId="0" applyFont="1" applyAlignment="1" applyProtection="1">
      <alignment horizontal="center"/>
      <protection locked="0"/>
    </xf>
    <xf numFmtId="169" fontId="21" fillId="9" borderId="8" xfId="22" applyFont="1" applyAlignment="1"/>
    <xf numFmtId="0" fontId="21" fillId="9" borderId="8" xfId="22" applyNumberFormat="1" applyFont="1" applyAlignment="1"/>
    <xf numFmtId="0" fontId="26" fillId="0" borderId="4" xfId="0" applyFont="1" applyFill="1" applyBorder="1" applyAlignment="1">
      <alignment vertical="center"/>
    </xf>
    <xf numFmtId="0" fontId="27" fillId="0" borderId="10" xfId="0" applyFont="1" applyBorder="1" applyAlignment="1">
      <alignment horizontal="center"/>
    </xf>
    <xf numFmtId="0" fontId="27" fillId="0" borderId="11" xfId="0" applyFont="1" applyBorder="1" applyAlignment="1">
      <alignment horizontal="center"/>
    </xf>
    <xf numFmtId="0" fontId="27" fillId="0" borderId="12" xfId="0" applyFont="1" applyBorder="1" applyAlignment="1">
      <alignment horizontal="center"/>
    </xf>
    <xf numFmtId="0" fontId="27" fillId="0" borderId="4" xfId="0" applyFont="1" applyBorder="1" applyAlignment="1"/>
    <xf numFmtId="170" fontId="29" fillId="0" borderId="0" xfId="0" applyNumberFormat="1" applyFont="1" applyBorder="1" applyAlignment="1">
      <alignment horizontal="center"/>
    </xf>
  </cellXfs>
  <cellStyles count="29">
    <cellStyle name="40% - Ênfase1 2" xfId="23" xr:uid="{00000000-0005-0000-0000-000000000000}"/>
    <cellStyle name="60% - Ênfase5" xfId="27" builtinId="48"/>
    <cellStyle name="60% - Ênfase6" xfId="26" builtinId="52"/>
    <cellStyle name="Anotações no Dia" xfId="14" xr:uid="{00000000-0005-0000-0000-000003000000}"/>
    <cellStyle name="Campo" xfId="22" xr:uid="{00000000-0005-0000-0000-000004000000}"/>
    <cellStyle name="Contagem de Dias" xfId="11" xr:uid="{00000000-0005-0000-0000-000005000000}"/>
    <cellStyle name="Dia da semana" xfId="6" xr:uid="{00000000-0005-0000-0000-000006000000}"/>
    <cellStyle name="Dia do mês" xfId="5" xr:uid="{00000000-0005-0000-0000-000007000000}"/>
    <cellStyle name="Dias Grandes" xfId="12" xr:uid="{00000000-0005-0000-0000-000008000000}"/>
    <cellStyle name="Ênfase1 2" xfId="17" xr:uid="{00000000-0005-0000-0000-000009000000}"/>
    <cellStyle name="Ênfase1 3" xfId="21" xr:uid="{00000000-0005-0000-0000-00000A000000}"/>
    <cellStyle name="Ênfase6" xfId="28" builtinId="49"/>
    <cellStyle name="Evento" xfId="18" xr:uid="{00000000-0005-0000-0000-00000C000000}"/>
    <cellStyle name="Feriados no Mês" xfId="13" xr:uid="{00000000-0005-0000-0000-00000D000000}"/>
    <cellStyle name="Final de semana" xfId="9" xr:uid="{00000000-0005-0000-0000-00000E000000}"/>
    <cellStyle name="Moeda" xfId="24" builtinId="4"/>
    <cellStyle name="Nome do mês" xfId="8" xr:uid="{00000000-0005-0000-0000-000010000000}"/>
    <cellStyle name="Normal" xfId="0" builtinId="0" customBuiltin="1"/>
    <cellStyle name="Normal 14" xfId="19" xr:uid="{00000000-0005-0000-0000-000012000000}"/>
    <cellStyle name="Normal 2" xfId="1" xr:uid="{00000000-0005-0000-0000-000013000000}"/>
    <cellStyle name="Normal 3" xfId="3" xr:uid="{00000000-0005-0000-0000-000014000000}"/>
    <cellStyle name="Normal 8" xfId="20" xr:uid="{00000000-0005-0000-0000-000015000000}"/>
    <cellStyle name="Número da semana" xfId="7" xr:uid="{00000000-0005-0000-0000-000016000000}"/>
    <cellStyle name="Porcentagem" xfId="25" builtinId="5"/>
    <cellStyle name="Título 1 2" xfId="4" xr:uid="{00000000-0005-0000-0000-000018000000}"/>
    <cellStyle name="Título 2 2" xfId="15" xr:uid="{00000000-0005-0000-0000-000019000000}"/>
    <cellStyle name="Título 3 2" xfId="16" xr:uid="{00000000-0005-0000-0000-00001A000000}"/>
    <cellStyle name="Título 5" xfId="10" xr:uid="{00000000-0005-0000-0000-00001B000000}"/>
    <cellStyle name="Vírgula 2" xfId="2" xr:uid="{00000000-0005-0000-0000-00001C000000}"/>
  </cellStyles>
  <dxfs count="98">
    <dxf>
      <numFmt numFmtId="30" formatCode="@"/>
    </dxf>
    <dxf>
      <numFmt numFmtId="165" formatCode="[h]:mm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" formatCode="0"/>
    </dxf>
    <dxf>
      <numFmt numFmtId="172" formatCode="\(00\)00000\-0000"/>
    </dxf>
    <dxf>
      <numFmt numFmtId="172" formatCode="\(00\)00000\-0000"/>
    </dxf>
    <dxf>
      <numFmt numFmtId="172" formatCode="\(00\)00000\-00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 Light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73" formatCode="[$-F400]h:mm:ss\ AM/PM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numFmt numFmtId="27" formatCode="dd/mm/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color theme="0"/>
      </font>
      <fill>
        <patternFill patternType="none">
          <bgColor auto="1"/>
        </patternFill>
      </fill>
      <border>
        <bottom style="thin">
          <color theme="6"/>
        </bottom>
        <vertical/>
        <horizontal/>
      </border>
    </dxf>
    <dxf>
      <font>
        <color theme="1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border>
        <bottom style="thin">
          <color theme="4"/>
        </bottom>
        <vertical/>
        <horizontal/>
      </border>
    </dxf>
    <dxf>
      <font>
        <color auto="1"/>
      </font>
      <fill>
        <patternFill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59999389629810485"/>
          <bgColor theme="4" tint="0.79998168889431442"/>
        </patternFill>
      </fill>
    </dxf>
    <dxf>
      <fill>
        <patternFill patternType="solid">
          <fgColor theme="4" tint="0.59999389629810485"/>
          <bgColor theme="4" tint="0.599963377788628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4" defaultTableStyle="TableStyleMedium2" defaultPivotStyle="PivotStyleLight16">
    <tableStyle name="MySqlDefault" pivot="0" table="0" count="2" xr9:uid="{00000000-0011-0000-FFFF-FFFF00000000}">
      <tableStyleElement type="wholeTable" dxfId="97"/>
      <tableStyleElement type="headerRow" dxfId="96"/>
    </tableStyle>
    <tableStyle name="TableStyleMedium9 2" pivot="0" count="7" xr9:uid="{00000000-0011-0000-FFFF-FFFF01000000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RowStripe" dxfId="90"/>
      <tableStyleElement type="firstColumnStripe" dxfId="89"/>
    </tableStyle>
    <tableStyle name="Transparente Azul" pivot="0" table="0" count="10" xr9:uid="{00000000-0011-0000-FFFF-FFFF02000000}">
      <tableStyleElement type="wholeTable" dxfId="88"/>
      <tableStyleElement type="headerRow" dxfId="87"/>
    </tableStyle>
    <tableStyle name="Transparente Verde" pivot="0" table="0" count="10" xr9:uid="{00000000-0011-0000-FFFF-FFFF03000000}">
      <tableStyleElement type="wholeTable" dxfId="86"/>
      <tableStyleElement type="headerRow" dxfId="85"/>
    </tableStyle>
  </tableStyle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6" tint="-0.249977111117893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theme="6" tint="0.59999389629810485"/>
            </left>
            <right style="thin">
              <color theme="6" tint="0.59999389629810485"/>
            </right>
            <top style="thin">
              <color theme="6" tint="0.59999389629810485"/>
            </top>
            <bottom style="thin">
              <color theme="6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6"/>
              <bgColor theme="6"/>
            </patternFill>
          </fill>
          <border>
            <left style="thin">
              <color theme="6"/>
            </left>
            <right style="thin">
              <color theme="6"/>
            </right>
            <top style="thin">
              <color theme="6"/>
            </top>
            <bottom style="thin">
              <color theme="6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ransparente Azul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Transparente Verd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26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21" Type="http://schemas.microsoft.com/office/2007/relationships/slicerCache" Target="slicerCaches/slicerCache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'Painel Consulta'!$M$4</c:f>
          <c:strCache>
            <c:ptCount val="1"/>
            <c:pt idx="0">
              <c:v>VENDAS ALEXANDRA CONCEIÇÃO EM MAIO DE 2017</c:v>
            </c:pt>
          </c:strCache>
        </c:strRef>
      </c:tx>
      <c:layout>
        <c:manualLayout>
          <c:xMode val="edge"/>
          <c:yMode val="edge"/>
          <c:x val="0.61595536471022405"/>
          <c:y val="2.73236780108936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Estatísticas!$C$11:$N$11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[0]!Ano_Dinâmico</c:f>
              <c:numCache>
                <c:formatCode>General</c:formatCode>
                <c:ptCount val="12"/>
                <c:pt idx="0">
                  <c:v>13</c:v>
                </c:pt>
                <c:pt idx="1">
                  <c:v>5</c:v>
                </c:pt>
                <c:pt idx="2">
                  <c:v>9</c:v>
                </c:pt>
                <c:pt idx="3">
                  <c:v>14</c:v>
                </c:pt>
                <c:pt idx="4">
                  <c:v>8</c:v>
                </c:pt>
                <c:pt idx="5">
                  <c:v>11</c:v>
                </c:pt>
                <c:pt idx="6">
                  <c:v>3</c:v>
                </c:pt>
                <c:pt idx="7">
                  <c:v>15</c:v>
                </c:pt>
                <c:pt idx="8">
                  <c:v>7</c:v>
                </c:pt>
                <c:pt idx="9">
                  <c:v>3</c:v>
                </c:pt>
                <c:pt idx="10">
                  <c:v>15</c:v>
                </c:pt>
                <c:pt idx="1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B9-4EEF-A802-59886CECB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362948704"/>
        <c:axId val="49594184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[0]!Ano_Dinamico_Reais</c:f>
              <c:numCache>
                <c:formatCode>General</c:formatCode>
                <c:ptCount val="12"/>
                <c:pt idx="0">
                  <c:v>6124</c:v>
                </c:pt>
                <c:pt idx="1">
                  <c:v>2643</c:v>
                </c:pt>
                <c:pt idx="2">
                  <c:v>4507</c:v>
                </c:pt>
                <c:pt idx="3">
                  <c:v>6454</c:v>
                </c:pt>
                <c:pt idx="4">
                  <c:v>4038</c:v>
                </c:pt>
                <c:pt idx="5">
                  <c:v>5459</c:v>
                </c:pt>
                <c:pt idx="6">
                  <c:v>1772</c:v>
                </c:pt>
                <c:pt idx="7">
                  <c:v>7288</c:v>
                </c:pt>
                <c:pt idx="8">
                  <c:v>3329</c:v>
                </c:pt>
                <c:pt idx="9">
                  <c:v>1772</c:v>
                </c:pt>
                <c:pt idx="10">
                  <c:v>7288</c:v>
                </c:pt>
                <c:pt idx="11">
                  <c:v>3329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6B9-4EEF-A802-59886CECB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956624"/>
        <c:axId val="210605904"/>
      </c:lineChart>
      <c:catAx>
        <c:axId val="362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5941840"/>
        <c:crosses val="autoZero"/>
        <c:auto val="1"/>
        <c:lblAlgn val="ctr"/>
        <c:lblOffset val="100"/>
        <c:noMultiLvlLbl val="0"/>
      </c:catAx>
      <c:valAx>
        <c:axId val="495941840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2">
                      <a:lumMod val="5000"/>
                      <a:lumOff val="95000"/>
                    </a:schemeClr>
                  </a:gs>
                  <a:gs pos="74000">
                    <a:schemeClr val="accent2">
                      <a:lumMod val="45000"/>
                      <a:lumOff val="55000"/>
                    </a:schemeClr>
                  </a:gs>
                  <a:gs pos="83000">
                    <a:schemeClr val="accent2">
                      <a:lumMod val="45000"/>
                      <a:lumOff val="55000"/>
                    </a:schemeClr>
                  </a:gs>
                  <a:gs pos="100000">
                    <a:schemeClr val="accent2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2948704"/>
        <c:crosses val="autoZero"/>
        <c:crossBetween val="between"/>
      </c:valAx>
      <c:valAx>
        <c:axId val="210605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956624"/>
        <c:crosses val="max"/>
        <c:crossBetween val="between"/>
      </c:valAx>
      <c:catAx>
        <c:axId val="44295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10605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'Painel Consulta'!$J$4</c:f>
          <c:strCache>
            <c:ptCount val="1"/>
            <c:pt idx="0">
              <c:v>MAIO</c:v>
            </c:pt>
          </c:strCache>
        </c:strRef>
      </c:tx>
      <c:layout>
        <c:manualLayout>
          <c:xMode val="edge"/>
          <c:yMode val="edge"/>
          <c:x val="0.80845472036799282"/>
          <c:y val="1.76370761893916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2D-4E8C-875F-3B027B11EF65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2D-4E8C-875F-3B027B11EF65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2D-4E8C-875F-3B027B11EF65}"/>
              </c:ext>
            </c:extLst>
          </c:dPt>
          <c:dLbls>
            <c:dLbl>
              <c:idx val="2"/>
              <c:layout>
                <c:manualLayout>
                  <c:x val="0.13165481719088859"/>
                  <c:y val="0.20880425230260949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2D-4E8C-875F-3B027B11EF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Gestores!$B$6:$B$8</c:f>
              <c:strCache>
                <c:ptCount val="3"/>
                <c:pt idx="0">
                  <c:v>Marcelo Leal</c:v>
                </c:pt>
                <c:pt idx="1">
                  <c:v>Janny Costa</c:v>
                </c:pt>
                <c:pt idx="2">
                  <c:v>Alexandra Conceição</c:v>
                </c:pt>
              </c:strCache>
            </c:strRef>
          </c:cat>
          <c:val>
            <c:numRef>
              <c:f>[0]!Mês_Dinâmico</c:f>
              <c:numCache>
                <c:formatCode>General</c:formatCode>
                <c:ptCount val="3"/>
                <c:pt idx="0">
                  <c:v>8</c:v>
                </c:pt>
                <c:pt idx="1">
                  <c:v>17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3-4382-937A-A1F9B98CEEB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+mn-cs"/>
              </a:defRPr>
            </a:pPr>
            <a:r>
              <a:rPr lang="pt-BR"/>
              <a:t>ALEXANDRA CONCEIÇÃO</a:t>
            </a:r>
          </a:p>
        </c:rich>
      </c:tx>
      <c:layout>
        <c:manualLayout>
          <c:xMode val="edge"/>
          <c:yMode val="edge"/>
          <c:x val="0.61595536471022405"/>
          <c:y val="2.732367801089361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>
                    <a:lumMod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Estatísticas!$C$11:$N$11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[0]!Período_Dinâmico</c:f>
              <c:numCache>
                <c:formatCode>General</c:formatCode>
                <c:ptCount val="5"/>
                <c:pt idx="0">
                  <c:v>3</c:v>
                </c:pt>
                <c:pt idx="1">
                  <c:v>11</c:v>
                </c:pt>
                <c:pt idx="2">
                  <c:v>5</c:v>
                </c:pt>
                <c:pt idx="3">
                  <c:v>11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B9-4EEF-A802-59886CECB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362948704"/>
        <c:axId val="49594184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  <a:headEnd type="none"/>
              <a:tailEnd type="triangle"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[0]!Período_Dinamico_Reais</c:f>
              <c:numCache>
                <c:formatCode>General</c:formatCode>
                <c:ptCount val="5"/>
                <c:pt idx="0">
                  <c:v>1639</c:v>
                </c:pt>
                <c:pt idx="1">
                  <c:v>5779</c:v>
                </c:pt>
                <c:pt idx="2">
                  <c:v>2330</c:v>
                </c:pt>
                <c:pt idx="3">
                  <c:v>6190</c:v>
                </c:pt>
                <c:pt idx="4">
                  <c:v>3286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6B9-4EEF-A802-59886CECBF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956624"/>
        <c:axId val="210605904"/>
      </c:lineChart>
      <c:catAx>
        <c:axId val="362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5941840"/>
        <c:crosses val="autoZero"/>
        <c:auto val="1"/>
        <c:lblAlgn val="ctr"/>
        <c:lblOffset val="100"/>
        <c:noMultiLvlLbl val="0"/>
      </c:catAx>
      <c:valAx>
        <c:axId val="495941840"/>
        <c:scaling>
          <c:orientation val="minMax"/>
        </c:scaling>
        <c:delete val="0"/>
        <c:axPos val="l"/>
        <c:majorGridlines>
          <c:spPr>
            <a:ln w="9525" cap="flat" cmpd="sng" algn="ctr">
              <a:gradFill flip="none" rotWithShape="1">
                <a:gsLst>
                  <a:gs pos="0">
                    <a:schemeClr val="accent2">
                      <a:lumMod val="5000"/>
                      <a:lumOff val="95000"/>
                    </a:schemeClr>
                  </a:gs>
                  <a:gs pos="74000">
                    <a:schemeClr val="accent2">
                      <a:lumMod val="45000"/>
                      <a:lumOff val="55000"/>
                    </a:schemeClr>
                  </a:gs>
                  <a:gs pos="83000">
                    <a:schemeClr val="accent2">
                      <a:lumMod val="45000"/>
                      <a:lumOff val="55000"/>
                    </a:schemeClr>
                  </a:gs>
                  <a:gs pos="100000">
                    <a:schemeClr val="accent2">
                      <a:lumMod val="30000"/>
                      <a:lumOff val="70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2948704"/>
        <c:crosses val="autoZero"/>
        <c:crossBetween val="between"/>
      </c:valAx>
      <c:valAx>
        <c:axId val="2106059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956624"/>
        <c:crosses val="max"/>
        <c:crossBetween val="between"/>
      </c:valAx>
      <c:catAx>
        <c:axId val="442956624"/>
        <c:scaling>
          <c:orientation val="minMax"/>
        </c:scaling>
        <c:delete val="1"/>
        <c:axPos val="b"/>
        <c:majorTickMark val="out"/>
        <c:minorTickMark val="none"/>
        <c:tickLblPos val="nextTo"/>
        <c:crossAx val="210605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tint val="39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AAD-4805-9D54-CED9D848326D}"/>
              </c:ext>
            </c:extLst>
          </c:dPt>
          <c:dPt>
            <c:idx val="1"/>
            <c:bubble3D val="0"/>
            <c:spPr>
              <a:solidFill>
                <a:schemeClr val="accent1">
                  <a:tint val="4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AAD-4805-9D54-CED9D848326D}"/>
              </c:ext>
            </c:extLst>
          </c:dPt>
          <c:dPt>
            <c:idx val="2"/>
            <c:bubble3D val="0"/>
            <c:spPr>
              <a:solidFill>
                <a:schemeClr val="accent1">
                  <a:tint val="5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FAAD-4805-9D54-CED9D848326D}"/>
              </c:ext>
            </c:extLst>
          </c:dPt>
          <c:dPt>
            <c:idx val="3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AAD-4805-9D54-CED9D848326D}"/>
              </c:ext>
            </c:extLst>
          </c:dPt>
          <c:dPt>
            <c:idx val="4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FAAD-4805-9D54-CED9D848326D}"/>
              </c:ext>
            </c:extLst>
          </c:dPt>
          <c:dPt>
            <c:idx val="5"/>
            <c:bubble3D val="0"/>
            <c:spPr>
              <a:solidFill>
                <a:schemeClr val="accent1">
                  <a:tint val="8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AAD-4805-9D54-CED9D848326D}"/>
              </c:ext>
            </c:extLst>
          </c:dPt>
          <c:dPt>
            <c:idx val="6"/>
            <c:bubble3D val="0"/>
            <c:spPr>
              <a:solidFill>
                <a:schemeClr val="accent1">
                  <a:tint val="9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AAD-4805-9D54-CED9D848326D}"/>
              </c:ext>
            </c:extLst>
          </c:dPt>
          <c:dPt>
            <c:idx val="7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AAD-4805-9D54-CED9D848326D}"/>
              </c:ext>
            </c:extLst>
          </c:dPt>
          <c:dPt>
            <c:idx val="8"/>
            <c:bubble3D val="0"/>
            <c:spPr>
              <a:solidFill>
                <a:schemeClr val="accent1">
                  <a:shade val="91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AAD-4805-9D54-CED9D848326D}"/>
              </c:ext>
            </c:extLst>
          </c:dPt>
          <c:dPt>
            <c:idx val="9"/>
            <c:bubble3D val="0"/>
            <c:spPr>
              <a:solidFill>
                <a:schemeClr val="accent1">
                  <a:shade val="8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AAD-4805-9D54-CED9D848326D}"/>
              </c:ext>
            </c:extLst>
          </c:dPt>
          <c:dPt>
            <c:idx val="10"/>
            <c:bubble3D val="0"/>
            <c:spPr>
              <a:solidFill>
                <a:schemeClr val="accent1">
                  <a:shade val="7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FAAD-4805-9D54-CED9D848326D}"/>
              </c:ext>
            </c:extLst>
          </c:dPt>
          <c:dPt>
            <c:idx val="11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AAD-4805-9D54-CED9D848326D}"/>
              </c:ext>
            </c:extLst>
          </c:dPt>
          <c:dPt>
            <c:idx val="12"/>
            <c:bubble3D val="0"/>
            <c:spPr>
              <a:solidFill>
                <a:schemeClr val="accent1">
                  <a:shade val="5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FAAD-4805-9D54-CED9D848326D}"/>
              </c:ext>
            </c:extLst>
          </c:dPt>
          <c:dPt>
            <c:idx val="13"/>
            <c:bubble3D val="0"/>
            <c:spPr>
              <a:solidFill>
                <a:schemeClr val="accent1">
                  <a:shade val="4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AAD-4805-9D54-CED9D848326D}"/>
              </c:ext>
            </c:extLst>
          </c:dPt>
          <c:dPt>
            <c:idx val="14"/>
            <c:bubble3D val="0"/>
            <c:spPr>
              <a:solidFill>
                <a:schemeClr val="accent1">
                  <a:shade val="3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FAAD-4805-9D54-CED9D848326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1C99B66-F531-45A0-BF2D-20E3CF820FE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AD-4805-9D54-CED9D84832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E595AE-AFFA-4A3F-86EA-FCE4024605E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AD-4805-9D54-CED9D84832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DDCE74-6D7D-438D-A9CE-7D7C6B982BF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AD-4805-9D54-CED9D84832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AAD-4805-9D54-CED9D84832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FAAD-4805-9D54-CED9D84832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AAD-4805-9D54-CED9D84832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FAAD-4805-9D54-CED9D84832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AAD-4805-9D54-CED9D84832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A9F632-F99E-4CCB-BAED-484F8AA9D62A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FAAD-4805-9D54-CED9D84832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66FC054-9B0F-4E07-83D7-7A754069FC4F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FAAD-4805-9D54-CED9D84832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4B993C3-1FE5-4042-9681-825332A971C2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FAAD-4805-9D54-CED9D84832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C8DD0D-C4BC-4242-8593-ACD8B58EDA62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FAAD-4805-9D54-CED9D84832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FF93F29-906F-45A3-8571-77C4A73CC5B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FAAD-4805-9D54-CED9D84832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B46631-1F07-4978-8861-711664EF3D8C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FAAD-4805-9D54-CED9D84832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1D9F88B-FE41-45F5-9A2F-653D6D9C87C3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FAAD-4805-9D54-CED9D84832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'Painel Consulta'!$C$57:$C$71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'Painel Consulta'!$B$57:$B$71</c15:f>
                <c15:dlblRangeCache>
                  <c:ptCount val="15"/>
                  <c:pt idx="0">
                    <c:v>0%</c:v>
                  </c:pt>
                  <c:pt idx="1">
                    <c:v>10%</c:v>
                  </c:pt>
                  <c:pt idx="2">
                    <c:v>20%</c:v>
                  </c:pt>
                  <c:pt idx="8">
                    <c:v>30%</c:v>
                  </c:pt>
                  <c:pt idx="9">
                    <c:v>40%</c:v>
                  </c:pt>
                  <c:pt idx="10">
                    <c:v>50%</c:v>
                  </c:pt>
                  <c:pt idx="11">
                    <c:v>60%</c:v>
                  </c:pt>
                  <c:pt idx="12">
                    <c:v>70%</c:v>
                  </c:pt>
                  <c:pt idx="13">
                    <c:v>80%</c:v>
                  </c:pt>
                  <c:pt idx="14">
                    <c:v>90%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AD-4805-9D54-CED9D8483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837208950997166E-2"/>
          <c:y val="4.5348833057239239E-2"/>
          <c:w val="0.92325582098005665"/>
          <c:h val="0.92325582098005665"/>
        </c:manualLayout>
      </c:layout>
      <c:pieChart>
        <c:varyColors val="1"/>
        <c:ser>
          <c:idx val="0"/>
          <c:order val="0"/>
          <c:spPr>
            <a:ln>
              <a:noFill/>
            </a:ln>
          </c:spPr>
          <c:explosion val="8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0AB-4C06-A9C0-0C4B589D141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A0AB-4C06-A9C0-0C4B589D14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0AB-4C06-A9C0-0C4B589D141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502-4CBB-938D-C37D8BFF010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502-4CBB-938D-C37D8BFF010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502-4CBB-938D-C37D8BFF010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502-4CBB-938D-C37D8BFF0108}"/>
              </c:ext>
            </c:extLst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502-4CBB-938D-C37D8BFF0108}"/>
              </c:ext>
            </c:extLst>
          </c:dPt>
          <c:val>
            <c:numRef>
              <c:f>'Painel Consulta'!$E$58:$E$65</c:f>
              <c:numCache>
                <c:formatCode>General</c:formatCode>
                <c:ptCount val="8"/>
                <c:pt idx="0">
                  <c:v>8</c:v>
                </c:pt>
                <c:pt idx="1">
                  <c:v>0.01</c:v>
                </c:pt>
                <c:pt idx="7">
                  <c:v>9.99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AB-4C06-A9C0-0C4B589D1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2">
                  <a:shade val="4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3975-435D-B913-4322C5BC6264}"/>
              </c:ext>
            </c:extLst>
          </c:dPt>
          <c:dPt>
            <c:idx val="1"/>
            <c:bubble3D val="0"/>
            <c:spPr>
              <a:solidFill>
                <a:schemeClr val="accent2">
                  <a:shade val="61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975-435D-B913-4322C5BC6264}"/>
              </c:ext>
            </c:extLst>
          </c:dPt>
          <c:dPt>
            <c:idx val="2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3975-435D-B913-4322C5BC6264}"/>
              </c:ext>
            </c:extLst>
          </c:dPt>
          <c:dPt>
            <c:idx val="3"/>
            <c:bubble3D val="0"/>
            <c:spPr>
              <a:solidFill>
                <a:schemeClr val="accent2">
                  <a:shade val="92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975-435D-B913-4322C5BC6264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975-435D-B913-4322C5BC6264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75-435D-B913-4322C5BC6264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75-435D-B913-4322C5BC6264}"/>
              </c:ext>
            </c:extLst>
          </c:dPt>
          <c:dPt>
            <c:idx val="7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75-435D-B913-4322C5BC626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7FF3DDC4-5BB8-4E32-9F00-EC056F85EDC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3975-435D-B913-4322C5BC626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031392B-84DE-4992-8CF2-F4E1BB3C9B52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3975-435D-B913-4322C5BC626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20D81B-2783-41AC-A292-DB756A29F8E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3975-435D-B913-4322C5BC626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F63576-DA6E-4DD6-8735-28979860A9F0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3975-435D-B913-4322C5BC626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3975-435D-B913-4322C5BC626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3975-435D-B913-4322C5BC626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3975-435D-B913-4322C5BC626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3975-435D-B913-4322C5BC62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'Painel Consulta'!$O$68:$O$75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'Painel Consulta'!$N$68:$N$71</c15:f>
                <c15:dlblRangeCache>
                  <c:ptCount val="4"/>
                  <c:pt idx="0">
                    <c:v>Ruim</c:v>
                  </c:pt>
                  <c:pt idx="1">
                    <c:v>Regular</c:v>
                  </c:pt>
                  <c:pt idx="2">
                    <c:v>Bom</c:v>
                  </c:pt>
                  <c:pt idx="3">
                    <c:v>Ótimo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975-435D-B913-4322C5BC6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6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C6-405D-8844-0E3BAEADB9B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381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3C6-405D-8844-0E3BAEADB9B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C6-405D-8844-0E3BAEADB9B2}"/>
              </c:ext>
            </c:extLst>
          </c:dPt>
          <c:val>
            <c:numRef>
              <c:f>'Painel Consulta'!$R$69:$R$71</c:f>
              <c:numCache>
                <c:formatCode>General</c:formatCode>
                <c:ptCount val="3"/>
                <c:pt idx="0" formatCode="0.00">
                  <c:v>4</c:v>
                </c:pt>
                <c:pt idx="1">
                  <c:v>0.04</c:v>
                </c:pt>
                <c:pt idx="2" formatCode="0.00">
                  <c:v>5.96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6-405D-8844-0E3BAEADB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rgbClr val="C00000"/>
            </a:solidFill>
            <a:ln>
              <a:noFill/>
            </a:ln>
            <a:effectLst/>
            <a:sp3d/>
          </c:spPr>
          <c:invertIfNegative val="0"/>
          <c:val>
            <c:numRef>
              <c:f>'Painel Consulta'!$D$84</c:f>
              <c:numCache>
                <c:formatCode>0.00%</c:formatCode>
                <c:ptCount val="1"/>
                <c:pt idx="0">
                  <c:v>0.52666666666666662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3D-4286-B134-54DAD49517ED}"/>
            </c:ext>
          </c:extLst>
        </c:ser>
        <c:ser>
          <c:idx val="1"/>
          <c:order val="1"/>
          <c:spPr>
            <a:solidFill>
              <a:schemeClr val="bg1">
                <a:alpha val="60000"/>
              </a:schemeClr>
            </a:solidFill>
            <a:ln>
              <a:noFill/>
            </a:ln>
            <a:effectLst/>
            <a:sp3d/>
          </c:spPr>
          <c:invertIfNegative val="0"/>
          <c:val>
            <c:numRef>
              <c:f>'Painel Consulta'!$D$85</c:f>
              <c:numCache>
                <c:formatCode>0.00%</c:formatCode>
                <c:ptCount val="1"/>
                <c:pt idx="0">
                  <c:v>0.47333333333333338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3D-4286-B134-54DAD4951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68499328"/>
        <c:axId val="435703440"/>
        <c:axId val="0"/>
      </c:bar3DChart>
      <c:catAx>
        <c:axId val="368499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435703440"/>
        <c:crosses val="autoZero"/>
        <c:auto val="1"/>
        <c:lblAlgn val="ctr"/>
        <c:lblOffset val="100"/>
        <c:noMultiLvlLbl val="0"/>
      </c:catAx>
      <c:valAx>
        <c:axId val="435703440"/>
        <c:scaling>
          <c:orientation val="minMax"/>
          <c:min val="0"/>
        </c:scaling>
        <c:delete val="0"/>
        <c:axPos val="l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6849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spPr>
            <a:noFill/>
            <a:ln>
              <a:noFill/>
            </a:ln>
            <a:effectLst/>
          </c:spPr>
          <c:invertIfNegative val="0"/>
          <c:dLbls>
            <c:spPr>
              <a:gradFill rotWithShape="1">
                <a:gsLst>
                  <a:gs pos="0">
                    <a:schemeClr val="dk1">
                      <a:satMod val="103000"/>
                      <a:lumMod val="102000"/>
                      <a:tint val="94000"/>
                    </a:schemeClr>
                  </a:gs>
                  <a:gs pos="50000">
                    <a:schemeClr val="dk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dk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Agency FB" panose="020B0503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homePlat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'Painel Consulta'!$K$85</c:f>
              <c:numCache>
                <c:formatCode>0.00%</c:formatCode>
                <c:ptCount val="1"/>
                <c:pt idx="0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9-4261-A74F-DB01257B434F}"/>
            </c:ext>
          </c:extLst>
        </c:ser>
        <c:ser>
          <c:idx val="0"/>
          <c:order val="1"/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'Painel Consulta'!$K$84</c:f>
              <c:numCache>
                <c:formatCode>0.00%</c:formatCode>
                <c:ptCount val="1"/>
                <c:pt idx="0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69-4261-A74F-DB01257B434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00833424"/>
        <c:axId val="610563344"/>
      </c:barChart>
      <c:catAx>
        <c:axId val="600833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610563344"/>
        <c:crosses val="autoZero"/>
        <c:auto val="1"/>
        <c:lblAlgn val="ctr"/>
        <c:lblOffset val="100"/>
        <c:noMultiLvlLbl val="0"/>
      </c:catAx>
      <c:valAx>
        <c:axId val="610563344"/>
        <c:scaling>
          <c:orientation val="minMax"/>
          <c:max val="1"/>
        </c:scaling>
        <c:delete val="1"/>
        <c:axPos val="l"/>
        <c:numFmt formatCode="0.00%" sourceLinked="1"/>
        <c:majorTickMark val="none"/>
        <c:minorTickMark val="none"/>
        <c:tickLblPos val="nextTo"/>
        <c:crossAx val="60083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</cx:f>
      </cx:strDim>
      <cx:numDim type="size">
        <cx:f>[0]!Mês_Dinamico_Reais</cx:f>
      </cx:numDim>
    </cx:data>
  </cx:chartData>
  <cx:chart>
    <cx:plotArea>
      <cx:plotAreaRegion>
        <cx:series layoutId="treemap" uniqueId="{00000000-1434-4C16-97C5-740182654568}"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3600"/>
                </a:pPr>
                <a:endParaRPr lang="pt-BR" sz="36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  <cx:dataLabel idx="0">
              <cx:numFmt formatCode="R$ #.##0,00" sourceLinked="0"/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pt-BR" sz="3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Marcelo Leal
R$ 4.038,00</a:t>
                  </a:r>
                </a:p>
              </cx:txPr>
              <cx:separator>
</cx:separator>
            </cx:dataLabel>
            <cx:dataLabel idx="1">
              <cx:numFmt formatCode="R$ #.##0,00" sourceLinked="0"/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pt-BR" sz="3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Janny Costa
R$ 9.499,00</a:t>
                  </a:r>
                </a:p>
              </cx:txPr>
              <cx:separator>
</cx:separator>
            </cx:dataLabel>
            <cx:dataLabel idx="2">
              <cx:numFmt formatCode="R$ #.##0,00" sourceLinked="0"/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/>
                  </a:pPr>
                  <a:r>
                    <a:rPr lang="pt-BR" sz="3600" b="0" i="0" u="none" strike="noStrike" baseline="0">
                      <a:solidFill>
                        <a:sysClr val="window" lastClr="FFFFFF"/>
                      </a:solidFill>
                      <a:latin typeface="Calibri" panose="020F0502020204030204"/>
                    </a:rPr>
                    <a:t>Alexandra Conceição
R$ 3.286,00</a:t>
                  </a:r>
                </a:p>
              </cx:txPr>
              <cx:separator>
</cx:separator>
            </cx:dataLabel>
          </cx:dataLabels>
          <cx:dataId val="0"/>
          <cx:layoutPr/>
        </cx:series>
      </cx:plotAreaRegion>
    </cx:plotArea>
    <cx:legend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2400"/>
          </a:pPr>
          <a:endParaRPr lang="pt-BR" sz="2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21" fmlaLink="$B$4" fmlaRange="Listas!$I$2:$I$4" sel="3" val="0"/>
</file>

<file path=xl/ctrlProps/ctrlProp2.xml><?xml version="1.0" encoding="utf-8"?>
<formControlPr xmlns="http://schemas.microsoft.com/office/spreadsheetml/2009/9/main" objectType="Drop" dropStyle="combo" dx="21" fmlaLink="$E$4" fmlaRange="Listas!$E$2:$E$13" sel="5" val="0"/>
</file>

<file path=xl/ctrlProps/ctrlProp3.xml><?xml version="1.0" encoding="utf-8"?>
<formControlPr xmlns="http://schemas.microsoft.com/office/spreadsheetml/2009/9/main" objectType="Drop" dropStyle="combo" dx="21" fmlaLink="$G$4" fmlaRange="Listas!$G$2:$G$4" sel="2" val="0"/>
</file>

<file path=xl/ctrlProps/ctrlProp4.xml><?xml version="1.0" encoding="utf-8"?>
<formControlPr xmlns="http://schemas.microsoft.com/office/spreadsheetml/2009/9/main" objectType="Scroll" dx="21" fmlaLink="$E$4" horiz="1" max="12" min="1" page="10" val="5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9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hyperlink" Target="https://www.remix3d.com/details/G009SX7VGL2M" TargetMode="External"/><Relationship Id="rId4" Type="http://schemas.openxmlformats.org/officeDocument/2006/relationships/chart" Target="../charts/chart4.xml"/><Relationship Id="rId9" Type="http://schemas.microsoft.com/office/2017/06/relationships/model3d" Target="../media/model3d1.glb"/><Relationship Id="rId14" Type="http://schemas.microsoft.com/office/2014/relationships/chartEx" Target="../charts/chartEx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1626576</xdr:colOff>
      <xdr:row>5</xdr:row>
      <xdr:rowOff>183173</xdr:rowOff>
    </xdr:from>
    <xdr:to>
      <xdr:col>6</xdr:col>
      <xdr:colOff>249116</xdr:colOff>
      <xdr:row>12</xdr:row>
      <xdr:rowOff>190501</xdr:rowOff>
    </xdr:to>
    <xdr:sp macro="" textlink="$F$9">
      <xdr:nvSpPr>
        <xdr:cNvPr id="5" name="Elips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366845" y="1172308"/>
          <a:ext cx="1868367" cy="1861039"/>
        </a:xfrm>
        <a:prstGeom prst="ellipse">
          <a:avLst/>
        </a:prstGeom>
        <a:solidFill>
          <a:sysClr val="window" lastClr="FFFFFF"/>
        </a:solidFill>
        <a:ln w="28575">
          <a:solidFill>
            <a:schemeClr val="tx1">
              <a:lumMod val="75000"/>
              <a:lumOff val="25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1EEA7D-C541-4E58-81E5-4A3C8191AB66}" type="TxLink">
            <a:rPr lang="en-US" sz="3200" b="0" i="0" u="none" strike="noStrike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gency FB"/>
            </a:rPr>
            <a:pPr algn="ctr"/>
            <a:t>100,00%</a:t>
          </a:fld>
          <a:endParaRPr lang="pt-BR" sz="28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533400</xdr:colOff>
      <xdr:row>2</xdr:row>
      <xdr:rowOff>133350</xdr:rowOff>
    </xdr:to>
    <xdr:pic macro="[0]!Atualizar">
      <xdr:nvPicPr>
        <xdr:cNvPr id="3" name="Gráfico 2" descr="Seta circular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533400" cy="533400"/>
        </a:xfrm>
        <a:prstGeom prst="rect">
          <a:avLst/>
        </a:prstGeom>
      </xdr:spPr>
    </xdr:pic>
    <xdr:clientData/>
  </xdr:twoCellAnchor>
  <xdr:twoCellAnchor>
    <xdr:from>
      <xdr:col>4</xdr:col>
      <xdr:colOff>51289</xdr:colOff>
      <xdr:row>10</xdr:row>
      <xdr:rowOff>146538</xdr:rowOff>
    </xdr:from>
    <xdr:to>
      <xdr:col>5</xdr:col>
      <xdr:colOff>674077</xdr:colOff>
      <xdr:row>11</xdr:row>
      <xdr:rowOff>227134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4659924" y="2161442"/>
          <a:ext cx="1311518" cy="27842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800" b="0" cap="none" spc="0">
              <a:ln w="0"/>
              <a:solidFill>
                <a:schemeClr val="accent1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Agency FB" panose="020B0503020202020204" pitchFamily="34" charset="0"/>
            </a:rPr>
            <a:t>Faturamento</a:t>
          </a:r>
        </a:p>
      </xdr:txBody>
    </xdr:sp>
    <xdr:clientData/>
  </xdr:twoCellAnchor>
  <xdr:twoCellAnchor editAs="absolute">
    <xdr:from>
      <xdr:col>1</xdr:col>
      <xdr:colOff>14654</xdr:colOff>
      <xdr:row>0</xdr:row>
      <xdr:rowOff>0</xdr:rowOff>
    </xdr:from>
    <xdr:to>
      <xdr:col>2</xdr:col>
      <xdr:colOff>14653</xdr:colOff>
      <xdr:row>6</xdr:row>
      <xdr:rowOff>43961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Gestor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s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3385" y="0"/>
              <a:ext cx="1868364" cy="12309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14653</xdr:colOff>
      <xdr:row>0</xdr:row>
      <xdr:rowOff>0</xdr:rowOff>
    </xdr:from>
    <xdr:to>
      <xdr:col>4</xdr:col>
      <xdr:colOff>95250</xdr:colOff>
      <xdr:row>6</xdr:row>
      <xdr:rowOff>43961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Módulo 1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ódul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54922" y="0"/>
              <a:ext cx="2036886" cy="12309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608135</xdr:colOff>
      <xdr:row>0</xdr:row>
      <xdr:rowOff>0</xdr:rowOff>
    </xdr:from>
    <xdr:to>
      <xdr:col>6</xdr:col>
      <xdr:colOff>1770185</xdr:colOff>
      <xdr:row>5</xdr:row>
      <xdr:rowOff>1465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Cliente 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3423" y="0"/>
              <a:ext cx="1850781" cy="990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95249</xdr:colOff>
      <xdr:row>0</xdr:row>
      <xdr:rowOff>0</xdr:rowOff>
    </xdr:from>
    <xdr:to>
      <xdr:col>8</xdr:col>
      <xdr:colOff>1055076</xdr:colOff>
      <xdr:row>5</xdr:row>
      <xdr:rowOff>1465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3" name="Estado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7634" y="0"/>
              <a:ext cx="1150327" cy="990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504825</xdr:colOff>
          <xdr:row>1</xdr:row>
          <xdr:rowOff>123825</xdr:rowOff>
        </xdr:from>
        <xdr:to>
          <xdr:col>12</xdr:col>
          <xdr:colOff>219075</xdr:colOff>
          <xdr:row>3</xdr:row>
          <xdr:rowOff>0</xdr:rowOff>
        </xdr:to>
        <xdr:sp macro="" textlink="">
          <xdr:nvSpPr>
            <xdr:cNvPr id="18433" name="Drop-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914400</xdr:colOff>
          <xdr:row>1</xdr:row>
          <xdr:rowOff>123825</xdr:rowOff>
        </xdr:from>
        <xdr:to>
          <xdr:col>12</xdr:col>
          <xdr:colOff>1647825</xdr:colOff>
          <xdr:row>2</xdr:row>
          <xdr:rowOff>190500</xdr:rowOff>
        </xdr:to>
        <xdr:sp macro="" textlink="">
          <xdr:nvSpPr>
            <xdr:cNvPr id="18434" name="Drop-dow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2000250</xdr:colOff>
          <xdr:row>1</xdr:row>
          <xdr:rowOff>133350</xdr:rowOff>
        </xdr:from>
        <xdr:to>
          <xdr:col>12</xdr:col>
          <xdr:colOff>2771775</xdr:colOff>
          <xdr:row>2</xdr:row>
          <xdr:rowOff>180975</xdr:rowOff>
        </xdr:to>
        <xdr:sp macro="" textlink="">
          <xdr:nvSpPr>
            <xdr:cNvPr id="18435" name="Drop-dow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7324</xdr:colOff>
      <xdr:row>7</xdr:row>
      <xdr:rowOff>13607</xdr:rowOff>
    </xdr:from>
    <xdr:to>
      <xdr:col>21</xdr:col>
      <xdr:colOff>625928</xdr:colOff>
      <xdr:row>32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10989</xdr:colOff>
      <xdr:row>34</xdr:row>
      <xdr:rowOff>29306</xdr:rowOff>
    </xdr:from>
    <xdr:to>
      <xdr:col>11</xdr:col>
      <xdr:colOff>244928</xdr:colOff>
      <xdr:row>58</xdr:row>
      <xdr:rowOff>149678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503464</xdr:colOff>
      <xdr:row>34</xdr:row>
      <xdr:rowOff>24545</xdr:rowOff>
    </xdr:from>
    <xdr:to>
      <xdr:col>21</xdr:col>
      <xdr:colOff>612321</xdr:colOff>
      <xdr:row>58</xdr:row>
      <xdr:rowOff>149678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9630146" y="7211590"/>
          <a:ext cx="9876311" cy="5112770"/>
          <a:chOff x="6345464" y="4691795"/>
          <a:chExt cx="5397500" cy="4313110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GraphicFramePr/>
        </xdr:nvGraphicFramePr>
        <xdr:xfrm>
          <a:off x="6345464" y="4691795"/>
          <a:ext cx="5397500" cy="43131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36" name="Barra de rolagem 4" hidden="1">
                <a:extLst>
                  <a:ext uri="{63B3BB69-23CF-44E3-9099-C40C66FF867C}">
                    <a14:compatExt spid="_x0000_s18436"/>
                  </a:ext>
                  <a:ext uri="{FF2B5EF4-FFF2-40B4-BE49-F238E27FC236}">
                    <a16:creationId xmlns:a16="http://schemas.microsoft.com/office/drawing/2014/main" id="{00000000-0008-0000-0300-000004480000}"/>
                  </a:ext>
                </a:extLst>
              </xdr:cNvPr>
              <xdr:cNvSpPr/>
            </xdr:nvSpPr>
            <xdr:spPr bwMode="auto">
              <a:xfrm>
                <a:off x="6387799" y="4733470"/>
                <a:ext cx="2686654" cy="3087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0</xdr:col>
      <xdr:colOff>621805</xdr:colOff>
      <xdr:row>59</xdr:row>
      <xdr:rowOff>70824</xdr:rowOff>
    </xdr:from>
    <xdr:to>
      <xdr:col>11</xdr:col>
      <xdr:colOff>258535</xdr:colOff>
      <xdr:row>80</xdr:row>
      <xdr:rowOff>122464</xdr:rowOff>
    </xdr:to>
    <xdr:grpSp>
      <xdr:nvGrpSpPr>
        <xdr:cNvPr id="11" name="Rosca - Porcentagem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621805" y="12453324"/>
          <a:ext cx="8763412" cy="4415822"/>
          <a:chOff x="703448" y="9105967"/>
          <a:chExt cx="8134323" cy="4565500"/>
        </a:xfrm>
      </xdr:grpSpPr>
      <xdr:graphicFrame macro="">
        <xdr:nvGraphicFramePr>
          <xdr:cNvPr id="5" name="Porcentagem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GraphicFramePr/>
        </xdr:nvGraphicFramePr>
        <xdr:xfrm>
          <a:off x="703448" y="9105967"/>
          <a:ext cx="8134323" cy="4565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6" name="Ponteiro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GraphicFramePr/>
        </xdr:nvGraphicFramePr>
        <xdr:xfrm>
          <a:off x="2953591" y="9536636"/>
          <a:ext cx="3634035" cy="3694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11</xdr:col>
      <xdr:colOff>476247</xdr:colOff>
      <xdr:row>59</xdr:row>
      <xdr:rowOff>54429</xdr:rowOff>
    </xdr:from>
    <xdr:to>
      <xdr:col>21</xdr:col>
      <xdr:colOff>625929</xdr:colOff>
      <xdr:row>80</xdr:row>
      <xdr:rowOff>149679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/>
      </xdr:nvGrpSpPr>
      <xdr:grpSpPr>
        <a:xfrm>
          <a:off x="9602929" y="12436929"/>
          <a:ext cx="9917136" cy="4459432"/>
          <a:chOff x="7837711" y="9769929"/>
          <a:chExt cx="10178147" cy="4381500"/>
        </a:xfrm>
      </xdr:grpSpPr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GrpSpPr/>
        </xdr:nvGrpSpPr>
        <xdr:grpSpPr>
          <a:xfrm>
            <a:off x="7837711" y="9769929"/>
            <a:ext cx="10178147" cy="4381500"/>
            <a:chOff x="8926283" y="9075963"/>
            <a:chExt cx="6340931" cy="3687535"/>
          </a:xfrm>
        </xdr:grpSpPr>
        <xdr:graphicFrame macro="">
          <xdr:nvGraphicFramePr>
            <xdr:cNvPr id="10" name="Gráfico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/>
          </xdr:nvGraphicFramePr>
          <xdr:xfrm>
            <a:off x="8926283" y="9075963"/>
            <a:ext cx="6340931" cy="368753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  <xdr:graphicFrame macro="">
          <xdr:nvGraphicFramePr>
            <xdr:cNvPr id="12" name="Gráfico 1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aphicFramePr/>
          </xdr:nvGraphicFramePr>
          <xdr:xfrm>
            <a:off x="10613572" y="9647464"/>
            <a:ext cx="2966358" cy="185057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7"/>
            </a:graphicData>
          </a:graphic>
        </xdr:graphicFrame>
        <xdr:sp macro="" textlink="">
          <xdr:nvSpPr>
            <xdr:cNvPr id="13" name="Elipse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/>
          </xdr:nvSpPr>
          <xdr:spPr>
            <a:xfrm>
              <a:off x="11968384" y="10450287"/>
              <a:ext cx="230091" cy="312964"/>
            </a:xfrm>
            <a:prstGeom prst="ellipse">
              <a:avLst/>
            </a:prstGeom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$M$7">
        <xdr:nvSpPr>
          <xdr:cNvPr id="18" name="Retângulo: Cantos Arredondados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11769186" y="12162780"/>
            <a:ext cx="2315201" cy="646716"/>
          </a:xfrm>
          <a:prstGeom prst="roundRect">
            <a:avLst/>
          </a:prstGeom>
          <a:ln>
            <a:noFill/>
          </a:ln>
          <a:effectLst>
            <a:innerShdw blurRad="63500" dist="50800" dir="13500000">
              <a:prstClr val="black">
                <a:alpha val="50000"/>
              </a:prstClr>
            </a:innerShdw>
          </a:effectLst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fld id="{C5C08B84-AECA-4455-91A2-671CD1D4900B}" type="TxLink">
              <a:rPr lang="en-US" sz="3200" b="0" i="0" u="none" strike="noStrike">
                <a:solidFill>
                  <a:srgbClr val="000000"/>
                </a:solidFill>
                <a:latin typeface="Agency FB"/>
              </a:rPr>
              <a:pPr algn="ctr"/>
              <a:t>4,00</a:t>
            </a:fld>
            <a:endParaRPr lang="pt-BR" sz="1600"/>
          </a:p>
        </xdr:txBody>
      </xdr:sp>
    </xdr:grpSp>
    <xdr:clientData/>
  </xdr:twoCellAnchor>
  <xdr:twoCellAnchor>
    <xdr:from>
      <xdr:col>0</xdr:col>
      <xdr:colOff>606136</xdr:colOff>
      <xdr:row>80</xdr:row>
      <xdr:rowOff>187035</xdr:rowOff>
    </xdr:from>
    <xdr:to>
      <xdr:col>6</xdr:col>
      <xdr:colOff>277092</xdr:colOff>
      <xdr:row>115</xdr:row>
      <xdr:rowOff>190501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606136" y="16933717"/>
          <a:ext cx="4641274" cy="7277102"/>
          <a:chOff x="3996170" y="17020307"/>
          <a:chExt cx="3138922" cy="4878533"/>
        </a:xfrm>
      </xdr:grpSpPr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GraphicFramePr/>
        </xdr:nvGraphicFramePr>
        <xdr:xfrm>
          <a:off x="3996170" y="17020307"/>
          <a:ext cx="3138922" cy="48785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mc:AlternateContent xmlns:mc="http://schemas.openxmlformats.org/markup-compatibility/2006">
        <mc:Choice xmlns:am3d="http://schemas.microsoft.com/office/drawing/2017/model3d" Requires="am3d">
          <xdr:graphicFrame macro="">
            <xdr:nvGraphicFramePr>
              <xdr:cNvPr id="25" name="Modelo 3D 24" descr="Esfera Vermelha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GraphicFramePr>
                <a:graphicFrameLocks noChangeAspect="1"/>
              </xdr:cNvGraphicFramePr>
            </xdr:nvGraphicFramePr>
            <xdr:xfrm>
              <a:off x="5050385" y="20511533"/>
              <a:ext cx="1286478" cy="1271401"/>
            </xdr:xfrm>
            <a:graphic>
              <a:graphicData uri="http://schemas.microsoft.com/office/drawing/2017/model3d">
                <am3d:model3d xmlns:r="http://schemas.openxmlformats.org/officeDocument/2006/relationships" r:embed="rId9">
                  <am3d:spPr>
                    <a:xfrm>
                      <a:off x="0" y="0"/>
                      <a:ext cx="1286478" cy="1271401"/>
                    </a:xfrm>
                    <a:prstGeom prst="rect">
                      <a:avLst/>
                    </a:prstGeom>
                  </am3d:spPr>
                  <am3d:camera>
                    <am3d:pos x="0" y="0" z="81469193"/>
                    <am3d:up dx="0" dy="36000000" dz="0"/>
                    <am3d:lookAt x="0" y="0" z="0"/>
                    <am3d:perspective fov="2700000"/>
                  </am3d:camera>
                  <am3d:trans>
                    <am3d:meterPerModelUnit n="71431" d="1000000"/>
                    <am3d:preTrans dx="-2" dy="-18000000" dz="3"/>
                    <am3d:scale>
                      <am3d:sx n="1000000" d="1000000"/>
                      <am3d:sy n="1000000" d="1000000"/>
                      <am3d:sz n="1000000" d="1000000"/>
                    </am3d:scale>
                    <am3d:rot ax="262965" ay="-1504345" az="-111614"/>
                    <am3d:postTrans dx="0" dy="0" dz="0"/>
                  </am3d:trans>
                  <am3d:attrSrcUrl r:id="rId10"/>
                  <am3d:raster rName="Office3DRenderer" rVer="16.0.8326">
                    <am3d:blip r:embed="rId11"/>
                  </am3d:raster>
                  <am3d:objViewport viewportSz="2356234"/>
                  <am3d:ambientLight>
                    <am3d:clr>
                      <a:scrgbClr r="50000" g="50000" b="50000"/>
                    </am3d:clr>
                    <am3d:illuminance n="500000" d="1000000"/>
                  </am3d:ambientLight>
                  <am3d:ptLight rad="0">
                    <am3d:clr>
                      <a:scrgbClr r="100000" g="75000" b="50000"/>
                    </am3d:clr>
                    <am3d:intensity n="9765625" d="1000000"/>
                    <am3d:pos x="21959998" y="70920001" z="16344003"/>
                  </am3d:ptLight>
                  <am3d:ptLight rad="0">
                    <am3d:clr>
                      <a:scrgbClr r="40000" g="60000" b="95000"/>
                    </am3d:clr>
                    <am3d:intensity n="12250000" d="1000000"/>
                    <am3d:pos x="-37964106" y="51130435" z="57631972"/>
                  </am3d:ptLight>
                  <am3d:ptLight rad="0">
                    <am3d:clr>
                      <a:scrgbClr r="86837" g="72700" b="100000"/>
                    </am3d:clr>
                    <am3d:intensity n="3125000" d="1000000"/>
                    <am3d:pos x="-37739122" y="58056624" z="-34769649"/>
                  </am3d:ptLight>
                </am3d:model3d>
              </a:graphicData>
            </a:graphic>
          </xdr:graphicFrame>
        </mc:Choice>
        <mc:Fallback>
          <xdr:pic>
            <xdr:nvPicPr>
              <xdr:cNvPr id="25" name="Modelo 3D 24" descr="Esfera Vermelha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PicPr>
                <a:picLocks noGrp="1" noRot="1" noChangeAspect="1" noMove="1" noResize="1" noEditPoints="1" noAdjustHandles="1" noChangeArrowheads="1" noChangeShapeType="1" noCrop="1"/>
              </xdr:cNvPicPr>
            </xdr:nvPicPr>
            <xdr:blipFill>
              <a:blip xmlns:r="http://schemas.openxmlformats.org/officeDocument/2006/relationships" r:embed="rId11"/>
              <a:stretch>
                <a:fillRect/>
              </a:stretch>
            </xdr:blipFill>
            <xdr:spPr>
              <a:xfrm>
                <a:off x="2164920" y="22141432"/>
                <a:ext cx="1902213" cy="1896495"/>
              </a:xfrm>
              <a:prstGeom prst="rect">
                <a:avLst/>
              </a:prstGeom>
            </xdr:spPr>
          </xdr:pic>
        </mc:Fallback>
      </mc:AlternateContent>
    </xdr:grpSp>
    <xdr:clientData/>
  </xdr:twoCellAnchor>
  <xdr:twoCellAnchor>
    <xdr:from>
      <xdr:col>6</xdr:col>
      <xdr:colOff>380998</xdr:colOff>
      <xdr:row>80</xdr:row>
      <xdr:rowOff>173183</xdr:rowOff>
    </xdr:from>
    <xdr:to>
      <xdr:col>11</xdr:col>
      <xdr:colOff>198293</xdr:colOff>
      <xdr:row>116</xdr:row>
      <xdr:rowOff>51955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pSpPr/>
      </xdr:nvGrpSpPr>
      <xdr:grpSpPr>
        <a:xfrm>
          <a:off x="5351316" y="16919865"/>
          <a:ext cx="3973659" cy="7360226"/>
          <a:chOff x="8884225" y="17145001"/>
          <a:chExt cx="2996047" cy="6923474"/>
        </a:xfrm>
      </xdr:grpSpPr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884225" y="17145001"/>
            <a:ext cx="2978729" cy="6923474"/>
          </a:xfrm>
          <a:prstGeom prst="rect">
            <a:avLst/>
          </a:prstGeom>
        </xdr:spPr>
      </xdr:pic>
      <xdr:graphicFrame macro="">
        <xdr:nvGraphicFramePr>
          <xdr:cNvPr id="29" name="Gráfico 2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GraphicFramePr/>
        </xdr:nvGraphicFramePr>
        <xdr:xfrm>
          <a:off x="9143999" y="18062863"/>
          <a:ext cx="2736273" cy="51435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11</xdr:col>
      <xdr:colOff>467591</xdr:colOff>
      <xdr:row>81</xdr:row>
      <xdr:rowOff>117763</xdr:rowOff>
    </xdr:from>
    <xdr:to>
      <xdr:col>21</xdr:col>
      <xdr:colOff>640773</xdr:colOff>
      <xdr:row>115</xdr:row>
      <xdr:rowOff>69272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2" name="Gráfico 31">
              <a:extLst>
                <a:ext uri="{FF2B5EF4-FFF2-40B4-BE49-F238E27FC236}">
                  <a16:creationId xmlns:a16="http://schemas.microsoft.com/office/drawing/2014/main" id="{00000000-0008-0000-03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83016" y="16443613"/>
              <a:ext cx="9888682" cy="67523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0.47532</cdr:x>
      <cdr:y>0.45895</cdr:y>
    </cdr:from>
    <cdr:to>
      <cdr:x>0.52338</cdr:x>
      <cdr:y>0.54599</cdr:y>
    </cdr:to>
    <cdr:sp macro="" textlink="">
      <cdr:nvSpPr>
        <cdr:cNvPr id="4" name="Elipse 3">
          <a:extLst xmlns:a="http://schemas.openxmlformats.org/drawingml/2006/main">
            <a:ext uri="{FF2B5EF4-FFF2-40B4-BE49-F238E27FC236}">
              <a16:creationId xmlns:a16="http://schemas.microsoft.com/office/drawing/2014/main" id="{49D17FB3-5092-498C-B486-F6716C1AAF97}"/>
            </a:ext>
          </a:extLst>
        </cdr:cNvPr>
        <cdr:cNvSpPr/>
      </cdr:nvSpPr>
      <cdr:spPr>
        <a:xfrm xmlns:a="http://schemas.openxmlformats.org/drawingml/2006/main">
          <a:off x="3873502" y="2064808"/>
          <a:ext cx="391583" cy="391583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0">
          <a:schemeClr val="dk1"/>
        </a:lnRef>
        <a:fillRef xmlns:a="http://schemas.openxmlformats.org/drawingml/2006/main" idx="3">
          <a:schemeClr val="dk1"/>
        </a:fillRef>
        <a:effectRef xmlns:a="http://schemas.openxmlformats.org/drawingml/2006/main" idx="3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100853</xdr:colOff>
      <xdr:row>0</xdr:row>
      <xdr:rowOff>190500</xdr:rowOff>
    </xdr:from>
    <xdr:to>
      <xdr:col>7</xdr:col>
      <xdr:colOff>1015253</xdr:colOff>
      <xdr:row>4</xdr:row>
      <xdr:rowOff>152400</xdr:rowOff>
    </xdr:to>
    <xdr:pic macro="[0]!Filtrar">
      <xdr:nvPicPr>
        <xdr:cNvPr id="3" name="Gráfico 2" descr="Filtr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22559" y="190500"/>
          <a:ext cx="914400" cy="914400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&#225;rio%20do%20aluno%20(segunda)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</sheetNames>
    <sheetDataSet>
      <sheetData sheetId="0">
        <row r="4">
          <cell r="L4">
            <v>3</v>
          </cell>
        </row>
        <row r="10">
          <cell r="L10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015" backgroundRefresh="0" connectionId="2" xr16:uid="{00000000-0016-0000-0000-000000000000}" autoFormatId="16" applyNumberFormats="0" applyBorderFormats="0" applyFontFormats="0" applyPatternFormats="0" applyAlignmentFormats="0" applyWidthHeightFormats="0">
  <queryTableRefresh nextId="26" unboundColumnsRight="1">
    <queryTableFields count="22">
      <queryTableField id="1" name="Turma" tableColumnId="1"/>
      <queryTableField id="2" name="Vendedor" tableColumnId="2"/>
      <queryTableField id="21" dataBound="0" tableColumnId="20"/>
      <queryTableField id="3" name="Treinamento" tableColumnId="3"/>
      <queryTableField id="11" dataBound="0" tableColumnId="11"/>
      <queryTableField id="12" dataBound="0" tableColumnId="12"/>
      <queryTableField id="4" name="Data Início" tableColumnId="4"/>
      <queryTableField id="5" name="Data Término" tableColumnId="5"/>
      <queryTableField id="13" dataBound="0" tableColumnId="14"/>
      <queryTableField id="14" dataBound="0" tableColumnId="15"/>
      <queryTableField id="15" dataBound="0" tableColumnId="16"/>
      <queryTableField id="19" dataBound="0" tableColumnId="18"/>
      <queryTableField id="25" dataBound="0" tableColumnId="25"/>
      <queryTableField id="22" dataBound="0" tableColumnId="22"/>
      <queryTableField id="23" dataBound="0" tableColumnId="23"/>
      <queryTableField id="6" name="Cliente" tableColumnId="6"/>
      <queryTableField id="7" name="Instrutor" tableColumnId="7"/>
      <queryTableField id="24" dataBound="0" tableColumnId="24"/>
      <queryTableField id="8" name="Feedback" tableColumnId="8"/>
      <queryTableField id="9" name="Alunos" tableColumnId="9"/>
      <queryTableField id="10" name="Valor" tableColumnId="10"/>
      <queryTableField id="20" dataBound="0" tableColumnId="19"/>
    </queryTableFields>
  </queryTableRefresh>
  <extLst>
    <ext xmlns:x15="http://schemas.microsoft.com/office/spreadsheetml/2010/11/main" uri="{883FBD77-0823-4a55-B5E3-86C4891E6966}">
      <x15:queryTable sourceDataName="2015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estor" xr10:uid="{00000000-0013-0000-FFFF-FFFF01000000}" sourceName="Gestor">
  <extLst>
    <x:ext xmlns:x15="http://schemas.microsoft.com/office/spreadsheetml/2010/11/main" uri="{2F2917AC-EB37-4324-AD4E-5DD8C200BD13}">
      <x15:tableSlicerCache tableId="7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ódulo1" xr10:uid="{00000000-0013-0000-FFFF-FFFF02000000}" sourceName="Módulo">
  <extLst>
    <x:ext xmlns:x15="http://schemas.microsoft.com/office/spreadsheetml/2010/11/main" uri="{2F2917AC-EB37-4324-AD4E-5DD8C200BD13}">
      <x15:tableSlicerCache tableId="7" column="5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1" xr10:uid="{00000000-0013-0000-FFFF-FFFF03000000}" sourceName="Cliente">
  <extLst>
    <x:ext xmlns:x15="http://schemas.microsoft.com/office/spreadsheetml/2010/11/main" uri="{2F2917AC-EB37-4324-AD4E-5DD8C200BD13}">
      <x15:tableSlicerCache tableId="7" column="16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" xr10:uid="{00000000-0013-0000-FFFF-FFFF04000000}" sourceName="Estado">
  <extLst>
    <x:ext xmlns:x15="http://schemas.microsoft.com/office/spreadsheetml/2010/11/main" uri="{2F2917AC-EB37-4324-AD4E-5DD8C200BD13}">
      <x15:tableSlicerCache tableId="7" column="1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estor" xr10:uid="{00000000-0014-0000-FFFF-FFFF01000000}" cache="SegmentaçãodeDados_Gestor" caption="Gestor" style="Transparente Verde" rowHeight="257175"/>
  <slicer name="Módulo 1" xr10:uid="{00000000-0014-0000-FFFF-FFFF02000000}" cache="SegmentaçãodeDados_Módulo1" caption="Módulo" columnCount="2" style="Transparente Azul" rowHeight="257175"/>
  <slicer name="Cliente 1" xr10:uid="{00000000-0014-0000-FFFF-FFFF03000000}" cache="SegmentaçãodeDados_Cliente1" caption="Cliente" style="Transparente Verde" rowHeight="257175"/>
  <slicer name="Estado" xr10:uid="{00000000-0014-0000-FFFF-FFFF04000000}" cache="SegmentaçãodeDados_Estado" caption="Estado" style="Transparente Azul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reinamentos" displayName="Treinamentos" ref="A1:V93" tableType="queryTable" headerRowDxfId="84" dataDxfId="83" totalsRowDxfId="82">
  <autoFilter ref="A1:V93" xr:uid="{00000000-0009-0000-0100-000004000000}"/>
  <tableColumns count="22">
    <tableColumn id="1" xr3:uid="{00000000-0010-0000-0000-000001000000}" uniqueName="1" name="Turma" totalsRowLabel="Total" queryTableFieldId="1" dataDxfId="81" totalsRowDxfId="80"/>
    <tableColumn id="2" xr3:uid="{00000000-0010-0000-0000-000002000000}" uniqueName="2" name="Vendedor" totalsRowFunction="count" queryTableFieldId="2" dataDxfId="79"/>
    <tableColumn id="20" xr3:uid="{00000000-0010-0000-0000-000014000000}" uniqueName="20" name="Gestor" queryTableFieldId="21" dataDxfId="78">
      <calculatedColumnFormula>INDEX(Tab_Vendedores[Gestor],MATCH(Treinamentos[[#This Row],[Vendedor]],Tab_Vendedores[Nome],0))</calculatedColumnFormula>
    </tableColumn>
    <tableColumn id="3" xr3:uid="{00000000-0010-0000-0000-000003000000}" uniqueName="3" name="Treinamento" queryTableFieldId="3" dataDxfId="77"/>
    <tableColumn id="11" xr3:uid="{00000000-0010-0000-0000-00000B000000}" uniqueName="11" name="Módulo" queryTableFieldId="11" dataDxfId="76">
      <calculatedColumnFormula>LEFT(Treinamentos[[#This Row],[Treinamento]],SEARCH(" ",Treinamentos[[#This Row],[Treinamento]])-1)</calculatedColumnFormula>
    </tableColumn>
    <tableColumn id="12" xr3:uid="{00000000-0010-0000-0000-00000C000000}" uniqueName="12" name="Versão" queryTableFieldId="12" dataDxfId="75" totalsRowDxfId="74">
      <calculatedColumnFormula>VALUE(RIGHT(Treinamentos[[#This Row],[Treinamento]],4))</calculatedColumnFormula>
    </tableColumn>
    <tableColumn id="4" xr3:uid="{00000000-0010-0000-0000-000004000000}" uniqueName="4" name="Data Início" queryTableFieldId="4" dataDxfId="73"/>
    <tableColumn id="5" xr3:uid="{00000000-0010-0000-0000-000005000000}" uniqueName="5" name="Data Término" queryTableFieldId="5" dataDxfId="72"/>
    <tableColumn id="14" xr3:uid="{00000000-0010-0000-0000-00000E000000}" uniqueName="14" name="Início" queryTableFieldId="13" dataDxfId="71">
      <calculatedColumnFormula>DATE(YEAR(G2),MONTH(G2),DAY(G2))</calculatedColumnFormula>
    </tableColumn>
    <tableColumn id="15" xr3:uid="{00000000-0010-0000-0000-00000F000000}" uniqueName="15" name="Término" queryTableFieldId="14" dataDxfId="70">
      <calculatedColumnFormula>DATE(YEAR(H2),MONTH(H2),DAY(H2))</calculatedColumnFormula>
    </tableColumn>
    <tableColumn id="16" xr3:uid="{00000000-0010-0000-0000-000010000000}" uniqueName="16" name="Hora Início" queryTableFieldId="15" dataDxfId="69" totalsRowDxfId="68">
      <calculatedColumnFormula>TEXT(G2,"HH:MM")</calculatedColumnFormula>
    </tableColumn>
    <tableColumn id="18" xr3:uid="{00000000-0010-0000-0000-000012000000}" uniqueName="18" name="Hora Término" queryTableFieldId="19" dataDxfId="67" totalsRowDxfId="66">
      <calculatedColumnFormula>VALUE(TEXT(H2,"HH:mm"))</calculatedColumnFormula>
    </tableColumn>
    <tableColumn id="25" xr3:uid="{00000000-0010-0000-0000-000019000000}" uniqueName="25" name="Período" queryTableFieldId="25" dataDxfId="65">
      <calculatedColumnFormula>IF(K2="08:00","Manhã",
IF(K2="09:00","Integral",
IF(K2="14:00","Tarde",
IF(K2="19:00","Noite",
"Personalizado"))))</calculatedColumnFormula>
    </tableColumn>
    <tableColumn id="22" xr3:uid="{00000000-0010-0000-0000-000016000000}" uniqueName="22" name="Mês" queryTableFieldId="22" dataDxfId="64" totalsRowDxfId="63">
      <calculatedColumnFormula>PROPER(TEXT(G2,"MMMM"))</calculatedColumnFormula>
    </tableColumn>
    <tableColumn id="23" xr3:uid="{00000000-0010-0000-0000-000017000000}" uniqueName="23" name="Ano" queryTableFieldId="23" dataDxfId="62" totalsRowDxfId="61">
      <calculatedColumnFormula>TEXT(G2,"aaaa")</calculatedColumnFormula>
    </tableColumn>
    <tableColumn id="6" xr3:uid="{00000000-0010-0000-0000-000006000000}" uniqueName="6" name="Cliente" queryTableFieldId="6" dataDxfId="60"/>
    <tableColumn id="7" xr3:uid="{00000000-0010-0000-0000-000007000000}" uniqueName="7" name="Instrutor" queryTableFieldId="7" dataDxfId="59"/>
    <tableColumn id="24" xr3:uid="{00000000-0010-0000-0000-000018000000}" uniqueName="24" name="Estado" queryTableFieldId="24" dataDxfId="58" dataCellStyle="Normal 2">
      <calculatedColumnFormula>INDEX(Tab_Instrutores[Estado],MATCH(Treinamentos[[#This Row],[Instrutor]],Tab_Instrutores[Instrutor],0))</calculatedColumnFormula>
    </tableColumn>
    <tableColumn id="8" xr3:uid="{00000000-0010-0000-0000-000008000000}" uniqueName="8" name="Feedback" queryTableFieldId="8" dataDxfId="57"/>
    <tableColumn id="9" xr3:uid="{00000000-0010-0000-0000-000009000000}" uniqueName="9" name="Alunos" totalsRowFunction="sum" queryTableFieldId="9" dataDxfId="56"/>
    <tableColumn id="10" xr3:uid="{00000000-0010-0000-0000-00000A000000}" uniqueName="10" name="Valor" queryTableFieldId="10" dataDxfId="55" dataCellStyle="Moeda"/>
    <tableColumn id="19" xr3:uid="{00000000-0010-0000-0000-000013000000}" uniqueName="19" name="Total" queryTableFieldId="20" dataDxfId="54" dataCellStyle="Moeda">
      <calculatedColumnFormula>+Treinamentos[[#This Row],[Alunos]]*Treinamentos[[#This Row],[Valor]]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Base" displayName="Base" ref="A1:V1066" totalsRowCount="1" headerRowDxfId="53" dataDxfId="52">
  <autoFilter ref="A1:V1065" xr:uid="{00000000-0009-0000-0100-000007000000}"/>
  <tableColumns count="22">
    <tableColumn id="1" xr3:uid="{00000000-0010-0000-0100-000001000000}" name="Turma" totalsRowLabel="Total" dataDxfId="51" totalsRowDxfId="50"/>
    <tableColumn id="2" xr3:uid="{00000000-0010-0000-0100-000002000000}" name="Vendedor" totalsRowFunction="count" dataDxfId="49" totalsRowDxfId="48"/>
    <tableColumn id="3" xr3:uid="{00000000-0010-0000-0100-000003000000}" name="Gestor" dataDxfId="47" totalsRowDxfId="46"/>
    <tableColumn id="4" xr3:uid="{00000000-0010-0000-0100-000004000000}" name="Treinamento" dataDxfId="45" totalsRowDxfId="44"/>
    <tableColumn id="5" xr3:uid="{00000000-0010-0000-0100-000005000000}" name="Módulo" dataDxfId="43" totalsRowDxfId="42"/>
    <tableColumn id="6" xr3:uid="{00000000-0010-0000-0100-000006000000}" name="Versão" dataDxfId="41" totalsRowDxfId="40"/>
    <tableColumn id="7" xr3:uid="{00000000-0010-0000-0100-000007000000}" name="Data Início" dataDxfId="39" totalsRowDxfId="38"/>
    <tableColumn id="8" xr3:uid="{00000000-0010-0000-0100-000008000000}" name="Data Término" dataDxfId="37" totalsRowDxfId="36"/>
    <tableColumn id="9" xr3:uid="{00000000-0010-0000-0100-000009000000}" name="Início" totalsRowFunction="max" dataDxfId="35" totalsRowDxfId="34"/>
    <tableColumn id="10" xr3:uid="{00000000-0010-0000-0100-00000A000000}" name="Término" totalsRowFunction="max" dataDxfId="33" totalsRowDxfId="32"/>
    <tableColumn id="11" xr3:uid="{00000000-0010-0000-0100-00000B000000}" name="Hora Início" dataDxfId="31" totalsRowDxfId="30"/>
    <tableColumn id="12" xr3:uid="{00000000-0010-0000-0100-00000C000000}" name="Hora Término" dataDxfId="29" totalsRowDxfId="28"/>
    <tableColumn id="13" xr3:uid="{00000000-0010-0000-0100-00000D000000}" name="Período" dataDxfId="27" totalsRowDxfId="26"/>
    <tableColumn id="14" xr3:uid="{00000000-0010-0000-0100-00000E000000}" name="Mês" dataDxfId="25" totalsRowDxfId="24"/>
    <tableColumn id="15" xr3:uid="{00000000-0010-0000-0100-00000F000000}" name="Ano" dataDxfId="23" totalsRowDxfId="22"/>
    <tableColumn id="16" xr3:uid="{00000000-0010-0000-0100-000010000000}" name="Cliente" dataDxfId="21" totalsRowDxfId="20"/>
    <tableColumn id="17" xr3:uid="{00000000-0010-0000-0100-000011000000}" name="Instrutor" dataDxfId="19" totalsRowDxfId="18"/>
    <tableColumn id="18" xr3:uid="{00000000-0010-0000-0100-000012000000}" name="Estado" dataDxfId="17" totalsRowDxfId="16"/>
    <tableColumn id="19" xr3:uid="{00000000-0010-0000-0100-000013000000}" name="Feedback" totalsRowFunction="average" dataDxfId="15" totalsRowDxfId="14"/>
    <tableColumn id="20" xr3:uid="{00000000-0010-0000-0100-000014000000}" name="Alunos" totalsRowFunction="sum" dataDxfId="13" totalsRowDxfId="12"/>
    <tableColumn id="21" xr3:uid="{00000000-0010-0000-0100-000015000000}" name="Valor" dataDxfId="11" totalsRowDxfId="10" dataCellStyle="Moeda"/>
    <tableColumn id="22" xr3:uid="{00000000-0010-0000-0100-000016000000}" name="Total" totalsRowFunction="sum" dataDxfId="9" totalsRowDxfId="8" dataCellStyle="Moeda" totalsRowCellStyle="Mo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_Vendedores" displayName="Tab_Vendedores" ref="A1:E11" totalsRowCount="1">
  <autoFilter ref="A1:E10" xr:uid="{00000000-0009-0000-0100-000001000000}"/>
  <tableColumns count="5">
    <tableColumn id="1" xr3:uid="{00000000-0010-0000-0200-000001000000}" name="Ramal" totalsRowLabel="Total"/>
    <tableColumn id="2" xr3:uid="{00000000-0010-0000-0200-000002000000}" name="Nome"/>
    <tableColumn id="3" xr3:uid="{00000000-0010-0000-0200-000003000000}" name="Vendedor"/>
    <tableColumn id="4" xr3:uid="{00000000-0010-0000-0200-000004000000}" name="Celular" dataDxfId="7" totalsRowDxfId="6"/>
    <tableColumn id="5" xr3:uid="{00000000-0010-0000-0200-000005000000}" name="Gestor" totalsRowFunction="count"/>
  </tableColumns>
  <tableStyleInfo name="TableStyleMedium1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_Instrutores" displayName="Tab_Instrutores" ref="A1:J18" totalsRowCount="1">
  <autoFilter ref="A1:J17" xr:uid="{00000000-0009-0000-0100-000002000000}"/>
  <tableColumns count="10">
    <tableColumn id="1" xr3:uid="{00000000-0010-0000-0300-000001000000}" name="Instrutor" totalsRowLabel="Total"/>
    <tableColumn id="2" xr3:uid="{00000000-0010-0000-0300-000002000000}" name="Celular" dataDxfId="5"/>
    <tableColumn id="3" xr3:uid="{00000000-0010-0000-0300-000003000000}" name="Pessoa Física"/>
    <tableColumn id="4" xr3:uid="{00000000-0010-0000-0300-000004000000}" name="Pessoa Jurídica" dataDxfId="4"/>
    <tableColumn id="5" xr3:uid="{00000000-0010-0000-0300-000005000000}" name="Email" dataDxfId="3" totalsRowDxfId="2"/>
    <tableColumn id="6" xr3:uid="{00000000-0010-0000-0300-000006000000}" name="Endereço"/>
    <tableColumn id="7" xr3:uid="{00000000-0010-0000-0300-000007000000}" name="Complemento"/>
    <tableColumn id="8" xr3:uid="{00000000-0010-0000-0300-000008000000}" name="Cidade"/>
    <tableColumn id="9" xr3:uid="{00000000-0010-0000-0300-000009000000}" name="CEP"/>
    <tableColumn id="10" xr3:uid="{00000000-0010-0000-0300-00000A000000}" name="Estado" totalsRowFunction="count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_Cursos" displayName="Tab_Cursos" ref="A1:E58" totalsRowCount="1">
  <autoFilter ref="A1:E57" xr:uid="{00000000-0009-0000-0100-000003000000}"/>
  <tableColumns count="5">
    <tableColumn id="1" xr3:uid="{00000000-0010-0000-0400-000001000000}" name="Treinamento" totalsRowLabel="Total"/>
    <tableColumn id="2" xr3:uid="{00000000-0010-0000-0400-000002000000}" name="Módulo"/>
    <tableColumn id="3" xr3:uid="{00000000-0010-0000-0400-000003000000}" name="Valor" dataCellStyle="Moeda"/>
    <tableColumn id="4" xr3:uid="{00000000-0010-0000-0400-000004000000}" name="Horas" dataDxfId="1"/>
    <tableColumn id="5" xr3:uid="{00000000-0010-0000-0400-000005000000}" name="Ativo" totalsRowFunction="count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ela5" displayName="Tabela5" ref="A1:A10" totalsRowShown="0">
  <autoFilter ref="A1:A10" xr:uid="{00000000-0009-0000-0100-000005000000}"/>
  <tableColumns count="1">
    <tableColumn id="1" xr3:uid="{00000000-0010-0000-0500-000001000000}" name="Vendedores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ela6" displayName="Tabela6" ref="C1:C7" totalsRowShown="0">
  <autoFilter ref="C1:C7" xr:uid="{00000000-0009-0000-0100-000006000000}"/>
  <tableColumns count="1">
    <tableColumn id="1" xr3:uid="{00000000-0010-0000-0600-000001000000}" name="Módulos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G1:G4" totalsRowShown="0">
  <autoFilter ref="G1:G4" xr:uid="{00000000-0009-0000-0100-000008000000}"/>
  <tableColumns count="1">
    <tableColumn id="1" xr3:uid="{00000000-0010-0000-0700-000001000000}" name="Anos" dataDxfId="0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ela11" displayName="Tabela11" ref="I1:I4" totalsRowShown="0">
  <autoFilter ref="I1:I4" xr:uid="{00000000-0009-0000-0100-00000B000000}"/>
  <tableColumns count="1">
    <tableColumn id="1" xr3:uid="{00000000-0010-0000-0800-000001000000}" name="Gestores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Verde-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Verde-azulado">
    <a:dk1>
      <a:sysClr val="windowText" lastClr="000000"/>
    </a:dk1>
    <a:lt1>
      <a:sysClr val="window" lastClr="FFFFFF"/>
    </a:lt1>
    <a:dk2>
      <a:srgbClr val="373545"/>
    </a:dk2>
    <a:lt2>
      <a:srgbClr val="CEDBE6"/>
    </a:lt2>
    <a:accent1>
      <a:srgbClr val="3494BA"/>
    </a:accent1>
    <a:accent2>
      <a:srgbClr val="58B6C0"/>
    </a:accent2>
    <a:accent3>
      <a:srgbClr val="75BDA7"/>
    </a:accent3>
    <a:accent4>
      <a:srgbClr val="7A8C8E"/>
    </a:accent4>
    <a:accent5>
      <a:srgbClr val="84ACB6"/>
    </a:accent5>
    <a:accent6>
      <a:srgbClr val="2683C6"/>
    </a:accent6>
    <a:hlink>
      <a:srgbClr val="6B9F25"/>
    </a:hlink>
    <a:folHlink>
      <a:srgbClr val="9F6715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W93"/>
  <sheetViews>
    <sheetView zoomScale="130" zoomScaleNormal="130" workbookViewId="0">
      <selection activeCell="E9" sqref="E9"/>
    </sheetView>
  </sheetViews>
  <sheetFormatPr defaultColWidth="8.75" defaultRowHeight="15.75" x14ac:dyDescent="0.25"/>
  <cols>
    <col min="1" max="1" width="9" style="61" bestFit="1" customWidth="1"/>
    <col min="2" max="2" width="11.875" style="2" bestFit="1" customWidth="1"/>
    <col min="3" max="3" width="18.25" style="2" bestFit="1" customWidth="1"/>
    <col min="4" max="4" width="22.125" style="8" bestFit="1" customWidth="1"/>
    <col min="5" max="5" width="10.375" style="8" bestFit="1" customWidth="1"/>
    <col min="6" max="6" width="11.25" style="2" bestFit="1" customWidth="1"/>
    <col min="7" max="7" width="16.25" style="2" bestFit="1" customWidth="1"/>
    <col min="8" max="8" width="16.25" style="49" bestFit="1" customWidth="1"/>
    <col min="9" max="9" width="10.875" style="2" bestFit="1" customWidth="1"/>
    <col min="10" max="10" width="10.875" style="52" bestFit="1" customWidth="1"/>
    <col min="11" max="11" width="15.125" style="51" bestFit="1" customWidth="1"/>
    <col min="12" max="12" width="17.875" style="49" bestFit="1" customWidth="1"/>
    <col min="13" max="13" width="12" style="2" bestFit="1" customWidth="1"/>
    <col min="14" max="14" width="8.75" style="2" bestFit="1" customWidth="1"/>
    <col min="15" max="15" width="8.375" style="62" bestFit="1" customWidth="1"/>
    <col min="16" max="16" width="13.25" style="60" bestFit="1" customWidth="1"/>
    <col min="17" max="17" width="11.125" style="60" bestFit="1" customWidth="1"/>
    <col min="18" max="18" width="9.125" style="60" bestFit="1" customWidth="1"/>
    <col min="19" max="19" width="11.625" style="60" bestFit="1" customWidth="1"/>
    <col min="20" max="20" width="9.125" style="60" bestFit="1" customWidth="1"/>
    <col min="21" max="21" width="9.375" style="64" bestFit="1" customWidth="1"/>
    <col min="22" max="22" width="10.375" style="64" bestFit="1" customWidth="1"/>
    <col min="23" max="16384" width="8.75" style="60"/>
  </cols>
  <sheetData>
    <row r="1" spans="1:23" s="56" customFormat="1" x14ac:dyDescent="0.25">
      <c r="A1" s="53" t="s">
        <v>0</v>
      </c>
      <c r="B1" s="49" t="s">
        <v>1</v>
      </c>
      <c r="C1" s="49" t="s">
        <v>166</v>
      </c>
      <c r="D1" s="49" t="s">
        <v>2</v>
      </c>
      <c r="E1" s="49" t="s">
        <v>167</v>
      </c>
      <c r="F1" s="49" t="s">
        <v>517</v>
      </c>
      <c r="G1" s="49" t="s">
        <v>183</v>
      </c>
      <c r="H1" s="49" t="s">
        <v>184</v>
      </c>
      <c r="I1" s="49" t="s">
        <v>518</v>
      </c>
      <c r="J1" s="49" t="s">
        <v>519</v>
      </c>
      <c r="K1" s="51" t="s">
        <v>520</v>
      </c>
      <c r="L1" s="51" t="s">
        <v>521</v>
      </c>
      <c r="M1" s="51" t="s">
        <v>4</v>
      </c>
      <c r="N1" s="51" t="s">
        <v>181</v>
      </c>
      <c r="O1" s="51" t="s">
        <v>182</v>
      </c>
      <c r="P1" s="49" t="s">
        <v>185</v>
      </c>
      <c r="Q1" s="49" t="s">
        <v>3</v>
      </c>
      <c r="R1" s="49" t="s">
        <v>106</v>
      </c>
      <c r="S1" s="49" t="s">
        <v>5</v>
      </c>
      <c r="T1" s="49" t="s">
        <v>6</v>
      </c>
      <c r="U1" s="63" t="s">
        <v>161</v>
      </c>
      <c r="V1" s="63" t="s">
        <v>163</v>
      </c>
      <c r="W1" s="49"/>
    </row>
    <row r="2" spans="1:23" x14ac:dyDescent="0.25">
      <c r="A2" s="53">
        <v>5327</v>
      </c>
      <c r="B2" s="49" t="s">
        <v>14</v>
      </c>
      <c r="C2" s="49" t="str">
        <f>INDEX(Tab_Vendedores[Gestor],MATCH(Treinamentos[[#This Row],[Vendedor]],Tab_Vendedores[Nome],0))</f>
        <v>Marcelo Leal</v>
      </c>
      <c r="D2" s="49" t="s">
        <v>79</v>
      </c>
      <c r="E2" s="49" t="str">
        <f>LEFT(Treinamentos[[#This Row],[Treinamento]],SEARCH(" ",Treinamentos[[#This Row],[Treinamento]])-1)</f>
        <v>Word</v>
      </c>
      <c r="F2" s="49">
        <f>VALUE(RIGHT(Treinamentos[[#This Row],[Treinamento]],4))</f>
        <v>2016</v>
      </c>
      <c r="G2" s="50">
        <v>43282.791666666664</v>
      </c>
      <c r="H2" s="50">
        <v>43293.958333333336</v>
      </c>
      <c r="I2" s="54">
        <f t="shared" ref="I2:I33" si="0">DATE(YEAR(G2),MONTH(G2),DAY(G2))</f>
        <v>43282</v>
      </c>
      <c r="J2" s="54">
        <f t="shared" ref="J2:J33" si="1">DATE(YEAR(H2),MONTH(H2),DAY(H2))</f>
        <v>43293</v>
      </c>
      <c r="K2" s="51" t="str">
        <f t="shared" ref="K2:K33" si="2">TEXT(G2,"HH:MM")</f>
        <v>19:00</v>
      </c>
      <c r="L2" s="51">
        <f t="shared" ref="L2:L33" si="3">VALUE(TEXT(H2,"HH:mm"))</f>
        <v>0.95833333333333337</v>
      </c>
      <c r="M2" s="51" t="str">
        <f t="shared" ref="M2:M33" si="4">IF(K2="08:00","Manhã",
IF(K2="09:00","Integral",
IF(K2="14:00","Tarde",
IF(K2="19:00","Noite",
"Personalizado"))))</f>
        <v>Noite</v>
      </c>
      <c r="N2" s="51" t="str">
        <f t="shared" ref="N2:N65" si="5">PROPER(TEXT(G2,"MMMM"))</f>
        <v>Julho</v>
      </c>
      <c r="O2" s="51" t="str">
        <f t="shared" ref="O2:O33" si="6">TEXT(G2,"aaaa")</f>
        <v>2018</v>
      </c>
      <c r="P2" s="49" t="s">
        <v>23</v>
      </c>
      <c r="Q2" s="49" t="s">
        <v>16</v>
      </c>
      <c r="R2" s="49" t="str">
        <f>INDEX(Tab_Instrutores[Estado],MATCH(Treinamentos[[#This Row],[Instrutor]],Tab_Instrutores[Instrutor],0))</f>
        <v>RJ</v>
      </c>
      <c r="S2" s="49" t="s">
        <v>186</v>
      </c>
      <c r="T2" s="49">
        <v>8</v>
      </c>
      <c r="U2" s="63">
        <v>48</v>
      </c>
      <c r="V2" s="63">
        <f>+Treinamentos[[#This Row],[Alunos]]*Treinamentos[[#This Row],[Valor]]</f>
        <v>384</v>
      </c>
      <c r="W2" s="49"/>
    </row>
    <row r="3" spans="1:23" x14ac:dyDescent="0.25">
      <c r="A3" s="53">
        <v>5329</v>
      </c>
      <c r="B3" s="49" t="s">
        <v>11</v>
      </c>
      <c r="C3" s="49" t="str">
        <f>INDEX(Tab_Vendedores[Gestor],MATCH(Treinamentos[[#This Row],[Vendedor]],Tab_Vendedores[Nome],0))</f>
        <v>Marcelo Leal</v>
      </c>
      <c r="D3" s="49" t="s">
        <v>83</v>
      </c>
      <c r="E3" s="49" t="str">
        <f>LEFT(Treinamentos[[#This Row],[Treinamento]],SEARCH(" ",Treinamentos[[#This Row],[Treinamento]])-1)</f>
        <v>Access</v>
      </c>
      <c r="F3" s="49">
        <f>VALUE(RIGHT(Treinamentos[[#This Row],[Treinamento]],4))</f>
        <v>2016</v>
      </c>
      <c r="G3" s="50">
        <v>43283.791666666664</v>
      </c>
      <c r="H3" s="50">
        <v>43296.958333333336</v>
      </c>
      <c r="I3" s="54">
        <f t="shared" si="0"/>
        <v>43283</v>
      </c>
      <c r="J3" s="54">
        <f t="shared" si="1"/>
        <v>43296</v>
      </c>
      <c r="K3" s="51" t="str">
        <f t="shared" si="2"/>
        <v>19:00</v>
      </c>
      <c r="L3" s="51">
        <f t="shared" si="3"/>
        <v>0.95833333333333337</v>
      </c>
      <c r="M3" s="51" t="str">
        <f t="shared" si="4"/>
        <v>Noite</v>
      </c>
      <c r="N3" s="51" t="str">
        <f t="shared" si="5"/>
        <v>Julho</v>
      </c>
      <c r="O3" s="51" t="str">
        <f t="shared" si="6"/>
        <v>2018</v>
      </c>
      <c r="P3" s="49" t="s">
        <v>9</v>
      </c>
      <c r="Q3" s="49" t="s">
        <v>37</v>
      </c>
      <c r="R3" s="49" t="str">
        <f>INDEX(Tab_Instrutores[Estado],MATCH(Treinamentos[[#This Row],[Instrutor]],Tab_Instrutores[Instrutor],0))</f>
        <v>SP</v>
      </c>
      <c r="S3" s="49" t="s">
        <v>187</v>
      </c>
      <c r="T3" s="49">
        <v>8</v>
      </c>
      <c r="U3" s="63">
        <v>63</v>
      </c>
      <c r="V3" s="63">
        <f>+Treinamentos[[#This Row],[Alunos]]*Treinamentos[[#This Row],[Valor]]</f>
        <v>504</v>
      </c>
      <c r="W3" s="49"/>
    </row>
    <row r="4" spans="1:23" x14ac:dyDescent="0.25">
      <c r="A4" s="53">
        <v>5330</v>
      </c>
      <c r="B4" s="49" t="s">
        <v>11</v>
      </c>
      <c r="C4" s="49" t="str">
        <f>INDEX(Tab_Vendedores[Gestor],MATCH(Treinamentos[[#This Row],[Vendedor]],Tab_Vendedores[Nome],0))</f>
        <v>Marcelo Leal</v>
      </c>
      <c r="D4" s="49" t="s">
        <v>80</v>
      </c>
      <c r="E4" s="49" t="str">
        <f>LEFT(Treinamentos[[#This Row],[Treinamento]],SEARCH(" ",Treinamentos[[#This Row],[Treinamento]])-1)</f>
        <v>DashBoard</v>
      </c>
      <c r="F4" s="49">
        <f>VALUE(RIGHT(Treinamentos[[#This Row],[Treinamento]],4))</f>
        <v>2016</v>
      </c>
      <c r="G4" s="50">
        <v>43284.583333333336</v>
      </c>
      <c r="H4" s="50">
        <v>43297.75</v>
      </c>
      <c r="I4" s="54">
        <f t="shared" si="0"/>
        <v>43284</v>
      </c>
      <c r="J4" s="54">
        <f t="shared" si="1"/>
        <v>43297</v>
      </c>
      <c r="K4" s="51" t="str">
        <f t="shared" si="2"/>
        <v>14:00</v>
      </c>
      <c r="L4" s="51">
        <f t="shared" si="3"/>
        <v>0.75</v>
      </c>
      <c r="M4" s="51" t="str">
        <f t="shared" si="4"/>
        <v>Tarde</v>
      </c>
      <c r="N4" s="51" t="str">
        <f t="shared" si="5"/>
        <v>Julho</v>
      </c>
      <c r="O4" s="51" t="str">
        <f t="shared" si="6"/>
        <v>2018</v>
      </c>
      <c r="P4" s="49" t="s">
        <v>23</v>
      </c>
      <c r="Q4" s="49" t="s">
        <v>22</v>
      </c>
      <c r="R4" s="49" t="str">
        <f>INDEX(Tab_Instrutores[Estado],MATCH(Treinamentos[[#This Row],[Instrutor]],Tab_Instrutores[Instrutor],0))</f>
        <v>RJ</v>
      </c>
      <c r="S4" s="49" t="s">
        <v>187</v>
      </c>
      <c r="T4" s="49">
        <v>10</v>
      </c>
      <c r="U4" s="63">
        <v>32</v>
      </c>
      <c r="V4" s="63">
        <f>+Treinamentos[[#This Row],[Alunos]]*Treinamentos[[#This Row],[Valor]]</f>
        <v>320</v>
      </c>
      <c r="W4" s="49"/>
    </row>
    <row r="5" spans="1:23" x14ac:dyDescent="0.25">
      <c r="A5" s="53">
        <v>5331</v>
      </c>
      <c r="B5" s="49" t="s">
        <v>45</v>
      </c>
      <c r="C5" s="49" t="str">
        <f>INDEX(Tab_Vendedores[Gestor],MATCH(Treinamentos[[#This Row],[Vendedor]],Tab_Vendedores[Nome],0))</f>
        <v>Alexandra Conceição</v>
      </c>
      <c r="D5" s="49" t="s">
        <v>81</v>
      </c>
      <c r="E5" s="49" t="str">
        <f>LEFT(Treinamentos[[#This Row],[Treinamento]],SEARCH(" ",Treinamentos[[#This Row],[Treinamento]])-1)</f>
        <v>Excel</v>
      </c>
      <c r="F5" s="49">
        <f>VALUE(RIGHT(Treinamentos[[#This Row],[Treinamento]],4))</f>
        <v>2016</v>
      </c>
      <c r="G5" s="50">
        <v>43285.375</v>
      </c>
      <c r="H5" s="50">
        <v>43291.75</v>
      </c>
      <c r="I5" s="54">
        <f t="shared" si="0"/>
        <v>43285</v>
      </c>
      <c r="J5" s="54">
        <f t="shared" si="1"/>
        <v>43291</v>
      </c>
      <c r="K5" s="51" t="str">
        <f t="shared" si="2"/>
        <v>09:00</v>
      </c>
      <c r="L5" s="51">
        <f t="shared" si="3"/>
        <v>0.75</v>
      </c>
      <c r="M5" s="51" t="str">
        <f t="shared" si="4"/>
        <v>Integral</v>
      </c>
      <c r="N5" s="51" t="str">
        <f t="shared" si="5"/>
        <v>Julho</v>
      </c>
      <c r="O5" s="51" t="str">
        <f t="shared" si="6"/>
        <v>2018</v>
      </c>
      <c r="P5" s="49" t="s">
        <v>9</v>
      </c>
      <c r="Q5" s="49" t="s">
        <v>16</v>
      </c>
      <c r="R5" s="49" t="str">
        <f>INDEX(Tab_Instrutores[Estado],MATCH(Treinamentos[[#This Row],[Instrutor]],Tab_Instrutores[Instrutor],0))</f>
        <v>RJ</v>
      </c>
      <c r="S5" s="49" t="s">
        <v>187</v>
      </c>
      <c r="T5" s="49">
        <v>10</v>
      </c>
      <c r="U5" s="63">
        <v>43</v>
      </c>
      <c r="V5" s="63">
        <f>+Treinamentos[[#This Row],[Alunos]]*Treinamentos[[#This Row],[Valor]]</f>
        <v>430</v>
      </c>
      <c r="W5" s="49"/>
    </row>
    <row r="6" spans="1:23" x14ac:dyDescent="0.25">
      <c r="A6" s="53">
        <v>5332</v>
      </c>
      <c r="B6" s="49" t="s">
        <v>7</v>
      </c>
      <c r="C6" s="49" t="str">
        <f>INDEX(Tab_Vendedores[Gestor],MATCH(Treinamentos[[#This Row],[Vendedor]],Tab_Vendedores[Nome],0))</f>
        <v>Marcelo Leal</v>
      </c>
      <c r="D6" s="49" t="s">
        <v>80</v>
      </c>
      <c r="E6" s="49" t="str">
        <f>LEFT(Treinamentos[[#This Row],[Treinamento]],SEARCH(" ",Treinamentos[[#This Row],[Treinamento]])-1)</f>
        <v>DashBoard</v>
      </c>
      <c r="F6" s="49">
        <f>VALUE(RIGHT(Treinamentos[[#This Row],[Treinamento]],4))</f>
        <v>2016</v>
      </c>
      <c r="G6" s="50">
        <v>43286.333333333336</v>
      </c>
      <c r="H6" s="50">
        <v>43299.5</v>
      </c>
      <c r="I6" s="54">
        <f t="shared" si="0"/>
        <v>43286</v>
      </c>
      <c r="J6" s="54">
        <f t="shared" si="1"/>
        <v>43299</v>
      </c>
      <c r="K6" s="51" t="str">
        <f t="shared" si="2"/>
        <v>08:00</v>
      </c>
      <c r="L6" s="51">
        <f t="shared" si="3"/>
        <v>0.5</v>
      </c>
      <c r="M6" s="51" t="str">
        <f t="shared" si="4"/>
        <v>Manhã</v>
      </c>
      <c r="N6" s="51" t="str">
        <f t="shared" si="5"/>
        <v>Julho</v>
      </c>
      <c r="O6" s="51" t="str">
        <f t="shared" si="6"/>
        <v>2018</v>
      </c>
      <c r="P6" s="49" t="s">
        <v>23</v>
      </c>
      <c r="Q6" s="49" t="s">
        <v>16</v>
      </c>
      <c r="R6" s="49" t="str">
        <f>INDEX(Tab_Instrutores[Estado],MATCH(Treinamentos[[#This Row],[Instrutor]],Tab_Instrutores[Instrutor],0))</f>
        <v>RJ</v>
      </c>
      <c r="S6" s="49" t="s">
        <v>186</v>
      </c>
      <c r="T6" s="49">
        <v>11</v>
      </c>
      <c r="U6" s="63">
        <v>32</v>
      </c>
      <c r="V6" s="63">
        <f>+Treinamentos[[#This Row],[Alunos]]*Treinamentos[[#This Row],[Valor]]</f>
        <v>352</v>
      </c>
      <c r="W6" s="49"/>
    </row>
    <row r="7" spans="1:23" x14ac:dyDescent="0.25">
      <c r="A7" s="53">
        <v>5333</v>
      </c>
      <c r="B7" s="49" t="s">
        <v>11</v>
      </c>
      <c r="C7" s="49" t="str">
        <f>INDEX(Tab_Vendedores[Gestor],MATCH(Treinamentos[[#This Row],[Vendedor]],Tab_Vendedores[Nome],0))</f>
        <v>Marcelo Leal</v>
      </c>
      <c r="D7" s="49" t="s">
        <v>80</v>
      </c>
      <c r="E7" s="49" t="str">
        <f>LEFT(Treinamentos[[#This Row],[Treinamento]],SEARCH(" ",Treinamentos[[#This Row],[Treinamento]])-1)</f>
        <v>DashBoard</v>
      </c>
      <c r="F7" s="49">
        <f>VALUE(RIGHT(Treinamentos[[#This Row],[Treinamento]],4))</f>
        <v>2016</v>
      </c>
      <c r="G7" s="50">
        <v>43287.375</v>
      </c>
      <c r="H7" s="50">
        <v>43292.75</v>
      </c>
      <c r="I7" s="54">
        <f t="shared" si="0"/>
        <v>43287</v>
      </c>
      <c r="J7" s="54">
        <f t="shared" si="1"/>
        <v>43292</v>
      </c>
      <c r="K7" s="51" t="str">
        <f t="shared" si="2"/>
        <v>09:00</v>
      </c>
      <c r="L7" s="51">
        <f t="shared" si="3"/>
        <v>0.75</v>
      </c>
      <c r="M7" s="51" t="str">
        <f t="shared" si="4"/>
        <v>Integral</v>
      </c>
      <c r="N7" s="51" t="str">
        <f t="shared" si="5"/>
        <v>Julho</v>
      </c>
      <c r="O7" s="51" t="str">
        <f t="shared" si="6"/>
        <v>2018</v>
      </c>
      <c r="P7" s="49" t="s">
        <v>9</v>
      </c>
      <c r="Q7" s="49" t="s">
        <v>22</v>
      </c>
      <c r="R7" s="49" t="str">
        <f>INDEX(Tab_Instrutores[Estado],MATCH(Treinamentos[[#This Row],[Instrutor]],Tab_Instrutores[Instrutor],0))</f>
        <v>RJ</v>
      </c>
      <c r="S7" s="49" t="s">
        <v>187</v>
      </c>
      <c r="T7" s="49">
        <v>8</v>
      </c>
      <c r="U7" s="63">
        <v>32</v>
      </c>
      <c r="V7" s="63">
        <f>+Treinamentos[[#This Row],[Alunos]]*Treinamentos[[#This Row],[Valor]]</f>
        <v>256</v>
      </c>
      <c r="W7" s="49"/>
    </row>
    <row r="8" spans="1:23" x14ac:dyDescent="0.25">
      <c r="A8" s="53">
        <v>5334</v>
      </c>
      <c r="B8" s="49" t="s">
        <v>19</v>
      </c>
      <c r="C8" s="49" t="str">
        <f>INDEX(Tab_Vendedores[Gestor],MATCH(Treinamentos[[#This Row],[Vendedor]],Tab_Vendedores[Nome],0))</f>
        <v>Janny Costa</v>
      </c>
      <c r="D8" s="49" t="s">
        <v>80</v>
      </c>
      <c r="E8" s="49" t="str">
        <f>LEFT(Treinamentos[[#This Row],[Treinamento]],SEARCH(" ",Treinamentos[[#This Row],[Treinamento]])-1)</f>
        <v>DashBoard</v>
      </c>
      <c r="F8" s="49">
        <f>VALUE(RIGHT(Treinamentos[[#This Row],[Treinamento]],4))</f>
        <v>2016</v>
      </c>
      <c r="G8" s="50">
        <v>43289.791666666664</v>
      </c>
      <c r="H8" s="50">
        <v>43300.958333333336</v>
      </c>
      <c r="I8" s="54">
        <f t="shared" si="0"/>
        <v>43289</v>
      </c>
      <c r="J8" s="54">
        <f t="shared" si="1"/>
        <v>43300</v>
      </c>
      <c r="K8" s="51" t="str">
        <f t="shared" si="2"/>
        <v>19:00</v>
      </c>
      <c r="L8" s="51">
        <f t="shared" si="3"/>
        <v>0.95833333333333337</v>
      </c>
      <c r="M8" s="51" t="str">
        <f t="shared" si="4"/>
        <v>Noite</v>
      </c>
      <c r="N8" s="51" t="str">
        <f t="shared" si="5"/>
        <v>Julho</v>
      </c>
      <c r="O8" s="51" t="str">
        <f t="shared" si="6"/>
        <v>2018</v>
      </c>
      <c r="P8" s="49" t="s">
        <v>23</v>
      </c>
      <c r="Q8" s="49" t="s">
        <v>44</v>
      </c>
      <c r="R8" s="49" t="str">
        <f>INDEX(Tab_Instrutores[Estado],MATCH(Treinamentos[[#This Row],[Instrutor]],Tab_Instrutores[Instrutor],0))</f>
        <v>SP</v>
      </c>
      <c r="S8" s="49" t="s">
        <v>186</v>
      </c>
      <c r="T8" s="49">
        <v>9</v>
      </c>
      <c r="U8" s="63">
        <v>32</v>
      </c>
      <c r="V8" s="63">
        <f>+Treinamentos[[#This Row],[Alunos]]*Treinamentos[[#This Row],[Valor]]</f>
        <v>288</v>
      </c>
      <c r="W8" s="49"/>
    </row>
    <row r="9" spans="1:23" x14ac:dyDescent="0.25">
      <c r="A9" s="53">
        <v>5335</v>
      </c>
      <c r="B9" s="49" t="s">
        <v>19</v>
      </c>
      <c r="C9" s="49" t="str">
        <f>INDEX(Tab_Vendedores[Gestor],MATCH(Treinamentos[[#This Row],[Vendedor]],Tab_Vendedores[Nome],0))</f>
        <v>Janny Costa</v>
      </c>
      <c r="D9" s="49" t="s">
        <v>80</v>
      </c>
      <c r="E9"/>
      <c r="F9" s="49">
        <f>VALUE(RIGHT(Treinamentos[[#This Row],[Treinamento]],4))</f>
        <v>2016</v>
      </c>
      <c r="G9" s="50">
        <v>43289.791666666664</v>
      </c>
      <c r="H9" s="50">
        <v>43300.958333333336</v>
      </c>
      <c r="I9" s="54">
        <f t="shared" si="0"/>
        <v>43289</v>
      </c>
      <c r="J9" s="54">
        <f t="shared" si="1"/>
        <v>43300</v>
      </c>
      <c r="K9" s="51" t="str">
        <f t="shared" si="2"/>
        <v>19:00</v>
      </c>
      <c r="L9" s="51">
        <f t="shared" si="3"/>
        <v>0.95833333333333337</v>
      </c>
      <c r="M9" s="51" t="str">
        <f t="shared" si="4"/>
        <v>Noite</v>
      </c>
      <c r="N9" s="51" t="str">
        <f t="shared" si="5"/>
        <v>Julho</v>
      </c>
      <c r="O9" s="51" t="str">
        <f t="shared" si="6"/>
        <v>2018</v>
      </c>
      <c r="P9" s="49" t="s">
        <v>23</v>
      </c>
      <c r="Q9" s="49" t="s">
        <v>18</v>
      </c>
      <c r="R9" s="49" t="str">
        <f>INDEX(Tab_Instrutores[Estado],MATCH(Treinamentos[[#This Row],[Instrutor]],Tab_Instrutores[Instrutor],0))</f>
        <v>SP</v>
      </c>
      <c r="S9" s="49" t="s">
        <v>186</v>
      </c>
      <c r="T9" s="49">
        <v>10</v>
      </c>
      <c r="U9" s="63">
        <v>32</v>
      </c>
      <c r="V9" s="63">
        <f>+Treinamentos[[#This Row],[Alunos]]*Treinamentos[[#This Row],[Valor]]</f>
        <v>320</v>
      </c>
      <c r="W9" s="49"/>
    </row>
    <row r="10" spans="1:23" x14ac:dyDescent="0.25">
      <c r="A10" s="53">
        <v>5336</v>
      </c>
      <c r="B10" s="49" t="s">
        <v>11</v>
      </c>
      <c r="C10" s="49" t="str">
        <f>INDEX(Tab_Vendedores[Gestor],MATCH(Treinamentos[[#This Row],[Vendedor]],Tab_Vendedores[Nome],0))</f>
        <v>Marcelo Leal</v>
      </c>
      <c r="D10" s="49" t="s">
        <v>85</v>
      </c>
      <c r="E10" s="49" t="str">
        <f>LEFT(Treinamentos[[#This Row],[Treinamento]],SEARCH(" ",Treinamentos[[#This Row],[Treinamento]])-1)</f>
        <v>Outlook</v>
      </c>
      <c r="F10" s="49">
        <f>VALUE(RIGHT(Treinamentos[[#This Row],[Treinamento]],4))</f>
        <v>2016</v>
      </c>
      <c r="G10" s="50">
        <v>43290.791666666664</v>
      </c>
      <c r="H10" s="50">
        <v>43303.958333333336</v>
      </c>
      <c r="I10" s="54">
        <f t="shared" si="0"/>
        <v>43290</v>
      </c>
      <c r="J10" s="54">
        <f t="shared" si="1"/>
        <v>43303</v>
      </c>
      <c r="K10" s="51" t="str">
        <f t="shared" si="2"/>
        <v>19:00</v>
      </c>
      <c r="L10" s="51">
        <f t="shared" si="3"/>
        <v>0.95833333333333337</v>
      </c>
      <c r="M10" s="51" t="str">
        <f t="shared" si="4"/>
        <v>Noite</v>
      </c>
      <c r="N10" s="51" t="str">
        <f t="shared" si="5"/>
        <v>Julho</v>
      </c>
      <c r="O10" s="51" t="str">
        <f t="shared" si="6"/>
        <v>2018</v>
      </c>
      <c r="P10" s="49" t="s">
        <v>23</v>
      </c>
      <c r="Q10" s="49" t="s">
        <v>33</v>
      </c>
      <c r="R10" s="49" t="str">
        <f>INDEX(Tab_Instrutores[Estado],MATCH(Treinamentos[[#This Row],[Instrutor]],Tab_Instrutores[Instrutor],0))</f>
        <v>SP</v>
      </c>
      <c r="S10" s="49" t="s">
        <v>188</v>
      </c>
      <c r="T10" s="49">
        <v>9</v>
      </c>
      <c r="U10" s="63">
        <v>48</v>
      </c>
      <c r="V10" s="63">
        <f>+Treinamentos[[#This Row],[Alunos]]*Treinamentos[[#This Row],[Valor]]</f>
        <v>432</v>
      </c>
      <c r="W10" s="49"/>
    </row>
    <row r="11" spans="1:23" x14ac:dyDescent="0.25">
      <c r="A11" s="53">
        <v>5337</v>
      </c>
      <c r="B11" s="49" t="s">
        <v>14</v>
      </c>
      <c r="C11" s="49" t="str">
        <f>INDEX(Tab_Vendedores[Gestor],MATCH(Treinamentos[[#This Row],[Vendedor]],Tab_Vendedores[Nome],0))</f>
        <v>Marcelo Leal</v>
      </c>
      <c r="D11" s="49" t="s">
        <v>85</v>
      </c>
      <c r="E11" s="49" t="str">
        <f>LEFT(Treinamentos[[#This Row],[Treinamento]],SEARCH(" ",Treinamentos[[#This Row],[Treinamento]])-1)</f>
        <v>Outlook</v>
      </c>
      <c r="F11" s="49">
        <f>VALUE(RIGHT(Treinamentos[[#This Row],[Treinamento]],4))</f>
        <v>2016</v>
      </c>
      <c r="G11" s="50">
        <v>43291.583333333336</v>
      </c>
      <c r="H11" s="50">
        <v>43304.75</v>
      </c>
      <c r="I11" s="54">
        <f t="shared" si="0"/>
        <v>43291</v>
      </c>
      <c r="J11" s="54">
        <f t="shared" si="1"/>
        <v>43304</v>
      </c>
      <c r="K11" s="51" t="str">
        <f t="shared" si="2"/>
        <v>14:00</v>
      </c>
      <c r="L11" s="51">
        <f t="shared" si="3"/>
        <v>0.75</v>
      </c>
      <c r="M11" s="51" t="str">
        <f t="shared" si="4"/>
        <v>Tarde</v>
      </c>
      <c r="N11" s="51" t="str">
        <f t="shared" si="5"/>
        <v>Julho</v>
      </c>
      <c r="O11" s="51" t="str">
        <f t="shared" si="6"/>
        <v>2018</v>
      </c>
      <c r="P11" s="49" t="s">
        <v>23</v>
      </c>
      <c r="Q11" s="49" t="s">
        <v>16</v>
      </c>
      <c r="R11" s="49" t="str">
        <f>INDEX(Tab_Instrutores[Estado],MATCH(Treinamentos[[#This Row],[Instrutor]],Tab_Instrutores[Instrutor],0))</f>
        <v>RJ</v>
      </c>
      <c r="S11" s="49" t="s">
        <v>186</v>
      </c>
      <c r="T11" s="49">
        <v>12</v>
      </c>
      <c r="U11" s="63">
        <v>48</v>
      </c>
      <c r="V11" s="63">
        <f>+Treinamentos[[#This Row],[Alunos]]*Treinamentos[[#This Row],[Valor]]</f>
        <v>576</v>
      </c>
      <c r="W11" s="49"/>
    </row>
    <row r="12" spans="1:23" x14ac:dyDescent="0.25">
      <c r="A12" s="53">
        <v>5338</v>
      </c>
      <c r="B12" s="49" t="s">
        <v>14</v>
      </c>
      <c r="C12" s="49" t="str">
        <f>INDEX(Tab_Vendedores[Gestor],MATCH(Treinamentos[[#This Row],[Vendedor]],Tab_Vendedores[Nome],0))</f>
        <v>Marcelo Leal</v>
      </c>
      <c r="D12" s="49" t="s">
        <v>85</v>
      </c>
      <c r="E12" s="49" t="str">
        <f>LEFT(Treinamentos[[#This Row],[Treinamento]],SEARCH(" ",Treinamentos[[#This Row],[Treinamento]])-1)</f>
        <v>Outlook</v>
      </c>
      <c r="F12" s="49">
        <f>VALUE(RIGHT(Treinamentos[[#This Row],[Treinamento]],4))</f>
        <v>2016</v>
      </c>
      <c r="G12" s="50">
        <v>43292.375</v>
      </c>
      <c r="H12" s="50">
        <v>43298.75</v>
      </c>
      <c r="I12" s="54">
        <f t="shared" si="0"/>
        <v>43292</v>
      </c>
      <c r="J12" s="54">
        <f t="shared" si="1"/>
        <v>43298</v>
      </c>
      <c r="K12" s="51" t="str">
        <f t="shared" si="2"/>
        <v>09:00</v>
      </c>
      <c r="L12" s="51">
        <f t="shared" si="3"/>
        <v>0.75</v>
      </c>
      <c r="M12" s="51" t="str">
        <f t="shared" si="4"/>
        <v>Integral</v>
      </c>
      <c r="N12" s="51" t="str">
        <f t="shared" si="5"/>
        <v>Julho</v>
      </c>
      <c r="O12" s="51" t="str">
        <f t="shared" si="6"/>
        <v>2018</v>
      </c>
      <c r="P12" s="49" t="s">
        <v>23</v>
      </c>
      <c r="Q12" s="49" t="s">
        <v>41</v>
      </c>
      <c r="R12" s="49" t="str">
        <f>INDEX(Tab_Instrutores[Estado],MATCH(Treinamentos[[#This Row],[Instrutor]],Tab_Instrutores[Instrutor],0))</f>
        <v>SP</v>
      </c>
      <c r="S12" s="49" t="s">
        <v>186</v>
      </c>
      <c r="T12" s="49">
        <v>10</v>
      </c>
      <c r="U12" s="63">
        <v>48</v>
      </c>
      <c r="V12" s="63">
        <f>+Treinamentos[[#This Row],[Alunos]]*Treinamentos[[#This Row],[Valor]]</f>
        <v>480</v>
      </c>
      <c r="W12" s="49"/>
    </row>
    <row r="13" spans="1:23" x14ac:dyDescent="0.25">
      <c r="A13" s="53">
        <v>5339</v>
      </c>
      <c r="B13" s="49" t="s">
        <v>39</v>
      </c>
      <c r="C13" s="49" t="str">
        <f>INDEX(Tab_Vendedores[Gestor],MATCH(Treinamentos[[#This Row],[Vendedor]],Tab_Vendedores[Nome],0))</f>
        <v>Alexandra Conceição</v>
      </c>
      <c r="D13" s="49" t="s">
        <v>77</v>
      </c>
      <c r="E13" s="49" t="str">
        <f>LEFT(Treinamentos[[#This Row],[Treinamento]],SEARCH(" ",Treinamentos[[#This Row],[Treinamento]])-1)</f>
        <v>Excel</v>
      </c>
      <c r="F13" s="49">
        <f>VALUE(RIGHT(Treinamentos[[#This Row],[Treinamento]],4))</f>
        <v>2016</v>
      </c>
      <c r="G13" s="50">
        <v>43293.333333333336</v>
      </c>
      <c r="H13" s="50">
        <v>43306.5</v>
      </c>
      <c r="I13" s="54">
        <f t="shared" si="0"/>
        <v>43293</v>
      </c>
      <c r="J13" s="54">
        <f t="shared" si="1"/>
        <v>43306</v>
      </c>
      <c r="K13" s="51" t="str">
        <f t="shared" si="2"/>
        <v>08:00</v>
      </c>
      <c r="L13" s="51">
        <f t="shared" si="3"/>
        <v>0.5</v>
      </c>
      <c r="M13" s="51" t="str">
        <f t="shared" si="4"/>
        <v>Manhã</v>
      </c>
      <c r="N13" s="51" t="str">
        <f t="shared" si="5"/>
        <v>Julho</v>
      </c>
      <c r="O13" s="51" t="str">
        <f t="shared" si="6"/>
        <v>2018</v>
      </c>
      <c r="P13" s="49" t="s">
        <v>23</v>
      </c>
      <c r="Q13" s="49" t="s">
        <v>41</v>
      </c>
      <c r="R13" s="49" t="str">
        <f>INDEX(Tab_Instrutores[Estado],MATCH(Treinamentos[[#This Row],[Instrutor]],Tab_Instrutores[Instrutor],0))</f>
        <v>SP</v>
      </c>
      <c r="S13" s="49" t="s">
        <v>186</v>
      </c>
      <c r="T13" s="49">
        <v>12</v>
      </c>
      <c r="U13" s="63">
        <v>35</v>
      </c>
      <c r="V13" s="63">
        <f>+Treinamentos[[#This Row],[Alunos]]*Treinamentos[[#This Row],[Valor]]</f>
        <v>420</v>
      </c>
      <c r="W13" s="49"/>
    </row>
    <row r="14" spans="1:23" x14ac:dyDescent="0.25">
      <c r="A14" s="53">
        <v>5340</v>
      </c>
      <c r="B14" s="49" t="s">
        <v>14</v>
      </c>
      <c r="C14" s="49" t="str">
        <f>INDEX(Tab_Vendedores[Gestor],MATCH(Treinamentos[[#This Row],[Vendedor]],Tab_Vendedores[Nome],0))</f>
        <v>Marcelo Leal</v>
      </c>
      <c r="D14" s="49" t="s">
        <v>82</v>
      </c>
      <c r="E14" s="49" t="str">
        <f>LEFT(Treinamentos[[#This Row],[Treinamento]],SEARCH(" ",Treinamentos[[#This Row],[Treinamento]])-1)</f>
        <v>Excel</v>
      </c>
      <c r="F14" s="49">
        <f>VALUE(RIGHT(Treinamentos[[#This Row],[Treinamento]],4))</f>
        <v>2016</v>
      </c>
      <c r="G14" s="50">
        <v>43294.375</v>
      </c>
      <c r="H14" s="50">
        <v>43299.75</v>
      </c>
      <c r="I14" s="54">
        <f t="shared" si="0"/>
        <v>43294</v>
      </c>
      <c r="J14" s="54">
        <f t="shared" si="1"/>
        <v>43299</v>
      </c>
      <c r="K14" s="51" t="str">
        <f t="shared" si="2"/>
        <v>09:00</v>
      </c>
      <c r="L14" s="51">
        <f t="shared" si="3"/>
        <v>0.75</v>
      </c>
      <c r="M14" s="51" t="str">
        <f t="shared" si="4"/>
        <v>Integral</v>
      </c>
      <c r="N14" s="51" t="str">
        <f t="shared" si="5"/>
        <v>Julho</v>
      </c>
      <c r="O14" s="51" t="str">
        <f t="shared" si="6"/>
        <v>2018</v>
      </c>
      <c r="P14" s="49" t="s">
        <v>23</v>
      </c>
      <c r="Q14" s="49" t="s">
        <v>33</v>
      </c>
      <c r="R14" s="49" t="str">
        <f>INDEX(Tab_Instrutores[Estado],MATCH(Treinamentos[[#This Row],[Instrutor]],Tab_Instrutores[Instrutor],0))</f>
        <v>SP</v>
      </c>
      <c r="S14" s="49" t="s">
        <v>188</v>
      </c>
      <c r="T14" s="49">
        <v>11</v>
      </c>
      <c r="U14" s="63">
        <v>75</v>
      </c>
      <c r="V14" s="63">
        <f>+Treinamentos[[#This Row],[Alunos]]*Treinamentos[[#This Row],[Valor]]</f>
        <v>825</v>
      </c>
      <c r="W14" s="49"/>
    </row>
    <row r="15" spans="1:23" x14ac:dyDescent="0.25">
      <c r="A15" s="53">
        <v>5341</v>
      </c>
      <c r="B15" s="49" t="s">
        <v>14</v>
      </c>
      <c r="C15" s="49" t="str">
        <f>INDEX(Tab_Vendedores[Gestor],MATCH(Treinamentos[[#This Row],[Vendedor]],Tab_Vendedores[Nome],0))</f>
        <v>Marcelo Leal</v>
      </c>
      <c r="D15" s="49" t="s">
        <v>88</v>
      </c>
      <c r="E15" s="49" t="str">
        <f>LEFT(Treinamentos[[#This Row],[Treinamento]],SEARCH(" ",Treinamentos[[#This Row],[Treinamento]])-1)</f>
        <v>Outlook</v>
      </c>
      <c r="F15" s="49">
        <f>VALUE(RIGHT(Treinamentos[[#This Row],[Treinamento]],4))</f>
        <v>2016</v>
      </c>
      <c r="G15" s="50">
        <v>43296.791666666664</v>
      </c>
      <c r="H15" s="50">
        <v>43307.958333333336</v>
      </c>
      <c r="I15" s="54">
        <f t="shared" si="0"/>
        <v>43296</v>
      </c>
      <c r="J15" s="54">
        <f t="shared" si="1"/>
        <v>43307</v>
      </c>
      <c r="K15" s="51" t="str">
        <f t="shared" si="2"/>
        <v>19:00</v>
      </c>
      <c r="L15" s="51">
        <f t="shared" si="3"/>
        <v>0.95833333333333337</v>
      </c>
      <c r="M15" s="51" t="str">
        <f t="shared" si="4"/>
        <v>Noite</v>
      </c>
      <c r="N15" s="51" t="str">
        <f t="shared" si="5"/>
        <v>Julho</v>
      </c>
      <c r="O15" s="51" t="str">
        <f t="shared" si="6"/>
        <v>2018</v>
      </c>
      <c r="P15" s="49" t="s">
        <v>9</v>
      </c>
      <c r="Q15" s="49" t="s">
        <v>18</v>
      </c>
      <c r="R15" s="49" t="str">
        <f>INDEX(Tab_Instrutores[Estado],MATCH(Treinamentos[[#This Row],[Instrutor]],Tab_Instrutores[Instrutor],0))</f>
        <v>SP</v>
      </c>
      <c r="S15" s="49" t="s">
        <v>187</v>
      </c>
      <c r="T15" s="49">
        <v>10</v>
      </c>
      <c r="U15" s="63">
        <v>42</v>
      </c>
      <c r="V15" s="63">
        <f>+Treinamentos[[#This Row],[Alunos]]*Treinamentos[[#This Row],[Valor]]</f>
        <v>420</v>
      </c>
      <c r="W15" s="49"/>
    </row>
    <row r="16" spans="1:23" x14ac:dyDescent="0.25">
      <c r="A16" s="53">
        <v>5342</v>
      </c>
      <c r="B16" s="49" t="s">
        <v>29</v>
      </c>
      <c r="C16" s="49" t="str">
        <f>INDEX(Tab_Vendedores[Gestor],MATCH(Treinamentos[[#This Row],[Vendedor]],Tab_Vendedores[Nome],0))</f>
        <v>Alexandra Conceição</v>
      </c>
      <c r="D16" s="49" t="s">
        <v>80</v>
      </c>
      <c r="E16" s="49" t="str">
        <f>LEFT(Treinamentos[[#This Row],[Treinamento]],SEARCH(" ",Treinamentos[[#This Row],[Treinamento]])-1)</f>
        <v>DashBoard</v>
      </c>
      <c r="F16" s="49">
        <f>VALUE(RIGHT(Treinamentos[[#This Row],[Treinamento]],4))</f>
        <v>2016</v>
      </c>
      <c r="G16" s="50">
        <v>43296.791666666664</v>
      </c>
      <c r="H16" s="50">
        <v>43307.958333333336</v>
      </c>
      <c r="I16" s="54">
        <f t="shared" si="0"/>
        <v>43296</v>
      </c>
      <c r="J16" s="54">
        <f t="shared" si="1"/>
        <v>43307</v>
      </c>
      <c r="K16" s="51" t="str">
        <f t="shared" si="2"/>
        <v>19:00</v>
      </c>
      <c r="L16" s="51">
        <f t="shared" si="3"/>
        <v>0.95833333333333337</v>
      </c>
      <c r="M16" s="51" t="str">
        <f t="shared" si="4"/>
        <v>Noite</v>
      </c>
      <c r="N16" s="51" t="str">
        <f t="shared" si="5"/>
        <v>Julho</v>
      </c>
      <c r="O16" s="51" t="str">
        <f t="shared" si="6"/>
        <v>2018</v>
      </c>
      <c r="P16" s="49" t="s">
        <v>23</v>
      </c>
      <c r="Q16" s="49" t="s">
        <v>16</v>
      </c>
      <c r="R16" s="49" t="str">
        <f>INDEX(Tab_Instrutores[Estado],MATCH(Treinamentos[[#This Row],[Instrutor]],Tab_Instrutores[Instrutor],0))</f>
        <v>RJ</v>
      </c>
      <c r="S16" s="49" t="s">
        <v>187</v>
      </c>
      <c r="T16" s="49">
        <v>11</v>
      </c>
      <c r="U16" s="63">
        <v>32</v>
      </c>
      <c r="V16" s="63">
        <f>+Treinamentos[[#This Row],[Alunos]]*Treinamentos[[#This Row],[Valor]]</f>
        <v>352</v>
      </c>
      <c r="W16" s="49"/>
    </row>
    <row r="17" spans="1:23" x14ac:dyDescent="0.25">
      <c r="A17" s="53">
        <v>5343</v>
      </c>
      <c r="B17" s="49" t="s">
        <v>7</v>
      </c>
      <c r="C17" s="49" t="str">
        <f>INDEX(Tab_Vendedores[Gestor],MATCH(Treinamentos[[#This Row],[Vendedor]],Tab_Vendedores[Nome],0))</f>
        <v>Marcelo Leal</v>
      </c>
      <c r="D17" s="49" t="s">
        <v>79</v>
      </c>
      <c r="E17" s="49" t="str">
        <f>LEFT(Treinamentos[[#This Row],[Treinamento]],SEARCH(" ",Treinamentos[[#This Row],[Treinamento]])-1)</f>
        <v>Word</v>
      </c>
      <c r="F17" s="49">
        <f>VALUE(RIGHT(Treinamentos[[#This Row],[Treinamento]],4))</f>
        <v>2016</v>
      </c>
      <c r="G17" s="50">
        <v>43297.791666666664</v>
      </c>
      <c r="H17" s="50">
        <v>43310.958333333336</v>
      </c>
      <c r="I17" s="54">
        <f t="shared" si="0"/>
        <v>43297</v>
      </c>
      <c r="J17" s="54">
        <f t="shared" si="1"/>
        <v>43310</v>
      </c>
      <c r="K17" s="51" t="str">
        <f t="shared" si="2"/>
        <v>19:00</v>
      </c>
      <c r="L17" s="51">
        <f t="shared" si="3"/>
        <v>0.95833333333333337</v>
      </c>
      <c r="M17" s="51" t="str">
        <f t="shared" si="4"/>
        <v>Noite</v>
      </c>
      <c r="N17" s="51" t="str">
        <f t="shared" si="5"/>
        <v>Julho</v>
      </c>
      <c r="O17" s="51" t="str">
        <f t="shared" si="6"/>
        <v>2018</v>
      </c>
      <c r="P17" s="49" t="s">
        <v>23</v>
      </c>
      <c r="Q17" s="49" t="s">
        <v>21</v>
      </c>
      <c r="R17" s="49" t="str">
        <f>INDEX(Tab_Instrutores[Estado],MATCH(Treinamentos[[#This Row],[Instrutor]],Tab_Instrutores[Instrutor],0))</f>
        <v>SP</v>
      </c>
      <c r="S17" s="49" t="s">
        <v>189</v>
      </c>
      <c r="T17" s="49">
        <v>8</v>
      </c>
      <c r="U17" s="63">
        <v>48</v>
      </c>
      <c r="V17" s="63">
        <f>+Treinamentos[[#This Row],[Alunos]]*Treinamentos[[#This Row],[Valor]]</f>
        <v>384</v>
      </c>
      <c r="W17" s="49"/>
    </row>
    <row r="18" spans="1:23" x14ac:dyDescent="0.25">
      <c r="A18" s="53">
        <v>5344</v>
      </c>
      <c r="B18" s="49" t="s">
        <v>45</v>
      </c>
      <c r="C18" s="49" t="str">
        <f>INDEX(Tab_Vendedores[Gestor],MATCH(Treinamentos[[#This Row],[Vendedor]],Tab_Vendedores[Nome],0))</f>
        <v>Alexandra Conceição</v>
      </c>
      <c r="D18" s="49" t="s">
        <v>82</v>
      </c>
      <c r="E18" s="49" t="str">
        <f>LEFT(Treinamentos[[#This Row],[Treinamento]],SEARCH(" ",Treinamentos[[#This Row],[Treinamento]])-1)</f>
        <v>Excel</v>
      </c>
      <c r="F18" s="49">
        <f>VALUE(RIGHT(Treinamentos[[#This Row],[Treinamento]],4))</f>
        <v>2016</v>
      </c>
      <c r="G18" s="50">
        <v>43298.583333333336</v>
      </c>
      <c r="H18" s="50">
        <v>43311.75</v>
      </c>
      <c r="I18" s="54">
        <f t="shared" si="0"/>
        <v>43298</v>
      </c>
      <c r="J18" s="54">
        <f t="shared" si="1"/>
        <v>43311</v>
      </c>
      <c r="K18" s="51" t="str">
        <f t="shared" si="2"/>
        <v>14:00</v>
      </c>
      <c r="L18" s="51">
        <f t="shared" si="3"/>
        <v>0.75</v>
      </c>
      <c r="M18" s="51" t="str">
        <f t="shared" si="4"/>
        <v>Tarde</v>
      </c>
      <c r="N18" s="51" t="str">
        <f t="shared" si="5"/>
        <v>Julho</v>
      </c>
      <c r="O18" s="51" t="str">
        <f t="shared" si="6"/>
        <v>2018</v>
      </c>
      <c r="P18" s="49" t="s">
        <v>23</v>
      </c>
      <c r="Q18" s="49" t="s">
        <v>12</v>
      </c>
      <c r="R18" s="49" t="str">
        <f>INDEX(Tab_Instrutores[Estado],MATCH(Treinamentos[[#This Row],[Instrutor]],Tab_Instrutores[Instrutor],0))</f>
        <v>SP</v>
      </c>
      <c r="S18" s="49" t="s">
        <v>186</v>
      </c>
      <c r="T18" s="49">
        <v>10</v>
      </c>
      <c r="U18" s="63">
        <v>75</v>
      </c>
      <c r="V18" s="63">
        <f>+Treinamentos[[#This Row],[Alunos]]*Treinamentos[[#This Row],[Valor]]</f>
        <v>750</v>
      </c>
      <c r="W18" s="49"/>
    </row>
    <row r="19" spans="1:23" x14ac:dyDescent="0.25">
      <c r="A19" s="53">
        <v>5345</v>
      </c>
      <c r="B19" s="49" t="s">
        <v>39</v>
      </c>
      <c r="C19" s="49" t="str">
        <f>INDEX(Tab_Vendedores[Gestor],MATCH(Treinamentos[[#This Row],[Vendedor]],Tab_Vendedores[Nome],0))</f>
        <v>Alexandra Conceição</v>
      </c>
      <c r="D19" s="49" t="s">
        <v>89</v>
      </c>
      <c r="E19" s="49" t="str">
        <f>LEFT(Treinamentos[[#This Row],[Treinamento]],SEARCH(" ",Treinamentos[[#This Row],[Treinamento]])-1)</f>
        <v>PowerPoint</v>
      </c>
      <c r="F19" s="49">
        <f>VALUE(RIGHT(Treinamentos[[#This Row],[Treinamento]],4))</f>
        <v>2016</v>
      </c>
      <c r="G19" s="50">
        <v>43299.375</v>
      </c>
      <c r="H19" s="50">
        <v>43305.75</v>
      </c>
      <c r="I19" s="54">
        <f t="shared" si="0"/>
        <v>43299</v>
      </c>
      <c r="J19" s="54">
        <f t="shared" si="1"/>
        <v>43305</v>
      </c>
      <c r="K19" s="51" t="str">
        <f t="shared" si="2"/>
        <v>09:00</v>
      </c>
      <c r="L19" s="51">
        <f t="shared" si="3"/>
        <v>0.75</v>
      </c>
      <c r="M19" s="51" t="str">
        <f t="shared" si="4"/>
        <v>Integral</v>
      </c>
      <c r="N19" s="51" t="str">
        <f t="shared" si="5"/>
        <v>Julho</v>
      </c>
      <c r="O19" s="51" t="str">
        <f t="shared" si="6"/>
        <v>2018</v>
      </c>
      <c r="P19" s="49" t="s">
        <v>23</v>
      </c>
      <c r="Q19" s="49" t="s">
        <v>16</v>
      </c>
      <c r="R19" s="49" t="str">
        <f>INDEX(Tab_Instrutores[Estado],MATCH(Treinamentos[[#This Row],[Instrutor]],Tab_Instrutores[Instrutor],0))</f>
        <v>RJ</v>
      </c>
      <c r="S19" s="49" t="s">
        <v>186</v>
      </c>
      <c r="T19" s="49">
        <v>11</v>
      </c>
      <c r="U19" s="63">
        <v>62</v>
      </c>
      <c r="V19" s="63">
        <f>+Treinamentos[[#This Row],[Alunos]]*Treinamentos[[#This Row],[Valor]]</f>
        <v>682</v>
      </c>
      <c r="W19" s="49"/>
    </row>
    <row r="20" spans="1:23" x14ac:dyDescent="0.25">
      <c r="A20" s="53">
        <v>5346</v>
      </c>
      <c r="B20" s="49" t="s">
        <v>17</v>
      </c>
      <c r="C20" s="49" t="str">
        <f>INDEX(Tab_Vendedores[Gestor],MATCH(Treinamentos[[#This Row],[Vendedor]],Tab_Vendedores[Nome],0))</f>
        <v>Janny Costa</v>
      </c>
      <c r="D20" s="49" t="s">
        <v>77</v>
      </c>
      <c r="E20" s="49" t="str">
        <f>LEFT(Treinamentos[[#This Row],[Treinamento]],SEARCH(" ",Treinamentos[[#This Row],[Treinamento]])-1)</f>
        <v>Excel</v>
      </c>
      <c r="F20" s="49">
        <f>VALUE(RIGHT(Treinamentos[[#This Row],[Treinamento]],4))</f>
        <v>2016</v>
      </c>
      <c r="G20" s="50">
        <v>43300.333333333336</v>
      </c>
      <c r="H20" s="50">
        <v>43313.5</v>
      </c>
      <c r="I20" s="54">
        <f t="shared" si="0"/>
        <v>43300</v>
      </c>
      <c r="J20" s="54">
        <f t="shared" si="1"/>
        <v>43313</v>
      </c>
      <c r="K20" s="51" t="str">
        <f t="shared" si="2"/>
        <v>08:00</v>
      </c>
      <c r="L20" s="51">
        <f t="shared" si="3"/>
        <v>0.5</v>
      </c>
      <c r="M20" s="51" t="str">
        <f t="shared" si="4"/>
        <v>Manhã</v>
      </c>
      <c r="N20" s="51" t="str">
        <f t="shared" si="5"/>
        <v>Julho</v>
      </c>
      <c r="O20" s="51" t="str">
        <f t="shared" si="6"/>
        <v>2018</v>
      </c>
      <c r="P20" s="49" t="s">
        <v>9</v>
      </c>
      <c r="Q20" s="49" t="s">
        <v>38</v>
      </c>
      <c r="R20" s="49" t="str">
        <f>INDEX(Tab_Instrutores[Estado],MATCH(Treinamentos[[#This Row],[Instrutor]],Tab_Instrutores[Instrutor],0))</f>
        <v>SP</v>
      </c>
      <c r="S20" s="49" t="s">
        <v>189</v>
      </c>
      <c r="T20" s="49">
        <v>9</v>
      </c>
      <c r="U20" s="63">
        <v>35</v>
      </c>
      <c r="V20" s="63">
        <f>+Treinamentos[[#This Row],[Alunos]]*Treinamentos[[#This Row],[Valor]]</f>
        <v>315</v>
      </c>
      <c r="W20" s="49"/>
    </row>
    <row r="21" spans="1:23" x14ac:dyDescent="0.25">
      <c r="A21" s="53">
        <v>5347</v>
      </c>
      <c r="B21" s="49" t="s">
        <v>7</v>
      </c>
      <c r="C21" s="49" t="str">
        <f>INDEX(Tab_Vendedores[Gestor],MATCH(Treinamentos[[#This Row],[Vendedor]],Tab_Vendedores[Nome],0))</f>
        <v>Marcelo Leal</v>
      </c>
      <c r="D21" s="49" t="s">
        <v>84</v>
      </c>
      <c r="E21" s="49" t="str">
        <f>LEFT(Treinamentos[[#This Row],[Treinamento]],SEARCH(" ",Treinamentos[[#This Row],[Treinamento]])-1)</f>
        <v>Excel</v>
      </c>
      <c r="F21" s="49">
        <f>VALUE(RIGHT(Treinamentos[[#This Row],[Treinamento]],4))</f>
        <v>2016</v>
      </c>
      <c r="G21" s="50">
        <v>43301.375</v>
      </c>
      <c r="H21" s="50">
        <v>43306.75</v>
      </c>
      <c r="I21" s="54">
        <f t="shared" si="0"/>
        <v>43301</v>
      </c>
      <c r="J21" s="54">
        <f t="shared" si="1"/>
        <v>43306</v>
      </c>
      <c r="K21" s="51" t="str">
        <f t="shared" si="2"/>
        <v>09:00</v>
      </c>
      <c r="L21" s="51">
        <f t="shared" si="3"/>
        <v>0.75</v>
      </c>
      <c r="M21" s="51" t="str">
        <f t="shared" si="4"/>
        <v>Integral</v>
      </c>
      <c r="N21" s="51" t="str">
        <f t="shared" si="5"/>
        <v>Julho</v>
      </c>
      <c r="O21" s="51" t="str">
        <f t="shared" si="6"/>
        <v>2018</v>
      </c>
      <c r="P21" s="49" t="s">
        <v>23</v>
      </c>
      <c r="Q21" s="49" t="s">
        <v>33</v>
      </c>
      <c r="R21" s="49" t="str">
        <f>INDEX(Tab_Instrutores[Estado],MATCH(Treinamentos[[#This Row],[Instrutor]],Tab_Instrutores[Instrutor],0))</f>
        <v>SP</v>
      </c>
      <c r="S21" s="49" t="s">
        <v>186</v>
      </c>
      <c r="T21" s="49">
        <v>12</v>
      </c>
      <c r="U21" s="63">
        <v>52</v>
      </c>
      <c r="V21" s="63">
        <f>+Treinamentos[[#This Row],[Alunos]]*Treinamentos[[#This Row],[Valor]]</f>
        <v>624</v>
      </c>
      <c r="W21" s="49"/>
    </row>
    <row r="22" spans="1:23" x14ac:dyDescent="0.25">
      <c r="A22" s="53">
        <v>5348</v>
      </c>
      <c r="B22" s="49" t="s">
        <v>45</v>
      </c>
      <c r="C22" s="49" t="str">
        <f>INDEX(Tab_Vendedores[Gestor],MATCH(Treinamentos[[#This Row],[Vendedor]],Tab_Vendedores[Nome],0))</f>
        <v>Alexandra Conceição</v>
      </c>
      <c r="D22" s="49" t="s">
        <v>85</v>
      </c>
      <c r="E22" s="49" t="str">
        <f>LEFT(Treinamentos[[#This Row],[Treinamento]],SEARCH(" ",Treinamentos[[#This Row],[Treinamento]])-1)</f>
        <v>Outlook</v>
      </c>
      <c r="F22" s="49">
        <f>VALUE(RIGHT(Treinamentos[[#This Row],[Treinamento]],4))</f>
        <v>2016</v>
      </c>
      <c r="G22" s="50">
        <v>43303.791666666664</v>
      </c>
      <c r="H22" s="50">
        <v>43314.958333333336</v>
      </c>
      <c r="I22" s="54">
        <f t="shared" si="0"/>
        <v>43303</v>
      </c>
      <c r="J22" s="54">
        <f t="shared" si="1"/>
        <v>43314</v>
      </c>
      <c r="K22" s="51" t="str">
        <f t="shared" si="2"/>
        <v>19:00</v>
      </c>
      <c r="L22" s="51">
        <f t="shared" si="3"/>
        <v>0.95833333333333337</v>
      </c>
      <c r="M22" s="51" t="str">
        <f t="shared" si="4"/>
        <v>Noite</v>
      </c>
      <c r="N22" s="51" t="str">
        <f t="shared" si="5"/>
        <v>Julho</v>
      </c>
      <c r="O22" s="51" t="str">
        <f t="shared" si="6"/>
        <v>2018</v>
      </c>
      <c r="P22" s="49" t="s">
        <v>9</v>
      </c>
      <c r="Q22" s="49" t="s">
        <v>38</v>
      </c>
      <c r="R22" s="49" t="str">
        <f>INDEX(Tab_Instrutores[Estado],MATCH(Treinamentos[[#This Row],[Instrutor]],Tab_Instrutores[Instrutor],0))</f>
        <v>SP</v>
      </c>
      <c r="S22" s="49" t="s">
        <v>187</v>
      </c>
      <c r="T22" s="49">
        <v>8</v>
      </c>
      <c r="U22" s="63">
        <v>48</v>
      </c>
      <c r="V22" s="63">
        <f>+Treinamentos[[#This Row],[Alunos]]*Treinamentos[[#This Row],[Valor]]</f>
        <v>384</v>
      </c>
      <c r="W22" s="49"/>
    </row>
    <row r="23" spans="1:23" x14ac:dyDescent="0.25">
      <c r="A23" s="53">
        <v>5349</v>
      </c>
      <c r="B23" s="49" t="s">
        <v>29</v>
      </c>
      <c r="C23" s="49" t="str">
        <f>INDEX(Tab_Vendedores[Gestor],MATCH(Treinamentos[[#This Row],[Vendedor]],Tab_Vendedores[Nome],0))</f>
        <v>Alexandra Conceição</v>
      </c>
      <c r="D23" s="49" t="s">
        <v>84</v>
      </c>
      <c r="E23" s="49" t="str">
        <f>LEFT(Treinamentos[[#This Row],[Treinamento]],SEARCH(" ",Treinamentos[[#This Row],[Treinamento]])-1)</f>
        <v>Excel</v>
      </c>
      <c r="F23" s="49">
        <f>VALUE(RIGHT(Treinamentos[[#This Row],[Treinamento]],4))</f>
        <v>2016</v>
      </c>
      <c r="G23" s="50">
        <v>43303.791666666664</v>
      </c>
      <c r="H23" s="50">
        <v>43314.958333333336</v>
      </c>
      <c r="I23" s="54">
        <f t="shared" si="0"/>
        <v>43303</v>
      </c>
      <c r="J23" s="54">
        <f t="shared" si="1"/>
        <v>43314</v>
      </c>
      <c r="K23" s="51" t="str">
        <f t="shared" si="2"/>
        <v>19:00</v>
      </c>
      <c r="L23" s="51">
        <f t="shared" si="3"/>
        <v>0.95833333333333337</v>
      </c>
      <c r="M23" s="51" t="str">
        <f t="shared" si="4"/>
        <v>Noite</v>
      </c>
      <c r="N23" s="51" t="str">
        <f t="shared" si="5"/>
        <v>Julho</v>
      </c>
      <c r="O23" s="51" t="str">
        <f t="shared" si="6"/>
        <v>2018</v>
      </c>
      <c r="P23" s="49" t="s">
        <v>23</v>
      </c>
      <c r="Q23" s="49" t="s">
        <v>16</v>
      </c>
      <c r="R23" s="49" t="str">
        <f>INDEX(Tab_Instrutores[Estado],MATCH(Treinamentos[[#This Row],[Instrutor]],Tab_Instrutores[Instrutor],0))</f>
        <v>RJ</v>
      </c>
      <c r="S23" s="49" t="s">
        <v>186</v>
      </c>
      <c r="T23" s="49">
        <v>12</v>
      </c>
      <c r="U23" s="63">
        <v>52</v>
      </c>
      <c r="V23" s="63">
        <f>+Treinamentos[[#This Row],[Alunos]]*Treinamentos[[#This Row],[Valor]]</f>
        <v>624</v>
      </c>
      <c r="W23" s="49"/>
    </row>
    <row r="24" spans="1:23" x14ac:dyDescent="0.25">
      <c r="A24" s="53">
        <v>5350</v>
      </c>
      <c r="B24" s="49" t="s">
        <v>45</v>
      </c>
      <c r="C24" s="49" t="str">
        <f>INDEX(Tab_Vendedores[Gestor],MATCH(Treinamentos[[#This Row],[Vendedor]],Tab_Vendedores[Nome],0))</f>
        <v>Alexandra Conceição</v>
      </c>
      <c r="D24" s="49" t="s">
        <v>77</v>
      </c>
      <c r="E24" s="49" t="str">
        <f>LEFT(Treinamentos[[#This Row],[Treinamento]],SEARCH(" ",Treinamentos[[#This Row],[Treinamento]])-1)</f>
        <v>Excel</v>
      </c>
      <c r="F24" s="49">
        <f>VALUE(RIGHT(Treinamentos[[#This Row],[Treinamento]],4))</f>
        <v>2016</v>
      </c>
      <c r="G24" s="50">
        <v>43304.791666666664</v>
      </c>
      <c r="H24" s="50">
        <v>43317.958333333336</v>
      </c>
      <c r="I24" s="54">
        <f t="shared" si="0"/>
        <v>43304</v>
      </c>
      <c r="J24" s="54">
        <f t="shared" si="1"/>
        <v>43317</v>
      </c>
      <c r="K24" s="51" t="str">
        <f t="shared" si="2"/>
        <v>19:00</v>
      </c>
      <c r="L24" s="51">
        <f t="shared" si="3"/>
        <v>0.95833333333333337</v>
      </c>
      <c r="M24" s="51" t="str">
        <f t="shared" si="4"/>
        <v>Noite</v>
      </c>
      <c r="N24" s="51" t="str">
        <f t="shared" si="5"/>
        <v>Julho</v>
      </c>
      <c r="O24" s="51" t="str">
        <f t="shared" si="6"/>
        <v>2018</v>
      </c>
      <c r="P24" s="49" t="s">
        <v>9</v>
      </c>
      <c r="Q24" s="49" t="s">
        <v>31</v>
      </c>
      <c r="R24" s="49" t="str">
        <f>INDEX(Tab_Instrutores[Estado],MATCH(Treinamentos[[#This Row],[Instrutor]],Tab_Instrutores[Instrutor],0))</f>
        <v>SP</v>
      </c>
      <c r="S24" s="49" t="s">
        <v>186</v>
      </c>
      <c r="T24" s="49">
        <v>8</v>
      </c>
      <c r="U24" s="63">
        <v>35</v>
      </c>
      <c r="V24" s="63">
        <f>+Treinamentos[[#This Row],[Alunos]]*Treinamentos[[#This Row],[Valor]]</f>
        <v>280</v>
      </c>
      <c r="W24" s="49"/>
    </row>
    <row r="25" spans="1:23" x14ac:dyDescent="0.25">
      <c r="A25" s="53">
        <v>5351</v>
      </c>
      <c r="B25" s="49" t="s">
        <v>29</v>
      </c>
      <c r="C25" s="49" t="str">
        <f>INDEX(Tab_Vendedores[Gestor],MATCH(Treinamentos[[#This Row],[Vendedor]],Tab_Vendedores[Nome],0))</f>
        <v>Alexandra Conceição</v>
      </c>
      <c r="D25" s="49" t="s">
        <v>80</v>
      </c>
      <c r="E25" s="49" t="str">
        <f>LEFT(Treinamentos[[#This Row],[Treinamento]],SEARCH(" ",Treinamentos[[#This Row],[Treinamento]])-1)</f>
        <v>DashBoard</v>
      </c>
      <c r="F25" s="49">
        <f>VALUE(RIGHT(Treinamentos[[#This Row],[Treinamento]],4))</f>
        <v>2016</v>
      </c>
      <c r="G25" s="50">
        <v>43305.583333333336</v>
      </c>
      <c r="H25" s="50">
        <v>43318.75</v>
      </c>
      <c r="I25" s="54">
        <f t="shared" si="0"/>
        <v>43305</v>
      </c>
      <c r="J25" s="54">
        <f t="shared" si="1"/>
        <v>43318</v>
      </c>
      <c r="K25" s="51" t="str">
        <f t="shared" si="2"/>
        <v>14:00</v>
      </c>
      <c r="L25" s="51">
        <f t="shared" si="3"/>
        <v>0.75</v>
      </c>
      <c r="M25" s="51" t="str">
        <f t="shared" si="4"/>
        <v>Tarde</v>
      </c>
      <c r="N25" s="51" t="str">
        <f t="shared" si="5"/>
        <v>Julho</v>
      </c>
      <c r="O25" s="51" t="str">
        <f t="shared" si="6"/>
        <v>2018</v>
      </c>
      <c r="P25" s="49" t="s">
        <v>23</v>
      </c>
      <c r="Q25" s="49" t="s">
        <v>38</v>
      </c>
      <c r="R25" s="49" t="str">
        <f>INDEX(Tab_Instrutores[Estado],MATCH(Treinamentos[[#This Row],[Instrutor]],Tab_Instrutores[Instrutor],0))</f>
        <v>SP</v>
      </c>
      <c r="S25" s="49" t="s">
        <v>189</v>
      </c>
      <c r="T25" s="49">
        <v>10</v>
      </c>
      <c r="U25" s="63">
        <v>32</v>
      </c>
      <c r="V25" s="63">
        <f>+Treinamentos[[#This Row],[Alunos]]*Treinamentos[[#This Row],[Valor]]</f>
        <v>320</v>
      </c>
      <c r="W25" s="49"/>
    </row>
    <row r="26" spans="1:23" x14ac:dyDescent="0.25">
      <c r="A26" s="53">
        <v>5352</v>
      </c>
      <c r="B26" s="49" t="s">
        <v>7</v>
      </c>
      <c r="C26" s="49" t="str">
        <f>INDEX(Tab_Vendedores[Gestor],MATCH(Treinamentos[[#This Row],[Vendedor]],Tab_Vendedores[Nome],0))</f>
        <v>Marcelo Leal</v>
      </c>
      <c r="D26" s="49" t="s">
        <v>86</v>
      </c>
      <c r="E26" s="49" t="str">
        <f>LEFT(Treinamentos[[#This Row],[Treinamento]],SEARCH(" ",Treinamentos[[#This Row],[Treinamento]])-1)</f>
        <v>PowerPoint</v>
      </c>
      <c r="F26" s="49">
        <f>VALUE(RIGHT(Treinamentos[[#This Row],[Treinamento]],4))</f>
        <v>2016</v>
      </c>
      <c r="G26" s="50">
        <v>43306.375</v>
      </c>
      <c r="H26" s="50">
        <v>43312.75</v>
      </c>
      <c r="I26" s="54">
        <f t="shared" si="0"/>
        <v>43306</v>
      </c>
      <c r="J26" s="54">
        <f t="shared" si="1"/>
        <v>43312</v>
      </c>
      <c r="K26" s="51" t="str">
        <f t="shared" si="2"/>
        <v>09:00</v>
      </c>
      <c r="L26" s="51">
        <f t="shared" si="3"/>
        <v>0.75</v>
      </c>
      <c r="M26" s="51" t="str">
        <f t="shared" si="4"/>
        <v>Integral</v>
      </c>
      <c r="N26" s="51" t="str">
        <f t="shared" si="5"/>
        <v>Julho</v>
      </c>
      <c r="O26" s="51" t="str">
        <f t="shared" si="6"/>
        <v>2018</v>
      </c>
      <c r="P26" s="49" t="s">
        <v>9</v>
      </c>
      <c r="Q26" s="49" t="s">
        <v>190</v>
      </c>
      <c r="R26" s="49" t="str">
        <f>INDEX(Tab_Instrutores[Estado],MATCH(Treinamentos[[#This Row],[Instrutor]],Tab_Instrutores[Instrutor],0))</f>
        <v>RJ</v>
      </c>
      <c r="S26" s="49" t="s">
        <v>187</v>
      </c>
      <c r="T26" s="49">
        <v>12</v>
      </c>
      <c r="U26" s="63">
        <v>48</v>
      </c>
      <c r="V26" s="63">
        <f>+Treinamentos[[#This Row],[Alunos]]*Treinamentos[[#This Row],[Valor]]</f>
        <v>576</v>
      </c>
      <c r="W26" s="49"/>
    </row>
    <row r="27" spans="1:23" x14ac:dyDescent="0.25">
      <c r="A27" s="53">
        <v>5353</v>
      </c>
      <c r="B27" s="49" t="s">
        <v>17</v>
      </c>
      <c r="C27" s="49" t="str">
        <f>INDEX(Tab_Vendedores[Gestor],MATCH(Treinamentos[[#This Row],[Vendedor]],Tab_Vendedores[Nome],0))</f>
        <v>Janny Costa</v>
      </c>
      <c r="D27" s="49" t="s">
        <v>85</v>
      </c>
      <c r="E27" s="49" t="str">
        <f>LEFT(Treinamentos[[#This Row],[Treinamento]],SEARCH(" ",Treinamentos[[#This Row],[Treinamento]])-1)</f>
        <v>Outlook</v>
      </c>
      <c r="F27" s="49">
        <f>VALUE(RIGHT(Treinamentos[[#This Row],[Treinamento]],4))</f>
        <v>2016</v>
      </c>
      <c r="G27" s="50">
        <v>43307.333333333336</v>
      </c>
      <c r="H27" s="50">
        <v>43320.5</v>
      </c>
      <c r="I27" s="54">
        <f t="shared" si="0"/>
        <v>43307</v>
      </c>
      <c r="J27" s="54">
        <f t="shared" si="1"/>
        <v>43320</v>
      </c>
      <c r="K27" s="51" t="str">
        <f t="shared" si="2"/>
        <v>08:00</v>
      </c>
      <c r="L27" s="51">
        <f t="shared" si="3"/>
        <v>0.5</v>
      </c>
      <c r="M27" s="51" t="str">
        <f t="shared" si="4"/>
        <v>Manhã</v>
      </c>
      <c r="N27" s="51" t="str">
        <f t="shared" si="5"/>
        <v>Julho</v>
      </c>
      <c r="O27" s="51" t="str">
        <f t="shared" si="6"/>
        <v>2018</v>
      </c>
      <c r="P27" s="49" t="s">
        <v>9</v>
      </c>
      <c r="Q27" s="49" t="s">
        <v>44</v>
      </c>
      <c r="R27" s="49" t="str">
        <f>INDEX(Tab_Instrutores[Estado],MATCH(Treinamentos[[#This Row],[Instrutor]],Tab_Instrutores[Instrutor],0))</f>
        <v>SP</v>
      </c>
      <c r="S27" s="49" t="s">
        <v>187</v>
      </c>
      <c r="T27" s="49">
        <v>9</v>
      </c>
      <c r="U27" s="63">
        <v>48</v>
      </c>
      <c r="V27" s="63">
        <f>+Treinamentos[[#This Row],[Alunos]]*Treinamentos[[#This Row],[Valor]]</f>
        <v>432</v>
      </c>
      <c r="W27" s="49"/>
    </row>
    <row r="28" spans="1:23" x14ac:dyDescent="0.25">
      <c r="A28" s="53">
        <v>5354</v>
      </c>
      <c r="B28" s="49" t="s">
        <v>29</v>
      </c>
      <c r="C28" s="49" t="str">
        <f>INDEX(Tab_Vendedores[Gestor],MATCH(Treinamentos[[#This Row],[Vendedor]],Tab_Vendedores[Nome],0))</f>
        <v>Alexandra Conceição</v>
      </c>
      <c r="D28" s="49" t="s">
        <v>86</v>
      </c>
      <c r="E28" s="49" t="str">
        <f>LEFT(Treinamentos[[#This Row],[Treinamento]],SEARCH(" ",Treinamentos[[#This Row],[Treinamento]])-1)</f>
        <v>PowerPoint</v>
      </c>
      <c r="F28" s="49">
        <f>VALUE(RIGHT(Treinamentos[[#This Row],[Treinamento]],4))</f>
        <v>2016</v>
      </c>
      <c r="G28" s="50">
        <v>43308.375</v>
      </c>
      <c r="H28" s="50">
        <v>43313.75</v>
      </c>
      <c r="I28" s="54">
        <f t="shared" si="0"/>
        <v>43308</v>
      </c>
      <c r="J28" s="54">
        <f t="shared" si="1"/>
        <v>43313</v>
      </c>
      <c r="K28" s="51" t="str">
        <f t="shared" si="2"/>
        <v>09:00</v>
      </c>
      <c r="L28" s="51">
        <f t="shared" si="3"/>
        <v>0.75</v>
      </c>
      <c r="M28" s="51" t="str">
        <f t="shared" si="4"/>
        <v>Integral</v>
      </c>
      <c r="N28" s="51" t="str">
        <f t="shared" si="5"/>
        <v>Julho</v>
      </c>
      <c r="O28" s="51" t="str">
        <f t="shared" si="6"/>
        <v>2018</v>
      </c>
      <c r="P28" s="49" t="s">
        <v>9</v>
      </c>
      <c r="Q28" s="49" t="s">
        <v>190</v>
      </c>
      <c r="R28" s="49" t="str">
        <f>INDEX(Tab_Instrutores[Estado],MATCH(Treinamentos[[#This Row],[Instrutor]],Tab_Instrutores[Instrutor],0))</f>
        <v>RJ</v>
      </c>
      <c r="S28" s="49" t="s">
        <v>188</v>
      </c>
      <c r="T28" s="49">
        <v>12</v>
      </c>
      <c r="U28" s="63">
        <v>48</v>
      </c>
      <c r="V28" s="63">
        <f>+Treinamentos[[#This Row],[Alunos]]*Treinamentos[[#This Row],[Valor]]</f>
        <v>576</v>
      </c>
      <c r="W28" s="49"/>
    </row>
    <row r="29" spans="1:23" x14ac:dyDescent="0.25">
      <c r="A29" s="53">
        <v>5355</v>
      </c>
      <c r="B29" s="49" t="s">
        <v>11</v>
      </c>
      <c r="C29" s="49" t="str">
        <f>INDEX(Tab_Vendedores[Gestor],MATCH(Treinamentos[[#This Row],[Vendedor]],Tab_Vendedores[Nome],0))</f>
        <v>Marcelo Leal</v>
      </c>
      <c r="D29" s="49" t="s">
        <v>88</v>
      </c>
      <c r="E29" s="49" t="str">
        <f>LEFT(Treinamentos[[#This Row],[Treinamento]],SEARCH(" ",Treinamentos[[#This Row],[Treinamento]])-1)</f>
        <v>Outlook</v>
      </c>
      <c r="F29" s="49">
        <f>VALUE(RIGHT(Treinamentos[[#This Row],[Treinamento]],4))</f>
        <v>2016</v>
      </c>
      <c r="G29" s="50">
        <v>43310.791666666664</v>
      </c>
      <c r="H29" s="50">
        <v>43321.958333333336</v>
      </c>
      <c r="I29" s="54">
        <f t="shared" si="0"/>
        <v>43310</v>
      </c>
      <c r="J29" s="54">
        <f t="shared" si="1"/>
        <v>43321</v>
      </c>
      <c r="K29" s="51" t="str">
        <f t="shared" si="2"/>
        <v>19:00</v>
      </c>
      <c r="L29" s="51">
        <f t="shared" si="3"/>
        <v>0.95833333333333337</v>
      </c>
      <c r="M29" s="51" t="str">
        <f t="shared" si="4"/>
        <v>Noite</v>
      </c>
      <c r="N29" s="51" t="str">
        <f t="shared" si="5"/>
        <v>Julho</v>
      </c>
      <c r="O29" s="51" t="str">
        <f t="shared" si="6"/>
        <v>2018</v>
      </c>
      <c r="P29" s="49" t="s">
        <v>23</v>
      </c>
      <c r="Q29" s="49" t="s">
        <v>28</v>
      </c>
      <c r="R29" s="49" t="str">
        <f>INDEX(Tab_Instrutores[Estado],MATCH(Treinamentos[[#This Row],[Instrutor]],Tab_Instrutores[Instrutor],0))</f>
        <v>RJ</v>
      </c>
      <c r="S29" s="49" t="s">
        <v>186</v>
      </c>
      <c r="T29" s="49">
        <v>9</v>
      </c>
      <c r="U29" s="63">
        <v>42</v>
      </c>
      <c r="V29" s="63">
        <f>+Treinamentos[[#This Row],[Alunos]]*Treinamentos[[#This Row],[Valor]]</f>
        <v>378</v>
      </c>
      <c r="W29" s="49"/>
    </row>
    <row r="30" spans="1:23" x14ac:dyDescent="0.25">
      <c r="A30" s="53">
        <v>5356</v>
      </c>
      <c r="B30" s="49" t="s">
        <v>14</v>
      </c>
      <c r="C30" s="49" t="str">
        <f>INDEX(Tab_Vendedores[Gestor],MATCH(Treinamentos[[#This Row],[Vendedor]],Tab_Vendedores[Nome],0))</f>
        <v>Marcelo Leal</v>
      </c>
      <c r="D30" s="49" t="s">
        <v>88</v>
      </c>
      <c r="E30" s="49" t="str">
        <f>LEFT(Treinamentos[[#This Row],[Treinamento]],SEARCH(" ",Treinamentos[[#This Row],[Treinamento]])-1)</f>
        <v>Outlook</v>
      </c>
      <c r="F30" s="49">
        <f>VALUE(RIGHT(Treinamentos[[#This Row],[Treinamento]],4))</f>
        <v>2016</v>
      </c>
      <c r="G30" s="50">
        <v>43310.791666666664</v>
      </c>
      <c r="H30" s="50">
        <v>43321.958333333336</v>
      </c>
      <c r="I30" s="54">
        <f t="shared" si="0"/>
        <v>43310</v>
      </c>
      <c r="J30" s="54">
        <f t="shared" si="1"/>
        <v>43321</v>
      </c>
      <c r="K30" s="51" t="str">
        <f t="shared" si="2"/>
        <v>19:00</v>
      </c>
      <c r="L30" s="51">
        <f t="shared" si="3"/>
        <v>0.95833333333333337</v>
      </c>
      <c r="M30" s="51" t="str">
        <f t="shared" si="4"/>
        <v>Noite</v>
      </c>
      <c r="N30" s="51" t="str">
        <f t="shared" si="5"/>
        <v>Julho</v>
      </c>
      <c r="O30" s="51" t="str">
        <f t="shared" si="6"/>
        <v>2018</v>
      </c>
      <c r="P30" s="49" t="s">
        <v>9</v>
      </c>
      <c r="Q30" s="49" t="s">
        <v>33</v>
      </c>
      <c r="R30" s="49" t="str">
        <f>INDEX(Tab_Instrutores[Estado],MATCH(Treinamentos[[#This Row],[Instrutor]],Tab_Instrutores[Instrutor],0))</f>
        <v>SP</v>
      </c>
      <c r="S30" s="49" t="s">
        <v>188</v>
      </c>
      <c r="T30" s="49">
        <v>12</v>
      </c>
      <c r="U30" s="63">
        <v>42</v>
      </c>
      <c r="V30" s="63">
        <f>+Treinamentos[[#This Row],[Alunos]]*Treinamentos[[#This Row],[Valor]]</f>
        <v>504</v>
      </c>
      <c r="W30" s="49"/>
    </row>
    <row r="31" spans="1:23" x14ac:dyDescent="0.25">
      <c r="A31" s="53">
        <v>5357</v>
      </c>
      <c r="B31" s="49" t="s">
        <v>7</v>
      </c>
      <c r="C31" s="49" t="str">
        <f>INDEX(Tab_Vendedores[Gestor],MATCH(Treinamentos[[#This Row],[Vendedor]],Tab_Vendedores[Nome],0))</f>
        <v>Marcelo Leal</v>
      </c>
      <c r="D31" s="49" t="s">
        <v>83</v>
      </c>
      <c r="E31" s="49" t="str">
        <f>LEFT(Treinamentos[[#This Row],[Treinamento]],SEARCH(" ",Treinamentos[[#This Row],[Treinamento]])-1)</f>
        <v>Access</v>
      </c>
      <c r="F31" s="49">
        <f>VALUE(RIGHT(Treinamentos[[#This Row],[Treinamento]],4))</f>
        <v>2016</v>
      </c>
      <c r="G31" s="50">
        <v>43311.791666666664</v>
      </c>
      <c r="H31" s="50">
        <v>43324.958333333336</v>
      </c>
      <c r="I31" s="54">
        <f t="shared" si="0"/>
        <v>43311</v>
      </c>
      <c r="J31" s="54">
        <f t="shared" si="1"/>
        <v>43324</v>
      </c>
      <c r="K31" s="51" t="str">
        <f t="shared" si="2"/>
        <v>19:00</v>
      </c>
      <c r="L31" s="51">
        <f t="shared" si="3"/>
        <v>0.95833333333333337</v>
      </c>
      <c r="M31" s="51" t="str">
        <f t="shared" si="4"/>
        <v>Noite</v>
      </c>
      <c r="N31" s="51" t="str">
        <f t="shared" si="5"/>
        <v>Julho</v>
      </c>
      <c r="O31" s="51" t="str">
        <f t="shared" si="6"/>
        <v>2018</v>
      </c>
      <c r="P31" s="49" t="s">
        <v>9</v>
      </c>
      <c r="Q31" s="49" t="s">
        <v>31</v>
      </c>
      <c r="R31" s="49" t="str">
        <f>INDEX(Tab_Instrutores[Estado],MATCH(Treinamentos[[#This Row],[Instrutor]],Tab_Instrutores[Instrutor],0))</f>
        <v>SP</v>
      </c>
      <c r="S31" s="49" t="s">
        <v>189</v>
      </c>
      <c r="T31" s="49">
        <v>9</v>
      </c>
      <c r="U31" s="63">
        <v>63</v>
      </c>
      <c r="V31" s="63">
        <f>+Treinamentos[[#This Row],[Alunos]]*Treinamentos[[#This Row],[Valor]]</f>
        <v>567</v>
      </c>
      <c r="W31" s="49"/>
    </row>
    <row r="32" spans="1:23" x14ac:dyDescent="0.25">
      <c r="A32" s="53">
        <v>5358</v>
      </c>
      <c r="B32" s="49" t="s">
        <v>39</v>
      </c>
      <c r="C32" s="49" t="str">
        <f>INDEX(Tab_Vendedores[Gestor],MATCH(Treinamentos[[#This Row],[Vendedor]],Tab_Vendedores[Nome],0))</f>
        <v>Alexandra Conceição</v>
      </c>
      <c r="D32" s="49" t="s">
        <v>79</v>
      </c>
      <c r="E32" s="49" t="str">
        <f>LEFT(Treinamentos[[#This Row],[Treinamento]],SEARCH(" ",Treinamentos[[#This Row],[Treinamento]])-1)</f>
        <v>Word</v>
      </c>
      <c r="F32" s="49">
        <f>VALUE(RIGHT(Treinamentos[[#This Row],[Treinamento]],4))</f>
        <v>2016</v>
      </c>
      <c r="G32" s="50">
        <v>43312.583333333336</v>
      </c>
      <c r="H32" s="50">
        <v>43325.75</v>
      </c>
      <c r="I32" s="54">
        <f t="shared" si="0"/>
        <v>43312</v>
      </c>
      <c r="J32" s="54">
        <f t="shared" si="1"/>
        <v>43325</v>
      </c>
      <c r="K32" s="51" t="str">
        <f t="shared" si="2"/>
        <v>14:00</v>
      </c>
      <c r="L32" s="51">
        <f t="shared" si="3"/>
        <v>0.75</v>
      </c>
      <c r="M32" s="51" t="str">
        <f t="shared" si="4"/>
        <v>Tarde</v>
      </c>
      <c r="N32" s="51" t="str">
        <f t="shared" si="5"/>
        <v>Julho</v>
      </c>
      <c r="O32" s="51" t="str">
        <f t="shared" si="6"/>
        <v>2018</v>
      </c>
      <c r="P32" s="49" t="s">
        <v>23</v>
      </c>
      <c r="Q32" s="49" t="s">
        <v>190</v>
      </c>
      <c r="R32" s="49" t="str">
        <f>INDEX(Tab_Instrutores[Estado],MATCH(Treinamentos[[#This Row],[Instrutor]],Tab_Instrutores[Instrutor],0))</f>
        <v>RJ</v>
      </c>
      <c r="S32" s="49" t="s">
        <v>188</v>
      </c>
      <c r="T32" s="49">
        <v>9</v>
      </c>
      <c r="U32" s="63">
        <v>48</v>
      </c>
      <c r="V32" s="63">
        <f>+Treinamentos[[#This Row],[Alunos]]*Treinamentos[[#This Row],[Valor]]</f>
        <v>432</v>
      </c>
      <c r="W32" s="49"/>
    </row>
    <row r="33" spans="1:23" x14ac:dyDescent="0.25">
      <c r="A33" s="53">
        <v>5359</v>
      </c>
      <c r="B33" s="49" t="s">
        <v>22</v>
      </c>
      <c r="C33" s="49" t="str">
        <f>INDEX(Tab_Vendedores[Gestor],MATCH(Treinamentos[[#This Row],[Vendedor]],Tab_Vendedores[Nome],0))</f>
        <v>Janny Costa</v>
      </c>
      <c r="D33" s="49" t="s">
        <v>81</v>
      </c>
      <c r="E33" s="49" t="str">
        <f>LEFT(Treinamentos[[#This Row],[Treinamento]],SEARCH(" ",Treinamentos[[#This Row],[Treinamento]])-1)</f>
        <v>Excel</v>
      </c>
      <c r="F33" s="49">
        <f>VALUE(RIGHT(Treinamentos[[#This Row],[Treinamento]],4))</f>
        <v>2016</v>
      </c>
      <c r="G33" s="50">
        <v>43313.375</v>
      </c>
      <c r="H33" s="50">
        <v>43319.75</v>
      </c>
      <c r="I33" s="54">
        <f t="shared" si="0"/>
        <v>43313</v>
      </c>
      <c r="J33" s="54">
        <f t="shared" si="1"/>
        <v>43319</v>
      </c>
      <c r="K33" s="51" t="str">
        <f t="shared" si="2"/>
        <v>09:00</v>
      </c>
      <c r="L33" s="51">
        <f t="shared" si="3"/>
        <v>0.75</v>
      </c>
      <c r="M33" s="51" t="str">
        <f t="shared" si="4"/>
        <v>Integral</v>
      </c>
      <c r="N33" s="51" t="str">
        <f t="shared" si="5"/>
        <v>Agosto</v>
      </c>
      <c r="O33" s="51" t="str">
        <f t="shared" si="6"/>
        <v>2018</v>
      </c>
      <c r="P33" s="49" t="s">
        <v>23</v>
      </c>
      <c r="Q33" s="49" t="s">
        <v>37</v>
      </c>
      <c r="R33" s="49" t="str">
        <f>INDEX(Tab_Instrutores[Estado],MATCH(Treinamentos[[#This Row],[Instrutor]],Tab_Instrutores[Instrutor],0))</f>
        <v>SP</v>
      </c>
      <c r="S33" s="49" t="s">
        <v>191</v>
      </c>
      <c r="T33" s="49">
        <v>9</v>
      </c>
      <c r="U33" s="63">
        <v>43</v>
      </c>
      <c r="V33" s="63">
        <f>+Treinamentos[[#This Row],[Alunos]]*Treinamentos[[#This Row],[Valor]]</f>
        <v>387</v>
      </c>
      <c r="W33" s="49"/>
    </row>
    <row r="34" spans="1:23" x14ac:dyDescent="0.25">
      <c r="A34" s="53">
        <v>5360</v>
      </c>
      <c r="B34" s="49" t="s">
        <v>29</v>
      </c>
      <c r="C34" s="49" t="str">
        <f>INDEX(Tab_Vendedores[Gestor],MATCH(Treinamentos[[#This Row],[Vendedor]],Tab_Vendedores[Nome],0))</f>
        <v>Alexandra Conceição</v>
      </c>
      <c r="D34" s="49" t="s">
        <v>80</v>
      </c>
      <c r="E34" s="49" t="str">
        <f>LEFT(Treinamentos[[#This Row],[Treinamento]],SEARCH(" ",Treinamentos[[#This Row],[Treinamento]])-1)</f>
        <v>DashBoard</v>
      </c>
      <c r="F34" s="49">
        <f>VALUE(RIGHT(Treinamentos[[#This Row],[Treinamento]],4))</f>
        <v>2016</v>
      </c>
      <c r="G34" s="50">
        <v>43314.333333333336</v>
      </c>
      <c r="H34" s="50">
        <v>43327.5</v>
      </c>
      <c r="I34" s="54">
        <f t="shared" ref="I34:I65" si="7">DATE(YEAR(G34),MONTH(G34),DAY(G34))</f>
        <v>43314</v>
      </c>
      <c r="J34" s="54">
        <f t="shared" ref="J34:J65" si="8">DATE(YEAR(H34),MONTH(H34),DAY(H34))</f>
        <v>43327</v>
      </c>
      <c r="K34" s="51" t="str">
        <f t="shared" ref="K34:K65" si="9">TEXT(G34,"HH:MM")</f>
        <v>08:00</v>
      </c>
      <c r="L34" s="51">
        <f t="shared" ref="L34:L65" si="10">VALUE(TEXT(H34,"HH:mm"))</f>
        <v>0.5</v>
      </c>
      <c r="M34" s="51" t="str">
        <f t="shared" ref="M34:M65" si="11">IF(K34="08:00","Manhã",
IF(K34="09:00","Integral",
IF(K34="14:00","Tarde",
IF(K34="19:00","Noite",
"Personalizado"))))</f>
        <v>Manhã</v>
      </c>
      <c r="N34" s="51" t="str">
        <f t="shared" si="5"/>
        <v>Agosto</v>
      </c>
      <c r="O34" s="51" t="str">
        <f t="shared" ref="O34:O65" si="12">TEXT(G34,"aaaa")</f>
        <v>2018</v>
      </c>
      <c r="P34" s="49" t="s">
        <v>23</v>
      </c>
      <c r="Q34" s="49" t="s">
        <v>22</v>
      </c>
      <c r="R34" s="49" t="str">
        <f>INDEX(Tab_Instrutores[Estado],MATCH(Treinamentos[[#This Row],[Instrutor]],Tab_Instrutores[Instrutor],0))</f>
        <v>RJ</v>
      </c>
      <c r="S34" s="49" t="s">
        <v>188</v>
      </c>
      <c r="T34" s="49">
        <v>8</v>
      </c>
      <c r="U34" s="63">
        <v>32</v>
      </c>
      <c r="V34" s="63">
        <f>+Treinamentos[[#This Row],[Alunos]]*Treinamentos[[#This Row],[Valor]]</f>
        <v>256</v>
      </c>
      <c r="W34" s="49"/>
    </row>
    <row r="35" spans="1:23" x14ac:dyDescent="0.25">
      <c r="A35" s="53">
        <v>5361</v>
      </c>
      <c r="B35" s="49" t="s">
        <v>7</v>
      </c>
      <c r="C35" s="49" t="str">
        <f>INDEX(Tab_Vendedores[Gestor],MATCH(Treinamentos[[#This Row],[Vendedor]],Tab_Vendedores[Nome],0))</f>
        <v>Marcelo Leal</v>
      </c>
      <c r="D35" s="49" t="s">
        <v>84</v>
      </c>
      <c r="E35" s="49" t="str">
        <f>LEFT(Treinamentos[[#This Row],[Treinamento]],SEARCH(" ",Treinamentos[[#This Row],[Treinamento]])-1)</f>
        <v>Excel</v>
      </c>
      <c r="F35" s="49">
        <f>VALUE(RIGHT(Treinamentos[[#This Row],[Treinamento]],4))</f>
        <v>2016</v>
      </c>
      <c r="G35" s="50">
        <v>43315.375</v>
      </c>
      <c r="H35" s="50">
        <v>43320.75</v>
      </c>
      <c r="I35" s="54">
        <f t="shared" si="7"/>
        <v>43315</v>
      </c>
      <c r="J35" s="54">
        <f t="shared" si="8"/>
        <v>43320</v>
      </c>
      <c r="K35" s="51" t="str">
        <f t="shared" si="9"/>
        <v>09:00</v>
      </c>
      <c r="L35" s="51">
        <f t="shared" si="10"/>
        <v>0.75</v>
      </c>
      <c r="M35" s="51" t="str">
        <f t="shared" si="11"/>
        <v>Integral</v>
      </c>
      <c r="N35" s="51" t="str">
        <f t="shared" si="5"/>
        <v>Agosto</v>
      </c>
      <c r="O35" s="51" t="str">
        <f t="shared" si="12"/>
        <v>2018</v>
      </c>
      <c r="P35" s="49" t="s">
        <v>23</v>
      </c>
      <c r="Q35" s="49" t="s">
        <v>41</v>
      </c>
      <c r="R35" s="49" t="str">
        <f>INDEX(Tab_Instrutores[Estado],MATCH(Treinamentos[[#This Row],[Instrutor]],Tab_Instrutores[Instrutor],0))</f>
        <v>SP</v>
      </c>
      <c r="S35" s="49" t="s">
        <v>188</v>
      </c>
      <c r="T35" s="49">
        <v>11</v>
      </c>
      <c r="U35" s="63">
        <v>52</v>
      </c>
      <c r="V35" s="63">
        <f>+Treinamentos[[#This Row],[Alunos]]*Treinamentos[[#This Row],[Valor]]</f>
        <v>572</v>
      </c>
      <c r="W35" s="49"/>
    </row>
    <row r="36" spans="1:23" x14ac:dyDescent="0.25">
      <c r="A36" s="53">
        <v>5362</v>
      </c>
      <c r="B36" s="49" t="s">
        <v>19</v>
      </c>
      <c r="C36" s="49" t="str">
        <f>INDEX(Tab_Vendedores[Gestor],MATCH(Treinamentos[[#This Row],[Vendedor]],Tab_Vendedores[Nome],0))</f>
        <v>Janny Costa</v>
      </c>
      <c r="D36" s="49" t="s">
        <v>80</v>
      </c>
      <c r="E36" s="49" t="str">
        <f>LEFT(Treinamentos[[#This Row],[Treinamento]],SEARCH(" ",Treinamentos[[#This Row],[Treinamento]])-1)</f>
        <v>DashBoard</v>
      </c>
      <c r="F36" s="49">
        <f>VALUE(RIGHT(Treinamentos[[#This Row],[Treinamento]],4))</f>
        <v>2016</v>
      </c>
      <c r="G36" s="50">
        <v>43317.791666666664</v>
      </c>
      <c r="H36" s="50">
        <v>43328.958333333336</v>
      </c>
      <c r="I36" s="54">
        <f t="shared" si="7"/>
        <v>43317</v>
      </c>
      <c r="J36" s="54">
        <f t="shared" si="8"/>
        <v>43328</v>
      </c>
      <c r="K36" s="51" t="str">
        <f t="shared" si="9"/>
        <v>19:00</v>
      </c>
      <c r="L36" s="51">
        <f t="shared" si="10"/>
        <v>0.95833333333333337</v>
      </c>
      <c r="M36" s="51" t="str">
        <f t="shared" si="11"/>
        <v>Noite</v>
      </c>
      <c r="N36" s="51" t="str">
        <f t="shared" si="5"/>
        <v>Agosto</v>
      </c>
      <c r="O36" s="51" t="str">
        <f t="shared" si="12"/>
        <v>2018</v>
      </c>
      <c r="P36" s="49" t="s">
        <v>9</v>
      </c>
      <c r="Q36" s="49" t="s">
        <v>26</v>
      </c>
      <c r="R36" s="49" t="str">
        <f>INDEX(Tab_Instrutores[Estado],MATCH(Treinamentos[[#This Row],[Instrutor]],Tab_Instrutores[Instrutor],0))</f>
        <v>SP</v>
      </c>
      <c r="S36" s="49" t="s">
        <v>187</v>
      </c>
      <c r="T36" s="49">
        <v>12</v>
      </c>
      <c r="U36" s="63">
        <v>32</v>
      </c>
      <c r="V36" s="63">
        <f>+Treinamentos[[#This Row],[Alunos]]*Treinamentos[[#This Row],[Valor]]</f>
        <v>384</v>
      </c>
      <c r="W36" s="49"/>
    </row>
    <row r="37" spans="1:23" x14ac:dyDescent="0.25">
      <c r="A37" s="53">
        <v>5363</v>
      </c>
      <c r="B37" s="49" t="s">
        <v>45</v>
      </c>
      <c r="C37" s="49" t="str">
        <f>INDEX(Tab_Vendedores[Gestor],MATCH(Treinamentos[[#This Row],[Vendedor]],Tab_Vendedores[Nome],0))</f>
        <v>Alexandra Conceição</v>
      </c>
      <c r="D37" s="49" t="s">
        <v>77</v>
      </c>
      <c r="E37" s="49" t="str">
        <f>LEFT(Treinamentos[[#This Row],[Treinamento]],SEARCH(" ",Treinamentos[[#This Row],[Treinamento]])-1)</f>
        <v>Excel</v>
      </c>
      <c r="F37" s="49">
        <f>VALUE(RIGHT(Treinamentos[[#This Row],[Treinamento]],4))</f>
        <v>2016</v>
      </c>
      <c r="G37" s="50">
        <v>43317.791666666664</v>
      </c>
      <c r="H37" s="50">
        <v>43328.958333333336</v>
      </c>
      <c r="I37" s="54">
        <f t="shared" si="7"/>
        <v>43317</v>
      </c>
      <c r="J37" s="54">
        <f t="shared" si="8"/>
        <v>43328</v>
      </c>
      <c r="K37" s="51" t="str">
        <f t="shared" si="9"/>
        <v>19:00</v>
      </c>
      <c r="L37" s="51">
        <f t="shared" si="10"/>
        <v>0.95833333333333337</v>
      </c>
      <c r="M37" s="51" t="str">
        <f t="shared" si="11"/>
        <v>Noite</v>
      </c>
      <c r="N37" s="51" t="str">
        <f t="shared" si="5"/>
        <v>Agosto</v>
      </c>
      <c r="O37" s="51" t="str">
        <f t="shared" si="12"/>
        <v>2018</v>
      </c>
      <c r="P37" s="49" t="s">
        <v>9</v>
      </c>
      <c r="Q37" s="49" t="s">
        <v>16</v>
      </c>
      <c r="R37" s="49" t="str">
        <f>INDEX(Tab_Instrutores[Estado],MATCH(Treinamentos[[#This Row],[Instrutor]],Tab_Instrutores[Instrutor],0))</f>
        <v>RJ</v>
      </c>
      <c r="S37" s="49" t="s">
        <v>186</v>
      </c>
      <c r="T37" s="49">
        <v>12</v>
      </c>
      <c r="U37" s="63">
        <v>35</v>
      </c>
      <c r="V37" s="63">
        <f>+Treinamentos[[#This Row],[Alunos]]*Treinamentos[[#This Row],[Valor]]</f>
        <v>420</v>
      </c>
      <c r="W37" s="49"/>
    </row>
    <row r="38" spans="1:23" x14ac:dyDescent="0.25">
      <c r="A38" s="53">
        <v>5364</v>
      </c>
      <c r="B38" s="49" t="s">
        <v>19</v>
      </c>
      <c r="C38" s="49" t="str">
        <f>INDEX(Tab_Vendedores[Gestor],MATCH(Treinamentos[[#This Row],[Vendedor]],Tab_Vendedores[Nome],0))</f>
        <v>Janny Costa</v>
      </c>
      <c r="D38" s="49" t="s">
        <v>80</v>
      </c>
      <c r="E38" s="49" t="str">
        <f>LEFT(Treinamentos[[#This Row],[Treinamento]],SEARCH(" ",Treinamentos[[#This Row],[Treinamento]])-1)</f>
        <v>DashBoard</v>
      </c>
      <c r="F38" s="49">
        <f>VALUE(RIGHT(Treinamentos[[#This Row],[Treinamento]],4))</f>
        <v>2016</v>
      </c>
      <c r="G38" s="50">
        <v>43318.791666666664</v>
      </c>
      <c r="H38" s="50">
        <v>43331.958333333336</v>
      </c>
      <c r="I38" s="54">
        <f t="shared" si="7"/>
        <v>43318</v>
      </c>
      <c r="J38" s="54">
        <f t="shared" si="8"/>
        <v>43331</v>
      </c>
      <c r="K38" s="51" t="str">
        <f t="shared" si="9"/>
        <v>19:00</v>
      </c>
      <c r="L38" s="51">
        <f t="shared" si="10"/>
        <v>0.95833333333333337</v>
      </c>
      <c r="M38" s="51" t="str">
        <f t="shared" si="11"/>
        <v>Noite</v>
      </c>
      <c r="N38" s="51" t="str">
        <f t="shared" si="5"/>
        <v>Agosto</v>
      </c>
      <c r="O38" s="51" t="str">
        <f t="shared" si="12"/>
        <v>2018</v>
      </c>
      <c r="P38" s="49" t="s">
        <v>23</v>
      </c>
      <c r="Q38" s="49" t="s">
        <v>26</v>
      </c>
      <c r="R38" s="49" t="str">
        <f>INDEX(Tab_Instrutores[Estado],MATCH(Treinamentos[[#This Row],[Instrutor]],Tab_Instrutores[Instrutor],0))</f>
        <v>SP</v>
      </c>
      <c r="S38" s="49" t="s">
        <v>186</v>
      </c>
      <c r="T38" s="49">
        <v>12</v>
      </c>
      <c r="U38" s="63">
        <v>32</v>
      </c>
      <c r="V38" s="63">
        <f>+Treinamentos[[#This Row],[Alunos]]*Treinamentos[[#This Row],[Valor]]</f>
        <v>384</v>
      </c>
      <c r="W38" s="49"/>
    </row>
    <row r="39" spans="1:23" x14ac:dyDescent="0.25">
      <c r="A39" s="53">
        <v>5365</v>
      </c>
      <c r="B39" s="49" t="s">
        <v>7</v>
      </c>
      <c r="C39" s="49" t="str">
        <f>INDEX(Tab_Vendedores[Gestor],MATCH(Treinamentos[[#This Row],[Vendedor]],Tab_Vendedores[Nome],0))</f>
        <v>Marcelo Leal</v>
      </c>
      <c r="D39" s="49" t="s">
        <v>89</v>
      </c>
      <c r="E39" s="49" t="str">
        <f>LEFT(Treinamentos[[#This Row],[Treinamento]],SEARCH(" ",Treinamentos[[#This Row],[Treinamento]])-1)</f>
        <v>PowerPoint</v>
      </c>
      <c r="F39" s="49">
        <f>VALUE(RIGHT(Treinamentos[[#This Row],[Treinamento]],4))</f>
        <v>2016</v>
      </c>
      <c r="G39" s="50">
        <v>43319.583333333336</v>
      </c>
      <c r="H39" s="50">
        <v>43332.75</v>
      </c>
      <c r="I39" s="54">
        <f t="shared" si="7"/>
        <v>43319</v>
      </c>
      <c r="J39" s="54">
        <f t="shared" si="8"/>
        <v>43332</v>
      </c>
      <c r="K39" s="51" t="str">
        <f t="shared" si="9"/>
        <v>14:00</v>
      </c>
      <c r="L39" s="51">
        <f t="shared" si="10"/>
        <v>0.75</v>
      </c>
      <c r="M39" s="51" t="str">
        <f t="shared" si="11"/>
        <v>Tarde</v>
      </c>
      <c r="N39" s="51" t="str">
        <f t="shared" si="5"/>
        <v>Agosto</v>
      </c>
      <c r="O39" s="51" t="str">
        <f t="shared" si="12"/>
        <v>2018</v>
      </c>
      <c r="P39" s="49" t="s">
        <v>23</v>
      </c>
      <c r="Q39" s="49" t="s">
        <v>16</v>
      </c>
      <c r="R39" s="49" t="str">
        <f>INDEX(Tab_Instrutores[Estado],MATCH(Treinamentos[[#This Row],[Instrutor]],Tab_Instrutores[Instrutor],0))</f>
        <v>RJ</v>
      </c>
      <c r="S39" s="49" t="s">
        <v>189</v>
      </c>
      <c r="T39" s="49">
        <v>8</v>
      </c>
      <c r="U39" s="63">
        <v>62</v>
      </c>
      <c r="V39" s="63">
        <f>+Treinamentos[[#This Row],[Alunos]]*Treinamentos[[#This Row],[Valor]]</f>
        <v>496</v>
      </c>
      <c r="W39" s="49"/>
    </row>
    <row r="40" spans="1:23" x14ac:dyDescent="0.25">
      <c r="A40" s="53">
        <v>5366</v>
      </c>
      <c r="B40" s="49" t="s">
        <v>17</v>
      </c>
      <c r="C40" s="49" t="str">
        <f>INDEX(Tab_Vendedores[Gestor],MATCH(Treinamentos[[#This Row],[Vendedor]],Tab_Vendedores[Nome],0))</f>
        <v>Janny Costa</v>
      </c>
      <c r="D40" s="49" t="s">
        <v>81</v>
      </c>
      <c r="E40" s="49" t="str">
        <f>LEFT(Treinamentos[[#This Row],[Treinamento]],SEARCH(" ",Treinamentos[[#This Row],[Treinamento]])-1)</f>
        <v>Excel</v>
      </c>
      <c r="F40" s="49">
        <f>VALUE(RIGHT(Treinamentos[[#This Row],[Treinamento]],4))</f>
        <v>2016</v>
      </c>
      <c r="G40" s="50">
        <v>43320.375</v>
      </c>
      <c r="H40" s="50">
        <v>43326.75</v>
      </c>
      <c r="I40" s="54">
        <f t="shared" si="7"/>
        <v>43320</v>
      </c>
      <c r="J40" s="54">
        <f t="shared" si="8"/>
        <v>43326</v>
      </c>
      <c r="K40" s="51" t="str">
        <f t="shared" si="9"/>
        <v>09:00</v>
      </c>
      <c r="L40" s="51">
        <f t="shared" si="10"/>
        <v>0.75</v>
      </c>
      <c r="M40" s="51" t="str">
        <f t="shared" si="11"/>
        <v>Integral</v>
      </c>
      <c r="N40" s="51" t="str">
        <f t="shared" si="5"/>
        <v>Agosto</v>
      </c>
      <c r="O40" s="51" t="str">
        <f t="shared" si="12"/>
        <v>2018</v>
      </c>
      <c r="P40" s="49" t="s">
        <v>23</v>
      </c>
      <c r="Q40" s="49" t="s">
        <v>33</v>
      </c>
      <c r="R40" s="49" t="str">
        <f>INDEX(Tab_Instrutores[Estado],MATCH(Treinamentos[[#This Row],[Instrutor]],Tab_Instrutores[Instrutor],0))</f>
        <v>SP</v>
      </c>
      <c r="S40" s="49" t="s">
        <v>188</v>
      </c>
      <c r="T40" s="49">
        <v>9</v>
      </c>
      <c r="U40" s="63">
        <v>43</v>
      </c>
      <c r="V40" s="63">
        <f>+Treinamentos[[#This Row],[Alunos]]*Treinamentos[[#This Row],[Valor]]</f>
        <v>387</v>
      </c>
      <c r="W40" s="49"/>
    </row>
    <row r="41" spans="1:23" x14ac:dyDescent="0.25">
      <c r="A41" s="53">
        <v>5367</v>
      </c>
      <c r="B41" s="49" t="s">
        <v>22</v>
      </c>
      <c r="C41" s="49" t="str">
        <f>INDEX(Tab_Vendedores[Gestor],MATCH(Treinamentos[[#This Row],[Vendedor]],Tab_Vendedores[Nome],0))</f>
        <v>Janny Costa</v>
      </c>
      <c r="D41" s="49" t="s">
        <v>88</v>
      </c>
      <c r="E41" s="49" t="str">
        <f>LEFT(Treinamentos[[#This Row],[Treinamento]],SEARCH(" ",Treinamentos[[#This Row],[Treinamento]])-1)</f>
        <v>Outlook</v>
      </c>
      <c r="F41" s="49">
        <f>VALUE(RIGHT(Treinamentos[[#This Row],[Treinamento]],4))</f>
        <v>2016</v>
      </c>
      <c r="G41" s="50">
        <v>43321.333333333336</v>
      </c>
      <c r="H41" s="50">
        <v>43334.5</v>
      </c>
      <c r="I41" s="54">
        <f t="shared" si="7"/>
        <v>43321</v>
      </c>
      <c r="J41" s="54">
        <f t="shared" si="8"/>
        <v>43334</v>
      </c>
      <c r="K41" s="51" t="str">
        <f t="shared" si="9"/>
        <v>08:00</v>
      </c>
      <c r="L41" s="51">
        <f t="shared" si="10"/>
        <v>0.5</v>
      </c>
      <c r="M41" s="51" t="str">
        <f t="shared" si="11"/>
        <v>Manhã</v>
      </c>
      <c r="N41" s="51" t="str">
        <f t="shared" si="5"/>
        <v>Agosto</v>
      </c>
      <c r="O41" s="51" t="str">
        <f t="shared" si="12"/>
        <v>2018</v>
      </c>
      <c r="P41" s="49" t="s">
        <v>9</v>
      </c>
      <c r="Q41" s="49" t="s">
        <v>190</v>
      </c>
      <c r="R41" s="49" t="str">
        <f>INDEX(Tab_Instrutores[Estado],MATCH(Treinamentos[[#This Row],[Instrutor]],Tab_Instrutores[Instrutor],0))</f>
        <v>RJ</v>
      </c>
      <c r="S41" s="49" t="s">
        <v>186</v>
      </c>
      <c r="T41" s="49">
        <v>8</v>
      </c>
      <c r="U41" s="63">
        <v>42</v>
      </c>
      <c r="V41" s="63">
        <f>+Treinamentos[[#This Row],[Alunos]]*Treinamentos[[#This Row],[Valor]]</f>
        <v>336</v>
      </c>
      <c r="W41" s="49"/>
    </row>
    <row r="42" spans="1:23" x14ac:dyDescent="0.25">
      <c r="A42" s="53">
        <v>5368</v>
      </c>
      <c r="B42" s="49" t="s">
        <v>29</v>
      </c>
      <c r="C42" s="49" t="str">
        <f>INDEX(Tab_Vendedores[Gestor],MATCH(Treinamentos[[#This Row],[Vendedor]],Tab_Vendedores[Nome],0))</f>
        <v>Alexandra Conceição</v>
      </c>
      <c r="D42" s="49" t="s">
        <v>85</v>
      </c>
      <c r="E42" s="49" t="str">
        <f>LEFT(Treinamentos[[#This Row],[Treinamento]],SEARCH(" ",Treinamentos[[#This Row],[Treinamento]])-1)</f>
        <v>Outlook</v>
      </c>
      <c r="F42" s="49">
        <f>VALUE(RIGHT(Treinamentos[[#This Row],[Treinamento]],4))</f>
        <v>2016</v>
      </c>
      <c r="G42" s="50">
        <v>43322.375</v>
      </c>
      <c r="H42" s="50">
        <v>43327.75</v>
      </c>
      <c r="I42" s="54">
        <f t="shared" si="7"/>
        <v>43322</v>
      </c>
      <c r="J42" s="54">
        <f t="shared" si="8"/>
        <v>43327</v>
      </c>
      <c r="K42" s="51" t="str">
        <f t="shared" si="9"/>
        <v>09:00</v>
      </c>
      <c r="L42" s="51">
        <f t="shared" si="10"/>
        <v>0.75</v>
      </c>
      <c r="M42" s="51" t="str">
        <f t="shared" si="11"/>
        <v>Integral</v>
      </c>
      <c r="N42" s="51" t="str">
        <f t="shared" si="5"/>
        <v>Agosto</v>
      </c>
      <c r="O42" s="51" t="str">
        <f t="shared" si="12"/>
        <v>2018</v>
      </c>
      <c r="P42" s="49" t="s">
        <v>9</v>
      </c>
      <c r="Q42" s="49" t="s">
        <v>33</v>
      </c>
      <c r="R42" s="49" t="str">
        <f>INDEX(Tab_Instrutores[Estado],MATCH(Treinamentos[[#This Row],[Instrutor]],Tab_Instrutores[Instrutor],0))</f>
        <v>SP</v>
      </c>
      <c r="S42" s="49" t="s">
        <v>187</v>
      </c>
      <c r="T42" s="49">
        <v>9</v>
      </c>
      <c r="U42" s="63">
        <v>48</v>
      </c>
      <c r="V42" s="63">
        <f>+Treinamentos[[#This Row],[Alunos]]*Treinamentos[[#This Row],[Valor]]</f>
        <v>432</v>
      </c>
      <c r="W42" s="49"/>
    </row>
    <row r="43" spans="1:23" x14ac:dyDescent="0.25">
      <c r="A43" s="53">
        <v>5369</v>
      </c>
      <c r="B43" s="49" t="s">
        <v>11</v>
      </c>
      <c r="C43" s="49" t="str">
        <f>INDEX(Tab_Vendedores[Gestor],MATCH(Treinamentos[[#This Row],[Vendedor]],Tab_Vendedores[Nome],0))</f>
        <v>Marcelo Leal</v>
      </c>
      <c r="D43" s="49" t="s">
        <v>88</v>
      </c>
      <c r="E43" s="49" t="str">
        <f>LEFT(Treinamentos[[#This Row],[Treinamento]],SEARCH(" ",Treinamentos[[#This Row],[Treinamento]])-1)</f>
        <v>Outlook</v>
      </c>
      <c r="F43" s="49">
        <f>VALUE(RIGHT(Treinamentos[[#This Row],[Treinamento]],4))</f>
        <v>2016</v>
      </c>
      <c r="G43" s="50">
        <v>43324.791666666664</v>
      </c>
      <c r="H43" s="50">
        <v>43335.958333333336</v>
      </c>
      <c r="I43" s="54">
        <f t="shared" si="7"/>
        <v>43324</v>
      </c>
      <c r="J43" s="54">
        <f t="shared" si="8"/>
        <v>43335</v>
      </c>
      <c r="K43" s="51" t="str">
        <f t="shared" si="9"/>
        <v>19:00</v>
      </c>
      <c r="L43" s="51">
        <f t="shared" si="10"/>
        <v>0.95833333333333337</v>
      </c>
      <c r="M43" s="51" t="str">
        <f t="shared" si="11"/>
        <v>Noite</v>
      </c>
      <c r="N43" s="51" t="str">
        <f t="shared" si="5"/>
        <v>Agosto</v>
      </c>
      <c r="O43" s="51" t="str">
        <f t="shared" si="12"/>
        <v>2018</v>
      </c>
      <c r="P43" s="49" t="s">
        <v>9</v>
      </c>
      <c r="Q43" s="49" t="s">
        <v>16</v>
      </c>
      <c r="R43" s="49" t="str">
        <f>INDEX(Tab_Instrutores[Estado],MATCH(Treinamentos[[#This Row],[Instrutor]],Tab_Instrutores[Instrutor],0))</f>
        <v>RJ</v>
      </c>
      <c r="S43" s="49" t="s">
        <v>188</v>
      </c>
      <c r="T43" s="49">
        <v>11</v>
      </c>
      <c r="U43" s="63">
        <v>42</v>
      </c>
      <c r="V43" s="63">
        <f>+Treinamentos[[#This Row],[Alunos]]*Treinamentos[[#This Row],[Valor]]</f>
        <v>462</v>
      </c>
      <c r="W43" s="49"/>
    </row>
    <row r="44" spans="1:23" x14ac:dyDescent="0.25">
      <c r="A44" s="53">
        <v>5370</v>
      </c>
      <c r="B44" s="49" t="s">
        <v>29</v>
      </c>
      <c r="C44" s="49" t="str">
        <f>INDEX(Tab_Vendedores[Gestor],MATCH(Treinamentos[[#This Row],[Vendedor]],Tab_Vendedores[Nome],0))</f>
        <v>Alexandra Conceição</v>
      </c>
      <c r="D44" s="49" t="s">
        <v>77</v>
      </c>
      <c r="E44" s="49" t="str">
        <f>LEFT(Treinamentos[[#This Row],[Treinamento]],SEARCH(" ",Treinamentos[[#This Row],[Treinamento]])-1)</f>
        <v>Excel</v>
      </c>
      <c r="F44" s="49">
        <f>VALUE(RIGHT(Treinamentos[[#This Row],[Treinamento]],4))</f>
        <v>2016</v>
      </c>
      <c r="G44" s="50">
        <v>43324.791666666664</v>
      </c>
      <c r="H44" s="50">
        <v>43335.958333333336</v>
      </c>
      <c r="I44" s="54">
        <f t="shared" si="7"/>
        <v>43324</v>
      </c>
      <c r="J44" s="54">
        <f t="shared" si="8"/>
        <v>43335</v>
      </c>
      <c r="K44" s="51" t="str">
        <f t="shared" si="9"/>
        <v>19:00</v>
      </c>
      <c r="L44" s="51">
        <f t="shared" si="10"/>
        <v>0.95833333333333337</v>
      </c>
      <c r="M44" s="51" t="str">
        <f t="shared" si="11"/>
        <v>Noite</v>
      </c>
      <c r="N44" s="51" t="str">
        <f t="shared" si="5"/>
        <v>Agosto</v>
      </c>
      <c r="O44" s="51" t="str">
        <f t="shared" si="12"/>
        <v>2018</v>
      </c>
      <c r="P44" s="49" t="s">
        <v>9</v>
      </c>
      <c r="Q44" s="49" t="s">
        <v>28</v>
      </c>
      <c r="R44" s="49" t="str">
        <f>INDEX(Tab_Instrutores[Estado],MATCH(Treinamentos[[#This Row],[Instrutor]],Tab_Instrutores[Instrutor],0))</f>
        <v>RJ</v>
      </c>
      <c r="S44" s="49" t="s">
        <v>188</v>
      </c>
      <c r="T44" s="49">
        <v>11</v>
      </c>
      <c r="U44" s="63">
        <v>35</v>
      </c>
      <c r="V44" s="63">
        <f>+Treinamentos[[#This Row],[Alunos]]*Treinamentos[[#This Row],[Valor]]</f>
        <v>385</v>
      </c>
      <c r="W44" s="49"/>
    </row>
    <row r="45" spans="1:23" x14ac:dyDescent="0.25">
      <c r="A45" s="53">
        <v>5371</v>
      </c>
      <c r="B45" s="49" t="s">
        <v>39</v>
      </c>
      <c r="C45" s="49" t="str">
        <f>INDEX(Tab_Vendedores[Gestor],MATCH(Treinamentos[[#This Row],[Vendedor]],Tab_Vendedores[Nome],0))</f>
        <v>Alexandra Conceição</v>
      </c>
      <c r="D45" s="49" t="s">
        <v>76</v>
      </c>
      <c r="E45" s="49" t="str">
        <f>LEFT(Treinamentos[[#This Row],[Treinamento]],SEARCH(" ",Treinamentos[[#This Row],[Treinamento]])-1)</f>
        <v>Access</v>
      </c>
      <c r="F45" s="49">
        <f>VALUE(RIGHT(Treinamentos[[#This Row],[Treinamento]],4))</f>
        <v>2016</v>
      </c>
      <c r="G45" s="50">
        <v>43325.791666666664</v>
      </c>
      <c r="H45" s="50">
        <v>43338.958333333336</v>
      </c>
      <c r="I45" s="54">
        <f t="shared" si="7"/>
        <v>43325</v>
      </c>
      <c r="J45" s="54">
        <f t="shared" si="8"/>
        <v>43338</v>
      </c>
      <c r="K45" s="51" t="str">
        <f t="shared" si="9"/>
        <v>19:00</v>
      </c>
      <c r="L45" s="51">
        <f t="shared" si="10"/>
        <v>0.95833333333333337</v>
      </c>
      <c r="M45" s="51" t="str">
        <f t="shared" si="11"/>
        <v>Noite</v>
      </c>
      <c r="N45" s="51" t="str">
        <f t="shared" si="5"/>
        <v>Agosto</v>
      </c>
      <c r="O45" s="51" t="str">
        <f t="shared" si="12"/>
        <v>2018</v>
      </c>
      <c r="P45" s="49" t="s">
        <v>9</v>
      </c>
      <c r="Q45" s="49" t="s">
        <v>31</v>
      </c>
      <c r="R45" s="49" t="str">
        <f>INDEX(Tab_Instrutores[Estado],MATCH(Treinamentos[[#This Row],[Instrutor]],Tab_Instrutores[Instrutor],0))</f>
        <v>SP</v>
      </c>
      <c r="S45" s="49" t="s">
        <v>187</v>
      </c>
      <c r="T45" s="49">
        <v>8</v>
      </c>
      <c r="U45" s="63">
        <v>53</v>
      </c>
      <c r="V45" s="63">
        <f>+Treinamentos[[#This Row],[Alunos]]*Treinamentos[[#This Row],[Valor]]</f>
        <v>424</v>
      </c>
      <c r="W45" s="49"/>
    </row>
    <row r="46" spans="1:23" x14ac:dyDescent="0.25">
      <c r="A46" s="53">
        <v>5372</v>
      </c>
      <c r="B46" s="49" t="s">
        <v>17</v>
      </c>
      <c r="C46" s="49" t="str">
        <f>INDEX(Tab_Vendedores[Gestor],MATCH(Treinamentos[[#This Row],[Vendedor]],Tab_Vendedores[Nome],0))</f>
        <v>Janny Costa</v>
      </c>
      <c r="D46" s="49" t="s">
        <v>79</v>
      </c>
      <c r="E46" s="49" t="str">
        <f>LEFT(Treinamentos[[#This Row],[Treinamento]],SEARCH(" ",Treinamentos[[#This Row],[Treinamento]])-1)</f>
        <v>Word</v>
      </c>
      <c r="F46" s="49">
        <f>VALUE(RIGHT(Treinamentos[[#This Row],[Treinamento]],4))</f>
        <v>2016</v>
      </c>
      <c r="G46" s="50">
        <v>43326.583333333336</v>
      </c>
      <c r="H46" s="50">
        <v>43339.75</v>
      </c>
      <c r="I46" s="54">
        <f t="shared" si="7"/>
        <v>43326</v>
      </c>
      <c r="J46" s="54">
        <f t="shared" si="8"/>
        <v>43339</v>
      </c>
      <c r="K46" s="51" t="str">
        <f t="shared" si="9"/>
        <v>14:00</v>
      </c>
      <c r="L46" s="51">
        <f t="shared" si="10"/>
        <v>0.75</v>
      </c>
      <c r="M46" s="51" t="str">
        <f t="shared" si="11"/>
        <v>Tarde</v>
      </c>
      <c r="N46" s="51" t="str">
        <f t="shared" si="5"/>
        <v>Agosto</v>
      </c>
      <c r="O46" s="51" t="str">
        <f t="shared" si="12"/>
        <v>2018</v>
      </c>
      <c r="P46" s="49" t="s">
        <v>23</v>
      </c>
      <c r="Q46" s="49" t="s">
        <v>21</v>
      </c>
      <c r="R46" s="49" t="str">
        <f>INDEX(Tab_Instrutores[Estado],MATCH(Treinamentos[[#This Row],[Instrutor]],Tab_Instrutores[Instrutor],0))</f>
        <v>SP</v>
      </c>
      <c r="S46" s="49" t="s">
        <v>187</v>
      </c>
      <c r="T46" s="49">
        <v>9</v>
      </c>
      <c r="U46" s="63">
        <v>48</v>
      </c>
      <c r="V46" s="63">
        <f>+Treinamentos[[#This Row],[Alunos]]*Treinamentos[[#This Row],[Valor]]</f>
        <v>432</v>
      </c>
      <c r="W46" s="49"/>
    </row>
    <row r="47" spans="1:23" x14ac:dyDescent="0.25">
      <c r="A47" s="53">
        <v>5373</v>
      </c>
      <c r="B47" s="49" t="s">
        <v>17</v>
      </c>
      <c r="C47" s="49" t="str">
        <f>INDEX(Tab_Vendedores[Gestor],MATCH(Treinamentos[[#This Row],[Vendedor]],Tab_Vendedores[Nome],0))</f>
        <v>Janny Costa</v>
      </c>
      <c r="D47" s="49" t="s">
        <v>78</v>
      </c>
      <c r="E47" s="49" t="str">
        <f>LEFT(Treinamentos[[#This Row],[Treinamento]],SEARCH(" ",Treinamentos[[#This Row],[Treinamento]])-1)</f>
        <v>Excel</v>
      </c>
      <c r="F47" s="49">
        <f>VALUE(RIGHT(Treinamentos[[#This Row],[Treinamento]],4))</f>
        <v>2016</v>
      </c>
      <c r="G47" s="50">
        <v>43327.375</v>
      </c>
      <c r="H47" s="50">
        <v>43333.75</v>
      </c>
      <c r="I47" s="54">
        <f t="shared" si="7"/>
        <v>43327</v>
      </c>
      <c r="J47" s="54">
        <f t="shared" si="8"/>
        <v>43333</v>
      </c>
      <c r="K47" s="51" t="str">
        <f t="shared" si="9"/>
        <v>09:00</v>
      </c>
      <c r="L47" s="51">
        <f t="shared" si="10"/>
        <v>0.75</v>
      </c>
      <c r="M47" s="51" t="str">
        <f t="shared" si="11"/>
        <v>Integral</v>
      </c>
      <c r="N47" s="51" t="str">
        <f t="shared" si="5"/>
        <v>Agosto</v>
      </c>
      <c r="O47" s="51" t="str">
        <f t="shared" si="12"/>
        <v>2018</v>
      </c>
      <c r="P47" s="49" t="s">
        <v>9</v>
      </c>
      <c r="Q47" s="49" t="s">
        <v>35</v>
      </c>
      <c r="R47" s="49" t="str">
        <f>INDEX(Tab_Instrutores[Estado],MATCH(Treinamentos[[#This Row],[Instrutor]],Tab_Instrutores[Instrutor],0))</f>
        <v>RJ</v>
      </c>
      <c r="S47" s="49" t="s">
        <v>188</v>
      </c>
      <c r="T47" s="49">
        <v>10</v>
      </c>
      <c r="U47" s="63">
        <v>62</v>
      </c>
      <c r="V47" s="63">
        <f>+Treinamentos[[#This Row],[Alunos]]*Treinamentos[[#This Row],[Valor]]</f>
        <v>620</v>
      </c>
      <c r="W47" s="49"/>
    </row>
    <row r="48" spans="1:23" x14ac:dyDescent="0.25">
      <c r="A48" s="53">
        <v>5374</v>
      </c>
      <c r="B48" s="49" t="s">
        <v>14</v>
      </c>
      <c r="C48" s="49" t="str">
        <f>INDEX(Tab_Vendedores[Gestor],MATCH(Treinamentos[[#This Row],[Vendedor]],Tab_Vendedores[Nome],0))</f>
        <v>Marcelo Leal</v>
      </c>
      <c r="D48" s="49" t="s">
        <v>80</v>
      </c>
      <c r="E48" s="49" t="str">
        <f>LEFT(Treinamentos[[#This Row],[Treinamento]],SEARCH(" ",Treinamentos[[#This Row],[Treinamento]])-1)</f>
        <v>DashBoard</v>
      </c>
      <c r="F48" s="49">
        <f>VALUE(RIGHT(Treinamentos[[#This Row],[Treinamento]],4))</f>
        <v>2016</v>
      </c>
      <c r="G48" s="50">
        <v>43328.333333333336</v>
      </c>
      <c r="H48" s="50">
        <v>43341.5</v>
      </c>
      <c r="I48" s="54">
        <f t="shared" si="7"/>
        <v>43328</v>
      </c>
      <c r="J48" s="54">
        <f t="shared" si="8"/>
        <v>43341</v>
      </c>
      <c r="K48" s="51" t="str">
        <f t="shared" si="9"/>
        <v>08:00</v>
      </c>
      <c r="L48" s="51">
        <f t="shared" si="10"/>
        <v>0.5</v>
      </c>
      <c r="M48" s="51" t="str">
        <f t="shared" si="11"/>
        <v>Manhã</v>
      </c>
      <c r="N48" s="51" t="str">
        <f t="shared" si="5"/>
        <v>Agosto</v>
      </c>
      <c r="O48" s="51" t="str">
        <f t="shared" si="12"/>
        <v>2018</v>
      </c>
      <c r="P48" s="49" t="s">
        <v>23</v>
      </c>
      <c r="Q48" s="49" t="s">
        <v>35</v>
      </c>
      <c r="R48" s="49" t="str">
        <f>INDEX(Tab_Instrutores[Estado],MATCH(Treinamentos[[#This Row],[Instrutor]],Tab_Instrutores[Instrutor],0))</f>
        <v>RJ</v>
      </c>
      <c r="S48" s="49" t="s">
        <v>186</v>
      </c>
      <c r="T48" s="49">
        <v>10</v>
      </c>
      <c r="U48" s="63">
        <v>32</v>
      </c>
      <c r="V48" s="63">
        <f>+Treinamentos[[#This Row],[Alunos]]*Treinamentos[[#This Row],[Valor]]</f>
        <v>320</v>
      </c>
      <c r="W48" s="49"/>
    </row>
    <row r="49" spans="1:23" x14ac:dyDescent="0.25">
      <c r="A49" s="53">
        <v>5375</v>
      </c>
      <c r="B49" s="49" t="s">
        <v>19</v>
      </c>
      <c r="C49" s="49" t="str">
        <f>INDEX(Tab_Vendedores[Gestor],MATCH(Treinamentos[[#This Row],[Vendedor]],Tab_Vendedores[Nome],0))</f>
        <v>Janny Costa</v>
      </c>
      <c r="D49" s="49" t="s">
        <v>83</v>
      </c>
      <c r="E49" s="49" t="str">
        <f>LEFT(Treinamentos[[#This Row],[Treinamento]],SEARCH(" ",Treinamentos[[#This Row],[Treinamento]])-1)</f>
        <v>Access</v>
      </c>
      <c r="F49" s="49">
        <f>VALUE(RIGHT(Treinamentos[[#This Row],[Treinamento]],4))</f>
        <v>2016</v>
      </c>
      <c r="G49" s="50">
        <v>43329.375</v>
      </c>
      <c r="H49" s="50">
        <v>43334.75</v>
      </c>
      <c r="I49" s="54">
        <f t="shared" si="7"/>
        <v>43329</v>
      </c>
      <c r="J49" s="54">
        <f t="shared" si="8"/>
        <v>43334</v>
      </c>
      <c r="K49" s="51" t="str">
        <f t="shared" si="9"/>
        <v>09:00</v>
      </c>
      <c r="L49" s="51">
        <f t="shared" si="10"/>
        <v>0.75</v>
      </c>
      <c r="M49" s="51" t="str">
        <f t="shared" si="11"/>
        <v>Integral</v>
      </c>
      <c r="N49" s="51" t="str">
        <f t="shared" si="5"/>
        <v>Agosto</v>
      </c>
      <c r="O49" s="51" t="str">
        <f t="shared" si="12"/>
        <v>2018</v>
      </c>
      <c r="P49" s="49" t="s">
        <v>9</v>
      </c>
      <c r="Q49" s="49" t="s">
        <v>38</v>
      </c>
      <c r="R49" s="49" t="str">
        <f>INDEX(Tab_Instrutores[Estado],MATCH(Treinamentos[[#This Row],[Instrutor]],Tab_Instrutores[Instrutor],0))</f>
        <v>SP</v>
      </c>
      <c r="S49" s="49" t="s">
        <v>187</v>
      </c>
      <c r="T49" s="49">
        <v>8</v>
      </c>
      <c r="U49" s="63">
        <v>63</v>
      </c>
      <c r="V49" s="63">
        <f>+Treinamentos[[#This Row],[Alunos]]*Treinamentos[[#This Row],[Valor]]</f>
        <v>504</v>
      </c>
      <c r="W49" s="49"/>
    </row>
    <row r="50" spans="1:23" x14ac:dyDescent="0.25">
      <c r="A50" s="53">
        <v>5376</v>
      </c>
      <c r="B50" s="49" t="s">
        <v>14</v>
      </c>
      <c r="C50" s="49" t="str">
        <f>INDEX(Tab_Vendedores[Gestor],MATCH(Treinamentos[[#This Row],[Vendedor]],Tab_Vendedores[Nome],0))</f>
        <v>Marcelo Leal</v>
      </c>
      <c r="D50" s="49" t="s">
        <v>81</v>
      </c>
      <c r="E50" s="49" t="str">
        <f>LEFT(Treinamentos[[#This Row],[Treinamento]],SEARCH(" ",Treinamentos[[#This Row],[Treinamento]])-1)</f>
        <v>Excel</v>
      </c>
      <c r="F50" s="49">
        <f>VALUE(RIGHT(Treinamentos[[#This Row],[Treinamento]],4))</f>
        <v>2016</v>
      </c>
      <c r="G50" s="50">
        <v>43331.791666666664</v>
      </c>
      <c r="H50" s="50">
        <v>43342.958333333336</v>
      </c>
      <c r="I50" s="54">
        <f t="shared" si="7"/>
        <v>43331</v>
      </c>
      <c r="J50" s="54">
        <f t="shared" si="8"/>
        <v>43342</v>
      </c>
      <c r="K50" s="51" t="str">
        <f t="shared" si="9"/>
        <v>19:00</v>
      </c>
      <c r="L50" s="51">
        <f t="shared" si="10"/>
        <v>0.95833333333333337</v>
      </c>
      <c r="M50" s="51" t="str">
        <f t="shared" si="11"/>
        <v>Noite</v>
      </c>
      <c r="N50" s="51" t="str">
        <f t="shared" si="5"/>
        <v>Agosto</v>
      </c>
      <c r="O50" s="51" t="str">
        <f t="shared" si="12"/>
        <v>2018</v>
      </c>
      <c r="P50" s="49" t="s">
        <v>23</v>
      </c>
      <c r="Q50" s="49" t="s">
        <v>190</v>
      </c>
      <c r="R50" s="49" t="str">
        <f>INDEX(Tab_Instrutores[Estado],MATCH(Treinamentos[[#This Row],[Instrutor]],Tab_Instrutores[Instrutor],0))</f>
        <v>RJ</v>
      </c>
      <c r="S50" s="49" t="s">
        <v>188</v>
      </c>
      <c r="T50" s="49">
        <v>8</v>
      </c>
      <c r="U50" s="63">
        <v>43</v>
      </c>
      <c r="V50" s="63">
        <f>+Treinamentos[[#This Row],[Alunos]]*Treinamentos[[#This Row],[Valor]]</f>
        <v>344</v>
      </c>
      <c r="W50" s="49"/>
    </row>
    <row r="51" spans="1:23" x14ac:dyDescent="0.25">
      <c r="A51" s="53">
        <v>5377</v>
      </c>
      <c r="B51" s="49" t="s">
        <v>19</v>
      </c>
      <c r="C51" s="49" t="str">
        <f>INDEX(Tab_Vendedores[Gestor],MATCH(Treinamentos[[#This Row],[Vendedor]],Tab_Vendedores[Nome],0))</f>
        <v>Janny Costa</v>
      </c>
      <c r="D51" s="49" t="s">
        <v>79</v>
      </c>
      <c r="E51" s="49" t="str">
        <f>LEFT(Treinamentos[[#This Row],[Treinamento]],SEARCH(" ",Treinamentos[[#This Row],[Treinamento]])-1)</f>
        <v>Word</v>
      </c>
      <c r="F51" s="49">
        <f>VALUE(RIGHT(Treinamentos[[#This Row],[Treinamento]],4))</f>
        <v>2016</v>
      </c>
      <c r="G51" s="50">
        <v>43331.791666666664</v>
      </c>
      <c r="H51" s="50">
        <v>43342.958333333336</v>
      </c>
      <c r="I51" s="54">
        <f t="shared" si="7"/>
        <v>43331</v>
      </c>
      <c r="J51" s="54">
        <f t="shared" si="8"/>
        <v>43342</v>
      </c>
      <c r="K51" s="51" t="str">
        <f t="shared" si="9"/>
        <v>19:00</v>
      </c>
      <c r="L51" s="51">
        <f t="shared" si="10"/>
        <v>0.95833333333333337</v>
      </c>
      <c r="M51" s="51" t="str">
        <f t="shared" si="11"/>
        <v>Noite</v>
      </c>
      <c r="N51" s="51" t="str">
        <f t="shared" si="5"/>
        <v>Agosto</v>
      </c>
      <c r="O51" s="51" t="str">
        <f t="shared" si="12"/>
        <v>2018</v>
      </c>
      <c r="P51" s="49" t="s">
        <v>23</v>
      </c>
      <c r="Q51" s="49" t="s">
        <v>22</v>
      </c>
      <c r="R51" s="49" t="str">
        <f>INDEX(Tab_Instrutores[Estado],MATCH(Treinamentos[[#This Row],[Instrutor]],Tab_Instrutores[Instrutor],0))</f>
        <v>RJ</v>
      </c>
      <c r="S51" s="49" t="s">
        <v>187</v>
      </c>
      <c r="T51" s="49">
        <v>10</v>
      </c>
      <c r="U51" s="63">
        <v>48</v>
      </c>
      <c r="V51" s="63">
        <f>+Treinamentos[[#This Row],[Alunos]]*Treinamentos[[#This Row],[Valor]]</f>
        <v>480</v>
      </c>
      <c r="W51" s="49"/>
    </row>
    <row r="52" spans="1:23" x14ac:dyDescent="0.25">
      <c r="A52" s="53">
        <v>5378</v>
      </c>
      <c r="B52" s="49" t="s">
        <v>29</v>
      </c>
      <c r="C52" s="49" t="str">
        <f>INDEX(Tab_Vendedores[Gestor],MATCH(Treinamentos[[#This Row],[Vendedor]],Tab_Vendedores[Nome],0))</f>
        <v>Alexandra Conceição</v>
      </c>
      <c r="D52" s="49" t="s">
        <v>89</v>
      </c>
      <c r="E52" s="49" t="str">
        <f>LEFT(Treinamentos[[#This Row],[Treinamento]],SEARCH(" ",Treinamentos[[#This Row],[Treinamento]])-1)</f>
        <v>PowerPoint</v>
      </c>
      <c r="F52" s="49">
        <f>VALUE(RIGHT(Treinamentos[[#This Row],[Treinamento]],4))</f>
        <v>2016</v>
      </c>
      <c r="G52" s="50">
        <v>43332.791666666664</v>
      </c>
      <c r="H52" s="50">
        <v>43345.958333333336</v>
      </c>
      <c r="I52" s="54">
        <f t="shared" si="7"/>
        <v>43332</v>
      </c>
      <c r="J52" s="54">
        <f t="shared" si="8"/>
        <v>43345</v>
      </c>
      <c r="K52" s="51" t="str">
        <f t="shared" si="9"/>
        <v>19:00</v>
      </c>
      <c r="L52" s="51">
        <f t="shared" si="10"/>
        <v>0.95833333333333337</v>
      </c>
      <c r="M52" s="51" t="str">
        <f t="shared" si="11"/>
        <v>Noite</v>
      </c>
      <c r="N52" s="51" t="str">
        <f t="shared" si="5"/>
        <v>Agosto</v>
      </c>
      <c r="O52" s="51" t="str">
        <f t="shared" si="12"/>
        <v>2018</v>
      </c>
      <c r="P52" s="49" t="s">
        <v>23</v>
      </c>
      <c r="Q52" s="49" t="s">
        <v>18</v>
      </c>
      <c r="R52" s="49" t="str">
        <f>INDEX(Tab_Instrutores[Estado],MATCH(Treinamentos[[#This Row],[Instrutor]],Tab_Instrutores[Instrutor],0))</f>
        <v>SP</v>
      </c>
      <c r="S52" s="49" t="s">
        <v>189</v>
      </c>
      <c r="T52" s="49">
        <v>9</v>
      </c>
      <c r="U52" s="63">
        <v>62</v>
      </c>
      <c r="V52" s="63">
        <f>+Treinamentos[[#This Row],[Alunos]]*Treinamentos[[#This Row],[Valor]]</f>
        <v>558</v>
      </c>
      <c r="W52" s="49"/>
    </row>
    <row r="53" spans="1:23" x14ac:dyDescent="0.25">
      <c r="A53" s="53">
        <v>5379</v>
      </c>
      <c r="B53" s="49" t="s">
        <v>22</v>
      </c>
      <c r="C53" s="49" t="str">
        <f>INDEX(Tab_Vendedores[Gestor],MATCH(Treinamentos[[#This Row],[Vendedor]],Tab_Vendedores[Nome],0))</f>
        <v>Janny Costa</v>
      </c>
      <c r="D53" s="49" t="s">
        <v>84</v>
      </c>
      <c r="E53" s="49" t="str">
        <f>LEFT(Treinamentos[[#This Row],[Treinamento]],SEARCH(" ",Treinamentos[[#This Row],[Treinamento]])-1)</f>
        <v>Excel</v>
      </c>
      <c r="F53" s="49">
        <f>VALUE(RIGHT(Treinamentos[[#This Row],[Treinamento]],4))</f>
        <v>2016</v>
      </c>
      <c r="G53" s="50">
        <v>43333.583333333336</v>
      </c>
      <c r="H53" s="50">
        <v>43346.75</v>
      </c>
      <c r="I53" s="54">
        <f t="shared" si="7"/>
        <v>43333</v>
      </c>
      <c r="J53" s="54">
        <f t="shared" si="8"/>
        <v>43346</v>
      </c>
      <c r="K53" s="51" t="str">
        <f t="shared" si="9"/>
        <v>14:00</v>
      </c>
      <c r="L53" s="51">
        <f t="shared" si="10"/>
        <v>0.75</v>
      </c>
      <c r="M53" s="51" t="str">
        <f t="shared" si="11"/>
        <v>Tarde</v>
      </c>
      <c r="N53" s="51" t="str">
        <f t="shared" si="5"/>
        <v>Agosto</v>
      </c>
      <c r="O53" s="51" t="str">
        <f t="shared" si="12"/>
        <v>2018</v>
      </c>
      <c r="P53" s="49" t="s">
        <v>23</v>
      </c>
      <c r="Q53" s="49" t="s">
        <v>12</v>
      </c>
      <c r="R53" s="49" t="str">
        <f>INDEX(Tab_Instrutores[Estado],MATCH(Treinamentos[[#This Row],[Instrutor]],Tab_Instrutores[Instrutor],0))</f>
        <v>SP</v>
      </c>
      <c r="S53" s="49" t="s">
        <v>186</v>
      </c>
      <c r="T53" s="49">
        <v>11</v>
      </c>
      <c r="U53" s="63">
        <v>52</v>
      </c>
      <c r="V53" s="63">
        <f>+Treinamentos[[#This Row],[Alunos]]*Treinamentos[[#This Row],[Valor]]</f>
        <v>572</v>
      </c>
      <c r="W53" s="49"/>
    </row>
    <row r="54" spans="1:23" x14ac:dyDescent="0.25">
      <c r="A54" s="53">
        <v>5380</v>
      </c>
      <c r="B54" s="49" t="s">
        <v>14</v>
      </c>
      <c r="C54" s="49" t="str">
        <f>INDEX(Tab_Vendedores[Gestor],MATCH(Treinamentos[[#This Row],[Vendedor]],Tab_Vendedores[Nome],0))</f>
        <v>Marcelo Leal</v>
      </c>
      <c r="D54" s="49" t="s">
        <v>79</v>
      </c>
      <c r="E54" s="49" t="str">
        <f>LEFT(Treinamentos[[#This Row],[Treinamento]],SEARCH(" ",Treinamentos[[#This Row],[Treinamento]])-1)</f>
        <v>Word</v>
      </c>
      <c r="F54" s="49">
        <f>VALUE(RIGHT(Treinamentos[[#This Row],[Treinamento]],4))</f>
        <v>2016</v>
      </c>
      <c r="G54" s="50">
        <v>43334.375</v>
      </c>
      <c r="H54" s="50">
        <v>43340.75</v>
      </c>
      <c r="I54" s="54">
        <f t="shared" si="7"/>
        <v>43334</v>
      </c>
      <c r="J54" s="54">
        <f t="shared" si="8"/>
        <v>43340</v>
      </c>
      <c r="K54" s="51" t="str">
        <f t="shared" si="9"/>
        <v>09:00</v>
      </c>
      <c r="L54" s="51">
        <f t="shared" si="10"/>
        <v>0.75</v>
      </c>
      <c r="M54" s="51" t="str">
        <f t="shared" si="11"/>
        <v>Integral</v>
      </c>
      <c r="N54" s="51" t="str">
        <f t="shared" si="5"/>
        <v>Agosto</v>
      </c>
      <c r="O54" s="51" t="str">
        <f t="shared" si="12"/>
        <v>2018</v>
      </c>
      <c r="P54" s="49" t="s">
        <v>23</v>
      </c>
      <c r="Q54" s="49" t="s">
        <v>37</v>
      </c>
      <c r="R54" s="49" t="str">
        <f>INDEX(Tab_Instrutores[Estado],MATCH(Treinamentos[[#This Row],[Instrutor]],Tab_Instrutores[Instrutor],0))</f>
        <v>SP</v>
      </c>
      <c r="S54" s="49" t="s">
        <v>188</v>
      </c>
      <c r="T54" s="49">
        <v>8</v>
      </c>
      <c r="U54" s="63">
        <v>48</v>
      </c>
      <c r="V54" s="63">
        <f>+Treinamentos[[#This Row],[Alunos]]*Treinamentos[[#This Row],[Valor]]</f>
        <v>384</v>
      </c>
      <c r="W54" s="49"/>
    </row>
    <row r="55" spans="1:23" x14ac:dyDescent="0.25">
      <c r="A55" s="53">
        <v>5381</v>
      </c>
      <c r="B55" s="49" t="s">
        <v>14</v>
      </c>
      <c r="C55" s="49" t="str">
        <f>INDEX(Tab_Vendedores[Gestor],MATCH(Treinamentos[[#This Row],[Vendedor]],Tab_Vendedores[Nome],0))</f>
        <v>Marcelo Leal</v>
      </c>
      <c r="D55" s="49" t="s">
        <v>80</v>
      </c>
      <c r="E55" s="49" t="str">
        <f>LEFT(Treinamentos[[#This Row],[Treinamento]],SEARCH(" ",Treinamentos[[#This Row],[Treinamento]])-1)</f>
        <v>DashBoard</v>
      </c>
      <c r="F55" s="49">
        <f>VALUE(RIGHT(Treinamentos[[#This Row],[Treinamento]],4))</f>
        <v>2016</v>
      </c>
      <c r="G55" s="50">
        <v>43335.333333333336</v>
      </c>
      <c r="H55" s="50">
        <v>43348.5</v>
      </c>
      <c r="I55" s="54">
        <f t="shared" si="7"/>
        <v>43335</v>
      </c>
      <c r="J55" s="54">
        <f t="shared" si="8"/>
        <v>43348</v>
      </c>
      <c r="K55" s="51" t="str">
        <f t="shared" si="9"/>
        <v>08:00</v>
      </c>
      <c r="L55" s="51">
        <f t="shared" si="10"/>
        <v>0.5</v>
      </c>
      <c r="M55" s="51" t="str">
        <f t="shared" si="11"/>
        <v>Manhã</v>
      </c>
      <c r="N55" s="51" t="str">
        <f t="shared" si="5"/>
        <v>Agosto</v>
      </c>
      <c r="O55" s="51" t="str">
        <f t="shared" si="12"/>
        <v>2018</v>
      </c>
      <c r="P55" s="49" t="s">
        <v>9</v>
      </c>
      <c r="Q55" s="49" t="s">
        <v>18</v>
      </c>
      <c r="R55" s="49" t="str">
        <f>INDEX(Tab_Instrutores[Estado],MATCH(Treinamentos[[#This Row],[Instrutor]],Tab_Instrutores[Instrutor],0))</f>
        <v>SP</v>
      </c>
      <c r="S55" s="49" t="s">
        <v>186</v>
      </c>
      <c r="T55" s="49">
        <v>9</v>
      </c>
      <c r="U55" s="63">
        <v>32</v>
      </c>
      <c r="V55" s="63">
        <f>+Treinamentos[[#This Row],[Alunos]]*Treinamentos[[#This Row],[Valor]]</f>
        <v>288</v>
      </c>
      <c r="W55" s="49"/>
    </row>
    <row r="56" spans="1:23" x14ac:dyDescent="0.25">
      <c r="A56" s="53">
        <v>5382</v>
      </c>
      <c r="B56" s="49" t="s">
        <v>14</v>
      </c>
      <c r="C56" s="49" t="str">
        <f>INDEX(Tab_Vendedores[Gestor],MATCH(Treinamentos[[#This Row],[Vendedor]],Tab_Vendedores[Nome],0))</f>
        <v>Marcelo Leal</v>
      </c>
      <c r="D56" s="49" t="s">
        <v>85</v>
      </c>
      <c r="E56" s="49" t="str">
        <f>LEFT(Treinamentos[[#This Row],[Treinamento]],SEARCH(" ",Treinamentos[[#This Row],[Treinamento]])-1)</f>
        <v>Outlook</v>
      </c>
      <c r="F56" s="49">
        <f>VALUE(RIGHT(Treinamentos[[#This Row],[Treinamento]],4))</f>
        <v>2016</v>
      </c>
      <c r="G56" s="50">
        <v>43336.375</v>
      </c>
      <c r="H56" s="50">
        <v>43341.75</v>
      </c>
      <c r="I56" s="54">
        <f t="shared" si="7"/>
        <v>43336</v>
      </c>
      <c r="J56" s="54">
        <f t="shared" si="8"/>
        <v>43341</v>
      </c>
      <c r="K56" s="51" t="str">
        <f t="shared" si="9"/>
        <v>09:00</v>
      </c>
      <c r="L56" s="51">
        <f t="shared" si="10"/>
        <v>0.75</v>
      </c>
      <c r="M56" s="51" t="str">
        <f t="shared" si="11"/>
        <v>Integral</v>
      </c>
      <c r="N56" s="51" t="str">
        <f t="shared" si="5"/>
        <v>Agosto</v>
      </c>
      <c r="O56" s="51" t="str">
        <f t="shared" si="12"/>
        <v>2018</v>
      </c>
      <c r="P56" s="49" t="s">
        <v>23</v>
      </c>
      <c r="Q56" s="49" t="s">
        <v>38</v>
      </c>
      <c r="R56" s="49" t="str">
        <f>INDEX(Tab_Instrutores[Estado],MATCH(Treinamentos[[#This Row],[Instrutor]],Tab_Instrutores[Instrutor],0))</f>
        <v>SP</v>
      </c>
      <c r="S56" s="49" t="s">
        <v>186</v>
      </c>
      <c r="T56" s="49">
        <v>9</v>
      </c>
      <c r="U56" s="63">
        <v>48</v>
      </c>
      <c r="V56" s="63">
        <f>+Treinamentos[[#This Row],[Alunos]]*Treinamentos[[#This Row],[Valor]]</f>
        <v>432</v>
      </c>
      <c r="W56" s="49"/>
    </row>
    <row r="57" spans="1:23" x14ac:dyDescent="0.25">
      <c r="A57" s="53">
        <v>5383</v>
      </c>
      <c r="B57" s="49" t="s">
        <v>17</v>
      </c>
      <c r="C57" s="49" t="str">
        <f>INDEX(Tab_Vendedores[Gestor],MATCH(Treinamentos[[#This Row],[Vendedor]],Tab_Vendedores[Nome],0))</f>
        <v>Janny Costa</v>
      </c>
      <c r="D57" s="49" t="s">
        <v>84</v>
      </c>
      <c r="E57" s="49" t="str">
        <f>LEFT(Treinamentos[[#This Row],[Treinamento]],SEARCH(" ",Treinamentos[[#This Row],[Treinamento]])-1)</f>
        <v>Excel</v>
      </c>
      <c r="F57" s="49">
        <f>VALUE(RIGHT(Treinamentos[[#This Row],[Treinamento]],4))</f>
        <v>2016</v>
      </c>
      <c r="G57" s="50">
        <v>43338.791666666664</v>
      </c>
      <c r="H57" s="50">
        <v>43349.958333333336</v>
      </c>
      <c r="I57" s="54">
        <f t="shared" si="7"/>
        <v>43338</v>
      </c>
      <c r="J57" s="54">
        <f t="shared" si="8"/>
        <v>43349</v>
      </c>
      <c r="K57" s="51" t="str">
        <f t="shared" si="9"/>
        <v>19:00</v>
      </c>
      <c r="L57" s="51">
        <f t="shared" si="10"/>
        <v>0.95833333333333337</v>
      </c>
      <c r="M57" s="51" t="str">
        <f t="shared" si="11"/>
        <v>Noite</v>
      </c>
      <c r="N57" s="51" t="str">
        <f t="shared" si="5"/>
        <v>Agosto</v>
      </c>
      <c r="O57" s="51" t="str">
        <f t="shared" si="12"/>
        <v>2018</v>
      </c>
      <c r="P57" s="49" t="s">
        <v>23</v>
      </c>
      <c r="Q57" s="49" t="s">
        <v>18</v>
      </c>
      <c r="R57" s="49" t="str">
        <f>INDEX(Tab_Instrutores[Estado],MATCH(Treinamentos[[#This Row],[Instrutor]],Tab_Instrutores[Instrutor],0))</f>
        <v>SP</v>
      </c>
      <c r="S57" s="49" t="s">
        <v>186</v>
      </c>
      <c r="T57" s="49">
        <v>11</v>
      </c>
      <c r="U57" s="63">
        <v>52</v>
      </c>
      <c r="V57" s="63">
        <f>+Treinamentos[[#This Row],[Alunos]]*Treinamentos[[#This Row],[Valor]]</f>
        <v>572</v>
      </c>
      <c r="W57" s="49"/>
    </row>
    <row r="58" spans="1:23" x14ac:dyDescent="0.25">
      <c r="A58" s="53">
        <v>5384</v>
      </c>
      <c r="B58" s="49" t="s">
        <v>17</v>
      </c>
      <c r="C58" s="49" t="str">
        <f>INDEX(Tab_Vendedores[Gestor],MATCH(Treinamentos[[#This Row],[Vendedor]],Tab_Vendedores[Nome],0))</f>
        <v>Janny Costa</v>
      </c>
      <c r="D58" s="49" t="s">
        <v>88</v>
      </c>
      <c r="E58" s="49" t="str">
        <f>LEFT(Treinamentos[[#This Row],[Treinamento]],SEARCH(" ",Treinamentos[[#This Row],[Treinamento]])-1)</f>
        <v>Outlook</v>
      </c>
      <c r="F58" s="49">
        <f>VALUE(RIGHT(Treinamentos[[#This Row],[Treinamento]],4))</f>
        <v>2016</v>
      </c>
      <c r="G58" s="50">
        <v>43338.791666666664</v>
      </c>
      <c r="H58" s="50">
        <v>43349.958333333336</v>
      </c>
      <c r="I58" s="54">
        <f t="shared" si="7"/>
        <v>43338</v>
      </c>
      <c r="J58" s="54">
        <f t="shared" si="8"/>
        <v>43349</v>
      </c>
      <c r="K58" s="51" t="str">
        <f t="shared" si="9"/>
        <v>19:00</v>
      </c>
      <c r="L58" s="51">
        <f t="shared" si="10"/>
        <v>0.95833333333333337</v>
      </c>
      <c r="M58" s="51" t="str">
        <f t="shared" si="11"/>
        <v>Noite</v>
      </c>
      <c r="N58" s="51" t="str">
        <f t="shared" si="5"/>
        <v>Agosto</v>
      </c>
      <c r="O58" s="51" t="str">
        <f t="shared" si="12"/>
        <v>2018</v>
      </c>
      <c r="P58" s="49" t="s">
        <v>23</v>
      </c>
      <c r="Q58" s="49" t="s">
        <v>190</v>
      </c>
      <c r="R58" s="49" t="str">
        <f>INDEX(Tab_Instrutores[Estado],MATCH(Treinamentos[[#This Row],[Instrutor]],Tab_Instrutores[Instrutor],0))</f>
        <v>RJ</v>
      </c>
      <c r="S58" s="49" t="s">
        <v>189</v>
      </c>
      <c r="T58" s="49">
        <v>12</v>
      </c>
      <c r="U58" s="63">
        <v>42</v>
      </c>
      <c r="V58" s="63">
        <f>+Treinamentos[[#This Row],[Alunos]]*Treinamentos[[#This Row],[Valor]]</f>
        <v>504</v>
      </c>
      <c r="W58" s="49"/>
    </row>
    <row r="59" spans="1:23" x14ac:dyDescent="0.25">
      <c r="A59" s="53">
        <v>5385</v>
      </c>
      <c r="B59" s="49" t="s">
        <v>14</v>
      </c>
      <c r="C59" s="49" t="str">
        <f>INDEX(Tab_Vendedores[Gestor],MATCH(Treinamentos[[#This Row],[Vendedor]],Tab_Vendedores[Nome],0))</f>
        <v>Marcelo Leal</v>
      </c>
      <c r="D59" s="49" t="s">
        <v>78</v>
      </c>
      <c r="E59" s="49" t="str">
        <f>LEFT(Treinamentos[[#This Row],[Treinamento]],SEARCH(" ",Treinamentos[[#This Row],[Treinamento]])-1)</f>
        <v>Excel</v>
      </c>
      <c r="F59" s="49">
        <f>VALUE(RIGHT(Treinamentos[[#This Row],[Treinamento]],4))</f>
        <v>2016</v>
      </c>
      <c r="G59" s="50">
        <v>43339.791666666664</v>
      </c>
      <c r="H59" s="50">
        <v>43352.958333333336</v>
      </c>
      <c r="I59" s="54">
        <f t="shared" si="7"/>
        <v>43339</v>
      </c>
      <c r="J59" s="54">
        <f t="shared" si="8"/>
        <v>43352</v>
      </c>
      <c r="K59" s="51" t="str">
        <f t="shared" si="9"/>
        <v>19:00</v>
      </c>
      <c r="L59" s="51">
        <f t="shared" si="10"/>
        <v>0.95833333333333337</v>
      </c>
      <c r="M59" s="51" t="str">
        <f t="shared" si="11"/>
        <v>Noite</v>
      </c>
      <c r="N59" s="51" t="str">
        <f t="shared" si="5"/>
        <v>Agosto</v>
      </c>
      <c r="O59" s="51" t="str">
        <f t="shared" si="12"/>
        <v>2018</v>
      </c>
      <c r="P59" s="49" t="s">
        <v>9</v>
      </c>
      <c r="Q59" s="49" t="s">
        <v>16</v>
      </c>
      <c r="R59" s="49" t="str">
        <f>INDEX(Tab_Instrutores[Estado],MATCH(Treinamentos[[#This Row],[Instrutor]],Tab_Instrutores[Instrutor],0))</f>
        <v>RJ</v>
      </c>
      <c r="S59" s="49" t="s">
        <v>189</v>
      </c>
      <c r="T59" s="49">
        <v>10</v>
      </c>
      <c r="U59" s="63">
        <v>62</v>
      </c>
      <c r="V59" s="63">
        <f>+Treinamentos[[#This Row],[Alunos]]*Treinamentos[[#This Row],[Valor]]</f>
        <v>620</v>
      </c>
      <c r="W59" s="49"/>
    </row>
    <row r="60" spans="1:23" x14ac:dyDescent="0.25">
      <c r="A60" s="53">
        <v>5386</v>
      </c>
      <c r="B60" s="49" t="s">
        <v>22</v>
      </c>
      <c r="C60" s="49" t="str">
        <f>INDEX(Tab_Vendedores[Gestor],MATCH(Treinamentos[[#This Row],[Vendedor]],Tab_Vendedores[Nome],0))</f>
        <v>Janny Costa</v>
      </c>
      <c r="D60" s="49" t="s">
        <v>81</v>
      </c>
      <c r="E60" s="49" t="str">
        <f>LEFT(Treinamentos[[#This Row],[Treinamento]],SEARCH(" ",Treinamentos[[#This Row],[Treinamento]])-1)</f>
        <v>Excel</v>
      </c>
      <c r="F60" s="49">
        <f>VALUE(RIGHT(Treinamentos[[#This Row],[Treinamento]],4))</f>
        <v>2016</v>
      </c>
      <c r="G60" s="50">
        <v>43340.583333333336</v>
      </c>
      <c r="H60" s="50">
        <v>43353.75</v>
      </c>
      <c r="I60" s="54">
        <f t="shared" si="7"/>
        <v>43340</v>
      </c>
      <c r="J60" s="54">
        <f t="shared" si="8"/>
        <v>43353</v>
      </c>
      <c r="K60" s="51" t="str">
        <f t="shared" si="9"/>
        <v>14:00</v>
      </c>
      <c r="L60" s="51">
        <f t="shared" si="10"/>
        <v>0.75</v>
      </c>
      <c r="M60" s="51" t="str">
        <f t="shared" si="11"/>
        <v>Tarde</v>
      </c>
      <c r="N60" s="51" t="str">
        <f t="shared" si="5"/>
        <v>Agosto</v>
      </c>
      <c r="O60" s="51" t="str">
        <f t="shared" si="12"/>
        <v>2018</v>
      </c>
      <c r="P60" s="49" t="s">
        <v>9</v>
      </c>
      <c r="Q60" s="49" t="s">
        <v>16</v>
      </c>
      <c r="R60" s="49" t="str">
        <f>INDEX(Tab_Instrutores[Estado],MATCH(Treinamentos[[#This Row],[Instrutor]],Tab_Instrutores[Instrutor],0))</f>
        <v>RJ</v>
      </c>
      <c r="S60" s="49" t="s">
        <v>186</v>
      </c>
      <c r="T60" s="49">
        <v>10</v>
      </c>
      <c r="U60" s="63">
        <v>43</v>
      </c>
      <c r="V60" s="63">
        <f>+Treinamentos[[#This Row],[Alunos]]*Treinamentos[[#This Row],[Valor]]</f>
        <v>430</v>
      </c>
      <c r="W60" s="49"/>
    </row>
    <row r="61" spans="1:23" x14ac:dyDescent="0.25">
      <c r="A61" s="53">
        <v>5387</v>
      </c>
      <c r="B61" s="49" t="s">
        <v>19</v>
      </c>
      <c r="C61" s="49" t="str">
        <f>INDEX(Tab_Vendedores[Gestor],MATCH(Treinamentos[[#This Row],[Vendedor]],Tab_Vendedores[Nome],0))</f>
        <v>Janny Costa</v>
      </c>
      <c r="D61" s="49" t="s">
        <v>79</v>
      </c>
      <c r="E61" s="49" t="str">
        <f>LEFT(Treinamentos[[#This Row],[Treinamento]],SEARCH(" ",Treinamentos[[#This Row],[Treinamento]])-1)</f>
        <v>Word</v>
      </c>
      <c r="F61" s="49">
        <f>VALUE(RIGHT(Treinamentos[[#This Row],[Treinamento]],4))</f>
        <v>2016</v>
      </c>
      <c r="G61" s="50">
        <v>43341.375</v>
      </c>
      <c r="H61" s="50">
        <v>43347.75</v>
      </c>
      <c r="I61" s="54">
        <f t="shared" si="7"/>
        <v>43341</v>
      </c>
      <c r="J61" s="54">
        <f t="shared" si="8"/>
        <v>43347</v>
      </c>
      <c r="K61" s="51" t="str">
        <f t="shared" si="9"/>
        <v>09:00</v>
      </c>
      <c r="L61" s="51">
        <f t="shared" si="10"/>
        <v>0.75</v>
      </c>
      <c r="M61" s="51" t="str">
        <f t="shared" si="11"/>
        <v>Integral</v>
      </c>
      <c r="N61" s="51" t="str">
        <f t="shared" si="5"/>
        <v>Agosto</v>
      </c>
      <c r="O61" s="51" t="str">
        <f t="shared" si="12"/>
        <v>2018</v>
      </c>
      <c r="P61" s="49" t="s">
        <v>9</v>
      </c>
      <c r="Q61" s="49" t="s">
        <v>38</v>
      </c>
      <c r="R61" s="49" t="str">
        <f>INDEX(Tab_Instrutores[Estado],MATCH(Treinamentos[[#This Row],[Instrutor]],Tab_Instrutores[Instrutor],0))</f>
        <v>SP</v>
      </c>
      <c r="S61" s="49" t="s">
        <v>189</v>
      </c>
      <c r="T61" s="49">
        <v>12</v>
      </c>
      <c r="U61" s="63">
        <v>48</v>
      </c>
      <c r="V61" s="63">
        <f>+Treinamentos[[#This Row],[Alunos]]*Treinamentos[[#This Row],[Valor]]</f>
        <v>576</v>
      </c>
      <c r="W61" s="49"/>
    </row>
    <row r="62" spans="1:23" x14ac:dyDescent="0.25">
      <c r="A62" s="53">
        <v>5388</v>
      </c>
      <c r="B62" s="49" t="s">
        <v>22</v>
      </c>
      <c r="C62" s="49" t="str">
        <f>INDEX(Tab_Vendedores[Gestor],MATCH(Treinamentos[[#This Row],[Vendedor]],Tab_Vendedores[Nome],0))</f>
        <v>Janny Costa</v>
      </c>
      <c r="D62" s="49" t="s">
        <v>80</v>
      </c>
      <c r="E62" s="49" t="str">
        <f>LEFT(Treinamentos[[#This Row],[Treinamento]],SEARCH(" ",Treinamentos[[#This Row],[Treinamento]])-1)</f>
        <v>DashBoard</v>
      </c>
      <c r="F62" s="49">
        <f>VALUE(RIGHT(Treinamentos[[#This Row],[Treinamento]],4))</f>
        <v>2016</v>
      </c>
      <c r="G62" s="50">
        <v>43342.333333333336</v>
      </c>
      <c r="H62" s="50">
        <v>43355.5</v>
      </c>
      <c r="I62" s="54">
        <f t="shared" si="7"/>
        <v>43342</v>
      </c>
      <c r="J62" s="54">
        <f t="shared" si="8"/>
        <v>43355</v>
      </c>
      <c r="K62" s="51" t="str">
        <f t="shared" si="9"/>
        <v>08:00</v>
      </c>
      <c r="L62" s="51">
        <f t="shared" si="10"/>
        <v>0.5</v>
      </c>
      <c r="M62" s="51" t="str">
        <f t="shared" si="11"/>
        <v>Manhã</v>
      </c>
      <c r="N62" s="51" t="str">
        <f t="shared" si="5"/>
        <v>Agosto</v>
      </c>
      <c r="O62" s="51" t="str">
        <f t="shared" si="12"/>
        <v>2018</v>
      </c>
      <c r="P62" s="49" t="s">
        <v>23</v>
      </c>
      <c r="Q62" s="49" t="s">
        <v>31</v>
      </c>
      <c r="R62" s="49" t="str">
        <f>INDEX(Tab_Instrutores[Estado],MATCH(Treinamentos[[#This Row],[Instrutor]],Tab_Instrutores[Instrutor],0))</f>
        <v>SP</v>
      </c>
      <c r="S62" s="49" t="s">
        <v>189</v>
      </c>
      <c r="T62" s="49">
        <v>10</v>
      </c>
      <c r="U62" s="63">
        <v>32</v>
      </c>
      <c r="V62" s="63">
        <f>+Treinamentos[[#This Row],[Alunos]]*Treinamentos[[#This Row],[Valor]]</f>
        <v>320</v>
      </c>
      <c r="W62" s="49"/>
    </row>
    <row r="63" spans="1:23" x14ac:dyDescent="0.25">
      <c r="A63" s="53">
        <v>5389</v>
      </c>
      <c r="B63" s="49" t="s">
        <v>39</v>
      </c>
      <c r="C63" s="49" t="str">
        <f>INDEX(Tab_Vendedores[Gestor],MATCH(Treinamentos[[#This Row],[Vendedor]],Tab_Vendedores[Nome],0))</f>
        <v>Alexandra Conceição</v>
      </c>
      <c r="D63" s="49" t="s">
        <v>77</v>
      </c>
      <c r="E63" s="49" t="str">
        <f>LEFT(Treinamentos[[#This Row],[Treinamento]],SEARCH(" ",Treinamentos[[#This Row],[Treinamento]])-1)</f>
        <v>Excel</v>
      </c>
      <c r="F63" s="49">
        <f>VALUE(RIGHT(Treinamentos[[#This Row],[Treinamento]],4))</f>
        <v>2016</v>
      </c>
      <c r="G63" s="50">
        <v>43343.375</v>
      </c>
      <c r="H63" s="50">
        <v>43348.75</v>
      </c>
      <c r="I63" s="54">
        <f t="shared" si="7"/>
        <v>43343</v>
      </c>
      <c r="J63" s="54">
        <f t="shared" si="8"/>
        <v>43348</v>
      </c>
      <c r="K63" s="51" t="str">
        <f t="shared" si="9"/>
        <v>09:00</v>
      </c>
      <c r="L63" s="51">
        <f t="shared" si="10"/>
        <v>0.75</v>
      </c>
      <c r="M63" s="51" t="str">
        <f t="shared" si="11"/>
        <v>Integral</v>
      </c>
      <c r="N63" s="51" t="str">
        <f t="shared" si="5"/>
        <v>Agosto</v>
      </c>
      <c r="O63" s="51" t="str">
        <f t="shared" si="12"/>
        <v>2018</v>
      </c>
      <c r="P63" s="49" t="s">
        <v>9</v>
      </c>
      <c r="Q63" s="49" t="s">
        <v>38</v>
      </c>
      <c r="R63" s="49" t="str">
        <f>INDEX(Tab_Instrutores[Estado],MATCH(Treinamentos[[#This Row],[Instrutor]],Tab_Instrutores[Instrutor],0))</f>
        <v>SP</v>
      </c>
      <c r="S63" s="49" t="s">
        <v>188</v>
      </c>
      <c r="T63" s="49">
        <v>11</v>
      </c>
      <c r="U63" s="63">
        <v>35</v>
      </c>
      <c r="V63" s="63">
        <f>+Treinamentos[[#This Row],[Alunos]]*Treinamentos[[#This Row],[Valor]]</f>
        <v>385</v>
      </c>
      <c r="W63" s="49"/>
    </row>
    <row r="64" spans="1:23" x14ac:dyDescent="0.25">
      <c r="A64" s="53">
        <v>5390</v>
      </c>
      <c r="B64" s="49" t="s">
        <v>7</v>
      </c>
      <c r="C64" s="49" t="str">
        <f>INDEX(Tab_Vendedores[Gestor],MATCH(Treinamentos[[#This Row],[Vendedor]],Tab_Vendedores[Nome],0))</f>
        <v>Marcelo Leal</v>
      </c>
      <c r="D64" s="49" t="s">
        <v>78</v>
      </c>
      <c r="E64" s="49" t="str">
        <f>LEFT(Treinamentos[[#This Row],[Treinamento]],SEARCH(" ",Treinamentos[[#This Row],[Treinamento]])-1)</f>
        <v>Excel</v>
      </c>
      <c r="F64" s="49">
        <f>VALUE(RIGHT(Treinamentos[[#This Row],[Treinamento]],4))</f>
        <v>2016</v>
      </c>
      <c r="G64" s="50">
        <v>43345.791666666664</v>
      </c>
      <c r="H64" s="50">
        <v>43356.958333333336</v>
      </c>
      <c r="I64" s="54">
        <f t="shared" si="7"/>
        <v>43345</v>
      </c>
      <c r="J64" s="54">
        <f t="shared" si="8"/>
        <v>43356</v>
      </c>
      <c r="K64" s="51" t="str">
        <f t="shared" si="9"/>
        <v>19:00</v>
      </c>
      <c r="L64" s="51">
        <f t="shared" si="10"/>
        <v>0.95833333333333337</v>
      </c>
      <c r="M64" s="51" t="str">
        <f t="shared" si="11"/>
        <v>Noite</v>
      </c>
      <c r="N64" s="51" t="str">
        <f t="shared" si="5"/>
        <v>Setembro</v>
      </c>
      <c r="O64" s="51" t="str">
        <f t="shared" si="12"/>
        <v>2018</v>
      </c>
      <c r="P64" s="49" t="s">
        <v>9</v>
      </c>
      <c r="Q64" s="49" t="s">
        <v>16</v>
      </c>
      <c r="R64" s="49" t="str">
        <f>INDEX(Tab_Instrutores[Estado],MATCH(Treinamentos[[#This Row],[Instrutor]],Tab_Instrutores[Instrutor],0))</f>
        <v>RJ</v>
      </c>
      <c r="S64" s="49" t="s">
        <v>186</v>
      </c>
      <c r="T64" s="49">
        <v>9</v>
      </c>
      <c r="U64" s="63">
        <v>62</v>
      </c>
      <c r="V64" s="63">
        <f>+Treinamentos[[#This Row],[Alunos]]*Treinamentos[[#This Row],[Valor]]</f>
        <v>558</v>
      </c>
      <c r="W64" s="49"/>
    </row>
    <row r="65" spans="1:23" x14ac:dyDescent="0.25">
      <c r="A65" s="53">
        <v>5391</v>
      </c>
      <c r="B65" s="49" t="s">
        <v>45</v>
      </c>
      <c r="C65" s="49" t="str">
        <f>INDEX(Tab_Vendedores[Gestor],MATCH(Treinamentos[[#This Row],[Vendedor]],Tab_Vendedores[Nome],0))</f>
        <v>Alexandra Conceição</v>
      </c>
      <c r="D65" s="49" t="s">
        <v>76</v>
      </c>
      <c r="E65" s="49" t="str">
        <f>LEFT(Treinamentos[[#This Row],[Treinamento]],SEARCH(" ",Treinamentos[[#This Row],[Treinamento]])-1)</f>
        <v>Access</v>
      </c>
      <c r="F65" s="49">
        <f>VALUE(RIGHT(Treinamentos[[#This Row],[Treinamento]],4))</f>
        <v>2016</v>
      </c>
      <c r="G65" s="50">
        <v>43345.791666666664</v>
      </c>
      <c r="H65" s="50">
        <v>43356.958333333336</v>
      </c>
      <c r="I65" s="54">
        <f t="shared" si="7"/>
        <v>43345</v>
      </c>
      <c r="J65" s="54">
        <f t="shared" si="8"/>
        <v>43356</v>
      </c>
      <c r="K65" s="51" t="str">
        <f t="shared" si="9"/>
        <v>19:00</v>
      </c>
      <c r="L65" s="51">
        <f t="shared" si="10"/>
        <v>0.95833333333333337</v>
      </c>
      <c r="M65" s="51" t="str">
        <f t="shared" si="11"/>
        <v>Noite</v>
      </c>
      <c r="N65" s="51" t="str">
        <f t="shared" si="5"/>
        <v>Setembro</v>
      </c>
      <c r="O65" s="51" t="str">
        <f t="shared" si="12"/>
        <v>2018</v>
      </c>
      <c r="P65" s="49" t="s">
        <v>23</v>
      </c>
      <c r="Q65" s="49" t="s">
        <v>190</v>
      </c>
      <c r="R65" s="49" t="str">
        <f>INDEX(Tab_Instrutores[Estado],MATCH(Treinamentos[[#This Row],[Instrutor]],Tab_Instrutores[Instrutor],0))</f>
        <v>RJ</v>
      </c>
      <c r="S65" s="49" t="s">
        <v>189</v>
      </c>
      <c r="T65" s="49">
        <v>10</v>
      </c>
      <c r="U65" s="63">
        <v>53</v>
      </c>
      <c r="V65" s="63">
        <f>+Treinamentos[[#This Row],[Alunos]]*Treinamentos[[#This Row],[Valor]]</f>
        <v>530</v>
      </c>
      <c r="W65" s="49"/>
    </row>
    <row r="66" spans="1:23" x14ac:dyDescent="0.25">
      <c r="A66" s="53">
        <v>5392</v>
      </c>
      <c r="B66" s="49" t="s">
        <v>11</v>
      </c>
      <c r="C66" s="49" t="str">
        <f>INDEX(Tab_Vendedores[Gestor],MATCH(Treinamentos[[#This Row],[Vendedor]],Tab_Vendedores[Nome],0))</f>
        <v>Marcelo Leal</v>
      </c>
      <c r="D66" s="49" t="s">
        <v>79</v>
      </c>
      <c r="E66" s="49" t="str">
        <f>LEFT(Treinamentos[[#This Row],[Treinamento]],SEARCH(" ",Treinamentos[[#This Row],[Treinamento]])-1)</f>
        <v>Word</v>
      </c>
      <c r="F66" s="49">
        <f>VALUE(RIGHT(Treinamentos[[#This Row],[Treinamento]],4))</f>
        <v>2016</v>
      </c>
      <c r="G66" s="50">
        <v>43346.791666666664</v>
      </c>
      <c r="H66" s="50">
        <v>43359.958333333336</v>
      </c>
      <c r="I66" s="54">
        <f t="shared" ref="I66:I93" si="13">DATE(YEAR(G66),MONTH(G66),DAY(G66))</f>
        <v>43346</v>
      </c>
      <c r="J66" s="54">
        <f t="shared" ref="J66:J93" si="14">DATE(YEAR(H66),MONTH(H66),DAY(H66))</f>
        <v>43359</v>
      </c>
      <c r="K66" s="51" t="str">
        <f t="shared" ref="K66:K93" si="15">TEXT(G66,"HH:MM")</f>
        <v>19:00</v>
      </c>
      <c r="L66" s="51">
        <f t="shared" ref="L66:L93" si="16">VALUE(TEXT(H66,"HH:mm"))</f>
        <v>0.95833333333333337</v>
      </c>
      <c r="M66" s="51" t="str">
        <f t="shared" ref="M66:M93" si="17">IF(K66="08:00","Manhã",
IF(K66="09:00","Integral",
IF(K66="14:00","Tarde",
IF(K66="19:00","Noite",
"Personalizado"))))</f>
        <v>Noite</v>
      </c>
      <c r="N66" s="51" t="str">
        <f t="shared" ref="N66:N93" si="18">PROPER(TEXT(G66,"MMMM"))</f>
        <v>Setembro</v>
      </c>
      <c r="O66" s="51" t="str">
        <f t="shared" ref="O66:O93" si="19">TEXT(G66,"aaaa")</f>
        <v>2018</v>
      </c>
      <c r="P66" s="49" t="s">
        <v>23</v>
      </c>
      <c r="Q66" s="49" t="s">
        <v>190</v>
      </c>
      <c r="R66" s="49" t="str">
        <f>INDEX(Tab_Instrutores[Estado],MATCH(Treinamentos[[#This Row],[Instrutor]],Tab_Instrutores[Instrutor],0))</f>
        <v>RJ</v>
      </c>
      <c r="S66" s="49" t="s">
        <v>186</v>
      </c>
      <c r="T66" s="49">
        <v>10</v>
      </c>
      <c r="U66" s="63">
        <v>48</v>
      </c>
      <c r="V66" s="63">
        <f>+Treinamentos[[#This Row],[Alunos]]*Treinamentos[[#This Row],[Valor]]</f>
        <v>480</v>
      </c>
      <c r="W66" s="49"/>
    </row>
    <row r="67" spans="1:23" x14ac:dyDescent="0.25">
      <c r="A67" s="53">
        <v>5393</v>
      </c>
      <c r="B67" s="49" t="s">
        <v>45</v>
      </c>
      <c r="C67" s="49" t="str">
        <f>INDEX(Tab_Vendedores[Gestor],MATCH(Treinamentos[[#This Row],[Vendedor]],Tab_Vendedores[Nome],0))</f>
        <v>Alexandra Conceição</v>
      </c>
      <c r="D67" s="49" t="s">
        <v>85</v>
      </c>
      <c r="E67" s="49" t="str">
        <f>LEFT(Treinamentos[[#This Row],[Treinamento]],SEARCH(" ",Treinamentos[[#This Row],[Treinamento]])-1)</f>
        <v>Outlook</v>
      </c>
      <c r="F67" s="49">
        <f>VALUE(RIGHT(Treinamentos[[#This Row],[Treinamento]],4))</f>
        <v>2016</v>
      </c>
      <c r="G67" s="50">
        <v>43347.583333333336</v>
      </c>
      <c r="H67" s="50">
        <v>43360.75</v>
      </c>
      <c r="I67" s="54">
        <f t="shared" si="13"/>
        <v>43347</v>
      </c>
      <c r="J67" s="54">
        <f t="shared" si="14"/>
        <v>43360</v>
      </c>
      <c r="K67" s="51" t="str">
        <f t="shared" si="15"/>
        <v>14:00</v>
      </c>
      <c r="L67" s="51">
        <f t="shared" si="16"/>
        <v>0.75</v>
      </c>
      <c r="M67" s="51" t="str">
        <f t="shared" si="17"/>
        <v>Tarde</v>
      </c>
      <c r="N67" s="51" t="str">
        <f t="shared" si="18"/>
        <v>Setembro</v>
      </c>
      <c r="O67" s="51" t="str">
        <f t="shared" si="19"/>
        <v>2018</v>
      </c>
      <c r="P67" s="49" t="s">
        <v>9</v>
      </c>
      <c r="Q67" s="49" t="s">
        <v>24</v>
      </c>
      <c r="R67" s="49" t="str">
        <f>INDEX(Tab_Instrutores[Estado],MATCH(Treinamentos[[#This Row],[Instrutor]],Tab_Instrutores[Instrutor],0))</f>
        <v>SP</v>
      </c>
      <c r="S67" s="49" t="s">
        <v>188</v>
      </c>
      <c r="T67" s="49">
        <v>9</v>
      </c>
      <c r="U67" s="63">
        <v>48</v>
      </c>
      <c r="V67" s="63">
        <f>+Treinamentos[[#This Row],[Alunos]]*Treinamentos[[#This Row],[Valor]]</f>
        <v>432</v>
      </c>
      <c r="W67" s="49"/>
    </row>
    <row r="68" spans="1:23" x14ac:dyDescent="0.25">
      <c r="A68" s="53">
        <v>5394</v>
      </c>
      <c r="B68" s="49" t="s">
        <v>22</v>
      </c>
      <c r="C68" s="49" t="str">
        <f>INDEX(Tab_Vendedores[Gestor],MATCH(Treinamentos[[#This Row],[Vendedor]],Tab_Vendedores[Nome],0))</f>
        <v>Janny Costa</v>
      </c>
      <c r="D68" s="49" t="s">
        <v>85</v>
      </c>
      <c r="E68" s="49" t="str">
        <f>LEFT(Treinamentos[[#This Row],[Treinamento]],SEARCH(" ",Treinamentos[[#This Row],[Treinamento]])-1)</f>
        <v>Outlook</v>
      </c>
      <c r="F68" s="49">
        <f>VALUE(RIGHT(Treinamentos[[#This Row],[Treinamento]],4))</f>
        <v>2016</v>
      </c>
      <c r="G68" s="50">
        <v>43348.375</v>
      </c>
      <c r="H68" s="50">
        <v>43354.75</v>
      </c>
      <c r="I68" s="54">
        <f t="shared" si="13"/>
        <v>43348</v>
      </c>
      <c r="J68" s="54">
        <f t="shared" si="14"/>
        <v>43354</v>
      </c>
      <c r="K68" s="51" t="str">
        <f t="shared" si="15"/>
        <v>09:00</v>
      </c>
      <c r="L68" s="51">
        <f t="shared" si="16"/>
        <v>0.75</v>
      </c>
      <c r="M68" s="51" t="str">
        <f t="shared" si="17"/>
        <v>Integral</v>
      </c>
      <c r="N68" s="51" t="str">
        <f t="shared" si="18"/>
        <v>Setembro</v>
      </c>
      <c r="O68" s="51" t="str">
        <f t="shared" si="19"/>
        <v>2018</v>
      </c>
      <c r="P68" s="49" t="s">
        <v>9</v>
      </c>
      <c r="Q68" s="49" t="s">
        <v>18</v>
      </c>
      <c r="R68" s="49" t="str">
        <f>INDEX(Tab_Instrutores[Estado],MATCH(Treinamentos[[#This Row],[Instrutor]],Tab_Instrutores[Instrutor],0))</f>
        <v>SP</v>
      </c>
      <c r="S68" s="49" t="s">
        <v>188</v>
      </c>
      <c r="T68" s="49">
        <v>11</v>
      </c>
      <c r="U68" s="63">
        <v>48</v>
      </c>
      <c r="V68" s="63">
        <f>+Treinamentos[[#This Row],[Alunos]]*Treinamentos[[#This Row],[Valor]]</f>
        <v>528</v>
      </c>
      <c r="W68" s="49"/>
    </row>
    <row r="69" spans="1:23" x14ac:dyDescent="0.25">
      <c r="A69" s="53">
        <v>5395</v>
      </c>
      <c r="B69" s="49" t="s">
        <v>45</v>
      </c>
      <c r="C69" s="49" t="str">
        <f>INDEX(Tab_Vendedores[Gestor],MATCH(Treinamentos[[#This Row],[Vendedor]],Tab_Vendedores[Nome],0))</f>
        <v>Alexandra Conceição</v>
      </c>
      <c r="D69" s="49" t="s">
        <v>80</v>
      </c>
      <c r="E69" s="49" t="str">
        <f>LEFT(Treinamentos[[#This Row],[Treinamento]],SEARCH(" ",Treinamentos[[#This Row],[Treinamento]])-1)</f>
        <v>DashBoard</v>
      </c>
      <c r="F69" s="49">
        <f>VALUE(RIGHT(Treinamentos[[#This Row],[Treinamento]],4))</f>
        <v>2016</v>
      </c>
      <c r="G69" s="50">
        <v>43349.333333333336</v>
      </c>
      <c r="H69" s="50">
        <v>43362.5</v>
      </c>
      <c r="I69" s="54">
        <f t="shared" si="13"/>
        <v>43349</v>
      </c>
      <c r="J69" s="54">
        <f t="shared" si="14"/>
        <v>43362</v>
      </c>
      <c r="K69" s="51" t="str">
        <f t="shared" si="15"/>
        <v>08:00</v>
      </c>
      <c r="L69" s="51">
        <f t="shared" si="16"/>
        <v>0.5</v>
      </c>
      <c r="M69" s="51" t="str">
        <f t="shared" si="17"/>
        <v>Manhã</v>
      </c>
      <c r="N69" s="51" t="str">
        <f t="shared" si="18"/>
        <v>Setembro</v>
      </c>
      <c r="O69" s="51" t="str">
        <f t="shared" si="19"/>
        <v>2018</v>
      </c>
      <c r="P69" s="49" t="s">
        <v>23</v>
      </c>
      <c r="Q69" s="49" t="s">
        <v>18</v>
      </c>
      <c r="R69" s="49" t="str">
        <f>INDEX(Tab_Instrutores[Estado],MATCH(Treinamentos[[#This Row],[Instrutor]],Tab_Instrutores[Instrutor],0))</f>
        <v>SP</v>
      </c>
      <c r="S69" s="49" t="s">
        <v>188</v>
      </c>
      <c r="T69" s="49">
        <v>8</v>
      </c>
      <c r="U69" s="63">
        <v>32</v>
      </c>
      <c r="V69" s="63">
        <f>+Treinamentos[[#This Row],[Alunos]]*Treinamentos[[#This Row],[Valor]]</f>
        <v>256</v>
      </c>
      <c r="W69" s="49"/>
    </row>
    <row r="70" spans="1:23" x14ac:dyDescent="0.25">
      <c r="A70" s="53">
        <v>5396</v>
      </c>
      <c r="B70" s="49" t="s">
        <v>11</v>
      </c>
      <c r="C70" s="49" t="str">
        <f>INDEX(Tab_Vendedores[Gestor],MATCH(Treinamentos[[#This Row],[Vendedor]],Tab_Vendedores[Nome],0))</f>
        <v>Marcelo Leal</v>
      </c>
      <c r="D70" s="49" t="s">
        <v>86</v>
      </c>
      <c r="E70" s="49" t="str">
        <f>LEFT(Treinamentos[[#This Row],[Treinamento]],SEARCH(" ",Treinamentos[[#This Row],[Treinamento]])-1)</f>
        <v>PowerPoint</v>
      </c>
      <c r="F70" s="49">
        <f>VALUE(RIGHT(Treinamentos[[#This Row],[Treinamento]],4))</f>
        <v>2016</v>
      </c>
      <c r="G70" s="50">
        <v>43350.375</v>
      </c>
      <c r="H70" s="50">
        <v>43355.75</v>
      </c>
      <c r="I70" s="54">
        <f t="shared" si="13"/>
        <v>43350</v>
      </c>
      <c r="J70" s="54">
        <f t="shared" si="14"/>
        <v>43355</v>
      </c>
      <c r="K70" s="51" t="str">
        <f t="shared" si="15"/>
        <v>09:00</v>
      </c>
      <c r="L70" s="51">
        <f t="shared" si="16"/>
        <v>0.75</v>
      </c>
      <c r="M70" s="51" t="str">
        <f t="shared" si="17"/>
        <v>Integral</v>
      </c>
      <c r="N70" s="51" t="str">
        <f t="shared" si="18"/>
        <v>Setembro</v>
      </c>
      <c r="O70" s="51" t="str">
        <f t="shared" si="19"/>
        <v>2018</v>
      </c>
      <c r="P70" s="49" t="s">
        <v>23</v>
      </c>
      <c r="Q70" s="49" t="s">
        <v>21</v>
      </c>
      <c r="R70" s="49" t="str">
        <f>INDEX(Tab_Instrutores[Estado],MATCH(Treinamentos[[#This Row],[Instrutor]],Tab_Instrutores[Instrutor],0))</f>
        <v>SP</v>
      </c>
      <c r="S70" s="49" t="s">
        <v>189</v>
      </c>
      <c r="T70" s="49">
        <v>9</v>
      </c>
      <c r="U70" s="63">
        <v>48</v>
      </c>
      <c r="V70" s="63">
        <f>+Treinamentos[[#This Row],[Alunos]]*Treinamentos[[#This Row],[Valor]]</f>
        <v>432</v>
      </c>
      <c r="W70" s="49"/>
    </row>
    <row r="71" spans="1:23" x14ac:dyDescent="0.25">
      <c r="A71" s="53">
        <v>5397</v>
      </c>
      <c r="B71" s="49" t="s">
        <v>17</v>
      </c>
      <c r="C71" s="49" t="str">
        <f>INDEX(Tab_Vendedores[Gestor],MATCH(Treinamentos[[#This Row],[Vendedor]],Tab_Vendedores[Nome],0))</f>
        <v>Janny Costa</v>
      </c>
      <c r="D71" s="49" t="s">
        <v>81</v>
      </c>
      <c r="E71" s="49" t="str">
        <f>LEFT(Treinamentos[[#This Row],[Treinamento]],SEARCH(" ",Treinamentos[[#This Row],[Treinamento]])-1)</f>
        <v>Excel</v>
      </c>
      <c r="F71" s="49">
        <f>VALUE(RIGHT(Treinamentos[[#This Row],[Treinamento]],4))</f>
        <v>2016</v>
      </c>
      <c r="G71" s="50">
        <v>43352.791666666664</v>
      </c>
      <c r="H71" s="50">
        <v>43363.958333333336</v>
      </c>
      <c r="I71" s="54">
        <f t="shared" si="13"/>
        <v>43352</v>
      </c>
      <c r="J71" s="54">
        <f t="shared" si="14"/>
        <v>43363</v>
      </c>
      <c r="K71" s="51" t="str">
        <f t="shared" si="15"/>
        <v>19:00</v>
      </c>
      <c r="L71" s="51">
        <f t="shared" si="16"/>
        <v>0.95833333333333337</v>
      </c>
      <c r="M71" s="51" t="str">
        <f t="shared" si="17"/>
        <v>Noite</v>
      </c>
      <c r="N71" s="51" t="str">
        <f t="shared" si="18"/>
        <v>Setembro</v>
      </c>
      <c r="O71" s="51" t="str">
        <f t="shared" si="19"/>
        <v>2018</v>
      </c>
      <c r="P71" s="49" t="s">
        <v>9</v>
      </c>
      <c r="Q71" s="49" t="s">
        <v>22</v>
      </c>
      <c r="R71" s="49" t="str">
        <f>INDEX(Tab_Instrutores[Estado],MATCH(Treinamentos[[#This Row],[Instrutor]],Tab_Instrutores[Instrutor],0))</f>
        <v>RJ</v>
      </c>
      <c r="S71" s="49" t="s">
        <v>189</v>
      </c>
      <c r="T71" s="49">
        <v>11</v>
      </c>
      <c r="U71" s="63">
        <v>43</v>
      </c>
      <c r="V71" s="63">
        <f>+Treinamentos[[#This Row],[Alunos]]*Treinamentos[[#This Row],[Valor]]</f>
        <v>473</v>
      </c>
      <c r="W71" s="49"/>
    </row>
    <row r="72" spans="1:23" x14ac:dyDescent="0.25">
      <c r="A72" s="53">
        <v>5398</v>
      </c>
      <c r="B72" s="49" t="s">
        <v>17</v>
      </c>
      <c r="C72" s="49" t="str">
        <f>INDEX(Tab_Vendedores[Gestor],MATCH(Treinamentos[[#This Row],[Vendedor]],Tab_Vendedores[Nome],0))</f>
        <v>Janny Costa</v>
      </c>
      <c r="D72" s="49" t="s">
        <v>82</v>
      </c>
      <c r="E72" s="49" t="str">
        <f>LEFT(Treinamentos[[#This Row],[Treinamento]],SEARCH(" ",Treinamentos[[#This Row],[Treinamento]])-1)</f>
        <v>Excel</v>
      </c>
      <c r="F72" s="49">
        <f>VALUE(RIGHT(Treinamentos[[#This Row],[Treinamento]],4))</f>
        <v>2016</v>
      </c>
      <c r="G72" s="50">
        <v>43352.791666666664</v>
      </c>
      <c r="H72" s="50">
        <v>43363.958333333336</v>
      </c>
      <c r="I72" s="54">
        <f t="shared" si="13"/>
        <v>43352</v>
      </c>
      <c r="J72" s="54">
        <f t="shared" si="14"/>
        <v>43363</v>
      </c>
      <c r="K72" s="51" t="str">
        <f t="shared" si="15"/>
        <v>19:00</v>
      </c>
      <c r="L72" s="51">
        <f t="shared" si="16"/>
        <v>0.95833333333333337</v>
      </c>
      <c r="M72" s="51" t="str">
        <f t="shared" si="17"/>
        <v>Noite</v>
      </c>
      <c r="N72" s="51" t="str">
        <f t="shared" si="18"/>
        <v>Setembro</v>
      </c>
      <c r="O72" s="51" t="str">
        <f t="shared" si="19"/>
        <v>2018</v>
      </c>
      <c r="P72" s="49" t="s">
        <v>23</v>
      </c>
      <c r="Q72" s="49" t="s">
        <v>22</v>
      </c>
      <c r="R72" s="49" t="str">
        <f>INDEX(Tab_Instrutores[Estado],MATCH(Treinamentos[[#This Row],[Instrutor]],Tab_Instrutores[Instrutor],0))</f>
        <v>RJ</v>
      </c>
      <c r="S72" s="49" t="s">
        <v>188</v>
      </c>
      <c r="T72" s="49">
        <v>9</v>
      </c>
      <c r="U72" s="63">
        <v>75</v>
      </c>
      <c r="V72" s="63">
        <f>+Treinamentos[[#This Row],[Alunos]]*Treinamentos[[#This Row],[Valor]]</f>
        <v>675</v>
      </c>
      <c r="W72" s="49"/>
    </row>
    <row r="73" spans="1:23" x14ac:dyDescent="0.25">
      <c r="A73" s="53">
        <v>5399</v>
      </c>
      <c r="B73" s="49" t="s">
        <v>19</v>
      </c>
      <c r="C73" s="49" t="str">
        <f>INDEX(Tab_Vendedores[Gestor],MATCH(Treinamentos[[#This Row],[Vendedor]],Tab_Vendedores[Nome],0))</f>
        <v>Janny Costa</v>
      </c>
      <c r="D73" s="49" t="s">
        <v>85</v>
      </c>
      <c r="E73" s="49" t="str">
        <f>LEFT(Treinamentos[[#This Row],[Treinamento]],SEARCH(" ",Treinamentos[[#This Row],[Treinamento]])-1)</f>
        <v>Outlook</v>
      </c>
      <c r="F73" s="49">
        <f>VALUE(RIGHT(Treinamentos[[#This Row],[Treinamento]],4))</f>
        <v>2016</v>
      </c>
      <c r="G73" s="50">
        <v>43353.791666666664</v>
      </c>
      <c r="H73" s="50">
        <v>43366.958333333336</v>
      </c>
      <c r="I73" s="54">
        <f t="shared" si="13"/>
        <v>43353</v>
      </c>
      <c r="J73" s="54">
        <f t="shared" si="14"/>
        <v>43366</v>
      </c>
      <c r="K73" s="51" t="str">
        <f t="shared" si="15"/>
        <v>19:00</v>
      </c>
      <c r="L73" s="51">
        <f t="shared" si="16"/>
        <v>0.95833333333333337</v>
      </c>
      <c r="M73" s="51" t="str">
        <f t="shared" si="17"/>
        <v>Noite</v>
      </c>
      <c r="N73" s="51" t="str">
        <f t="shared" si="18"/>
        <v>Setembro</v>
      </c>
      <c r="O73" s="51" t="str">
        <f t="shared" si="19"/>
        <v>2018</v>
      </c>
      <c r="P73" s="49" t="s">
        <v>23</v>
      </c>
      <c r="Q73" s="49" t="s">
        <v>16</v>
      </c>
      <c r="R73" s="49" t="str">
        <f>INDEX(Tab_Instrutores[Estado],MATCH(Treinamentos[[#This Row],[Instrutor]],Tab_Instrutores[Instrutor],0))</f>
        <v>RJ</v>
      </c>
      <c r="S73" s="49" t="s">
        <v>186</v>
      </c>
      <c r="T73" s="49">
        <v>10</v>
      </c>
      <c r="U73" s="63">
        <v>48</v>
      </c>
      <c r="V73" s="63">
        <f>+Treinamentos[[#This Row],[Alunos]]*Treinamentos[[#This Row],[Valor]]</f>
        <v>480</v>
      </c>
      <c r="W73" s="49"/>
    </row>
    <row r="74" spans="1:23" x14ac:dyDescent="0.25">
      <c r="A74" s="53">
        <v>5400</v>
      </c>
      <c r="B74" s="49" t="s">
        <v>14</v>
      </c>
      <c r="C74" s="49" t="str">
        <f>INDEX(Tab_Vendedores[Gestor],MATCH(Treinamentos[[#This Row],[Vendedor]],Tab_Vendedores[Nome],0))</f>
        <v>Marcelo Leal</v>
      </c>
      <c r="D74" s="49" t="s">
        <v>78</v>
      </c>
      <c r="E74" s="49" t="str">
        <f>LEFT(Treinamentos[[#This Row],[Treinamento]],SEARCH(" ",Treinamentos[[#This Row],[Treinamento]])-1)</f>
        <v>Excel</v>
      </c>
      <c r="F74" s="49">
        <f>VALUE(RIGHT(Treinamentos[[#This Row],[Treinamento]],4))</f>
        <v>2016</v>
      </c>
      <c r="G74" s="50">
        <v>43354.583333333336</v>
      </c>
      <c r="H74" s="50">
        <v>43367.75</v>
      </c>
      <c r="I74" s="54">
        <f t="shared" si="13"/>
        <v>43354</v>
      </c>
      <c r="J74" s="54">
        <f t="shared" si="14"/>
        <v>43367</v>
      </c>
      <c r="K74" s="51" t="str">
        <f t="shared" si="15"/>
        <v>14:00</v>
      </c>
      <c r="L74" s="51">
        <f t="shared" si="16"/>
        <v>0.75</v>
      </c>
      <c r="M74" s="51" t="str">
        <f t="shared" si="17"/>
        <v>Tarde</v>
      </c>
      <c r="N74" s="51" t="str">
        <f t="shared" si="18"/>
        <v>Setembro</v>
      </c>
      <c r="O74" s="51" t="str">
        <f t="shared" si="19"/>
        <v>2018</v>
      </c>
      <c r="P74" s="49" t="s">
        <v>9</v>
      </c>
      <c r="Q74" s="49" t="s">
        <v>16</v>
      </c>
      <c r="R74" s="49" t="str">
        <f>INDEX(Tab_Instrutores[Estado],MATCH(Treinamentos[[#This Row],[Instrutor]],Tab_Instrutores[Instrutor],0))</f>
        <v>RJ</v>
      </c>
      <c r="S74" s="49" t="s">
        <v>188</v>
      </c>
      <c r="T74" s="49">
        <v>9</v>
      </c>
      <c r="U74" s="63">
        <v>62</v>
      </c>
      <c r="V74" s="63">
        <f>+Treinamentos[[#This Row],[Alunos]]*Treinamentos[[#This Row],[Valor]]</f>
        <v>558</v>
      </c>
      <c r="W74" s="49"/>
    </row>
    <row r="75" spans="1:23" x14ac:dyDescent="0.25">
      <c r="A75" s="53">
        <v>5401</v>
      </c>
      <c r="B75" s="49" t="s">
        <v>45</v>
      </c>
      <c r="C75" s="49" t="str">
        <f>INDEX(Tab_Vendedores[Gestor],MATCH(Treinamentos[[#This Row],[Vendedor]],Tab_Vendedores[Nome],0))</f>
        <v>Alexandra Conceição</v>
      </c>
      <c r="D75" s="49" t="s">
        <v>85</v>
      </c>
      <c r="E75" s="49" t="str">
        <f>LEFT(Treinamentos[[#This Row],[Treinamento]],SEARCH(" ",Treinamentos[[#This Row],[Treinamento]])-1)</f>
        <v>Outlook</v>
      </c>
      <c r="F75" s="49">
        <f>VALUE(RIGHT(Treinamentos[[#This Row],[Treinamento]],4))</f>
        <v>2016</v>
      </c>
      <c r="G75" s="50">
        <v>43355.375</v>
      </c>
      <c r="H75" s="50">
        <v>43361.75</v>
      </c>
      <c r="I75" s="54">
        <f t="shared" si="13"/>
        <v>43355</v>
      </c>
      <c r="J75" s="54">
        <f t="shared" si="14"/>
        <v>43361</v>
      </c>
      <c r="K75" s="51" t="str">
        <f t="shared" si="15"/>
        <v>09:00</v>
      </c>
      <c r="L75" s="51">
        <f t="shared" si="16"/>
        <v>0.75</v>
      </c>
      <c r="M75" s="51" t="str">
        <f t="shared" si="17"/>
        <v>Integral</v>
      </c>
      <c r="N75" s="51" t="str">
        <f t="shared" si="18"/>
        <v>Setembro</v>
      </c>
      <c r="O75" s="51" t="str">
        <f t="shared" si="19"/>
        <v>2018</v>
      </c>
      <c r="P75" s="49" t="s">
        <v>23</v>
      </c>
      <c r="Q75" s="49" t="s">
        <v>18</v>
      </c>
      <c r="R75" s="49" t="str">
        <f>INDEX(Tab_Instrutores[Estado],MATCH(Treinamentos[[#This Row],[Instrutor]],Tab_Instrutores[Instrutor],0))</f>
        <v>SP</v>
      </c>
      <c r="S75" s="49" t="s">
        <v>188</v>
      </c>
      <c r="T75" s="49">
        <v>10</v>
      </c>
      <c r="U75" s="63">
        <v>48</v>
      </c>
      <c r="V75" s="63">
        <f>+Treinamentos[[#This Row],[Alunos]]*Treinamentos[[#This Row],[Valor]]</f>
        <v>480</v>
      </c>
      <c r="W75" s="49"/>
    </row>
    <row r="76" spans="1:23" x14ac:dyDescent="0.25">
      <c r="A76" s="53">
        <v>5402</v>
      </c>
      <c r="B76" s="49" t="s">
        <v>11</v>
      </c>
      <c r="C76" s="49" t="str">
        <f>INDEX(Tab_Vendedores[Gestor],MATCH(Treinamentos[[#This Row],[Vendedor]],Tab_Vendedores[Nome],0))</f>
        <v>Marcelo Leal</v>
      </c>
      <c r="D76" s="49" t="s">
        <v>77</v>
      </c>
      <c r="E76" s="49" t="str">
        <f>LEFT(Treinamentos[[#This Row],[Treinamento]],SEARCH(" ",Treinamentos[[#This Row],[Treinamento]])-1)</f>
        <v>Excel</v>
      </c>
      <c r="F76" s="49">
        <f>VALUE(RIGHT(Treinamentos[[#This Row],[Treinamento]],4))</f>
        <v>2016</v>
      </c>
      <c r="G76" s="50">
        <v>43356.333333333336</v>
      </c>
      <c r="H76" s="50">
        <v>43369.5</v>
      </c>
      <c r="I76" s="54">
        <f t="shared" si="13"/>
        <v>43356</v>
      </c>
      <c r="J76" s="54">
        <f t="shared" si="14"/>
        <v>43369</v>
      </c>
      <c r="K76" s="51" t="str">
        <f t="shared" si="15"/>
        <v>08:00</v>
      </c>
      <c r="L76" s="51">
        <f t="shared" si="16"/>
        <v>0.5</v>
      </c>
      <c r="M76" s="51" t="str">
        <f t="shared" si="17"/>
        <v>Manhã</v>
      </c>
      <c r="N76" s="51" t="str">
        <f t="shared" si="18"/>
        <v>Setembro</v>
      </c>
      <c r="O76" s="51" t="str">
        <f t="shared" si="19"/>
        <v>2018</v>
      </c>
      <c r="P76" s="49" t="s">
        <v>9</v>
      </c>
      <c r="Q76" s="49" t="s">
        <v>38</v>
      </c>
      <c r="R76" s="49" t="str">
        <f>INDEX(Tab_Instrutores[Estado],MATCH(Treinamentos[[#This Row],[Instrutor]],Tab_Instrutores[Instrutor],0))</f>
        <v>SP</v>
      </c>
      <c r="S76" s="49" t="s">
        <v>189</v>
      </c>
      <c r="T76" s="49">
        <v>12</v>
      </c>
      <c r="U76" s="63">
        <v>35</v>
      </c>
      <c r="V76" s="63">
        <f>+Treinamentos[[#This Row],[Alunos]]*Treinamentos[[#This Row],[Valor]]</f>
        <v>420</v>
      </c>
      <c r="W76" s="49"/>
    </row>
    <row r="77" spans="1:23" x14ac:dyDescent="0.25">
      <c r="A77" s="53">
        <v>5403</v>
      </c>
      <c r="B77" s="49" t="s">
        <v>45</v>
      </c>
      <c r="C77" s="49" t="str">
        <f>INDEX(Tab_Vendedores[Gestor],MATCH(Treinamentos[[#This Row],[Vendedor]],Tab_Vendedores[Nome],0))</f>
        <v>Alexandra Conceição</v>
      </c>
      <c r="D77" s="49" t="s">
        <v>86</v>
      </c>
      <c r="E77" s="49" t="str">
        <f>LEFT(Treinamentos[[#This Row],[Treinamento]],SEARCH(" ",Treinamentos[[#This Row],[Treinamento]])-1)</f>
        <v>PowerPoint</v>
      </c>
      <c r="F77" s="49">
        <f>VALUE(RIGHT(Treinamentos[[#This Row],[Treinamento]],4))</f>
        <v>2016</v>
      </c>
      <c r="G77" s="50">
        <v>43357.375</v>
      </c>
      <c r="H77" s="50">
        <v>43362.75</v>
      </c>
      <c r="I77" s="54">
        <f t="shared" si="13"/>
        <v>43357</v>
      </c>
      <c r="J77" s="54">
        <f t="shared" si="14"/>
        <v>43362</v>
      </c>
      <c r="K77" s="51" t="str">
        <f t="shared" si="15"/>
        <v>09:00</v>
      </c>
      <c r="L77" s="51">
        <f t="shared" si="16"/>
        <v>0.75</v>
      </c>
      <c r="M77" s="51" t="str">
        <f t="shared" si="17"/>
        <v>Integral</v>
      </c>
      <c r="N77" s="51" t="str">
        <f t="shared" si="18"/>
        <v>Setembro</v>
      </c>
      <c r="O77" s="51" t="str">
        <f t="shared" si="19"/>
        <v>2018</v>
      </c>
      <c r="P77" s="49" t="s">
        <v>23</v>
      </c>
      <c r="Q77" s="49" t="s">
        <v>16</v>
      </c>
      <c r="R77" s="49" t="str">
        <f>INDEX(Tab_Instrutores[Estado],MATCH(Treinamentos[[#This Row],[Instrutor]],Tab_Instrutores[Instrutor],0))</f>
        <v>RJ</v>
      </c>
      <c r="S77" s="49" t="s">
        <v>186</v>
      </c>
      <c r="T77" s="49">
        <v>11</v>
      </c>
      <c r="U77" s="63">
        <v>48</v>
      </c>
      <c r="V77" s="63">
        <f>+Treinamentos[[#This Row],[Alunos]]*Treinamentos[[#This Row],[Valor]]</f>
        <v>528</v>
      </c>
      <c r="W77" s="49"/>
    </row>
    <row r="78" spans="1:23" x14ac:dyDescent="0.25">
      <c r="A78" s="53">
        <v>5404</v>
      </c>
      <c r="B78" s="49" t="s">
        <v>45</v>
      </c>
      <c r="C78" s="49" t="str">
        <f>INDEX(Tab_Vendedores[Gestor],MATCH(Treinamentos[[#This Row],[Vendedor]],Tab_Vendedores[Nome],0))</f>
        <v>Alexandra Conceição</v>
      </c>
      <c r="D78" s="49" t="s">
        <v>77</v>
      </c>
      <c r="E78" s="49" t="str">
        <f>LEFT(Treinamentos[[#This Row],[Treinamento]],SEARCH(" ",Treinamentos[[#This Row],[Treinamento]])-1)</f>
        <v>Excel</v>
      </c>
      <c r="F78" s="49">
        <f>VALUE(RIGHT(Treinamentos[[#This Row],[Treinamento]],4))</f>
        <v>2016</v>
      </c>
      <c r="G78" s="50">
        <v>43359.791666666664</v>
      </c>
      <c r="H78" s="50">
        <v>43370.958333333336</v>
      </c>
      <c r="I78" s="54">
        <f t="shared" si="13"/>
        <v>43359</v>
      </c>
      <c r="J78" s="54">
        <f t="shared" si="14"/>
        <v>43370</v>
      </c>
      <c r="K78" s="51" t="str">
        <f t="shared" si="15"/>
        <v>19:00</v>
      </c>
      <c r="L78" s="51">
        <f t="shared" si="16"/>
        <v>0.95833333333333337</v>
      </c>
      <c r="M78" s="51" t="str">
        <f t="shared" si="17"/>
        <v>Noite</v>
      </c>
      <c r="N78" s="51" t="str">
        <f t="shared" si="18"/>
        <v>Setembro</v>
      </c>
      <c r="O78" s="51" t="str">
        <f t="shared" si="19"/>
        <v>2018</v>
      </c>
      <c r="P78" s="49" t="s">
        <v>9</v>
      </c>
      <c r="Q78" s="49" t="s">
        <v>18</v>
      </c>
      <c r="R78" s="49" t="str">
        <f>INDEX(Tab_Instrutores[Estado],MATCH(Treinamentos[[#This Row],[Instrutor]],Tab_Instrutores[Instrutor],0))</f>
        <v>SP</v>
      </c>
      <c r="S78" s="49" t="s">
        <v>186</v>
      </c>
      <c r="T78" s="49">
        <v>9</v>
      </c>
      <c r="U78" s="63">
        <v>35</v>
      </c>
      <c r="V78" s="63">
        <f>+Treinamentos[[#This Row],[Alunos]]*Treinamentos[[#This Row],[Valor]]</f>
        <v>315</v>
      </c>
      <c r="W78" s="49"/>
    </row>
    <row r="79" spans="1:23" x14ac:dyDescent="0.25">
      <c r="A79" s="53">
        <v>5405</v>
      </c>
      <c r="B79" s="49" t="s">
        <v>17</v>
      </c>
      <c r="C79" s="49" t="str">
        <f>INDEX(Tab_Vendedores[Gestor],MATCH(Treinamentos[[#This Row],[Vendedor]],Tab_Vendedores[Nome],0))</f>
        <v>Janny Costa</v>
      </c>
      <c r="D79" s="49" t="s">
        <v>79</v>
      </c>
      <c r="E79" s="49" t="str">
        <f>LEFT(Treinamentos[[#This Row],[Treinamento]],SEARCH(" ",Treinamentos[[#This Row],[Treinamento]])-1)</f>
        <v>Word</v>
      </c>
      <c r="F79" s="49">
        <f>VALUE(RIGHT(Treinamentos[[#This Row],[Treinamento]],4))</f>
        <v>2016</v>
      </c>
      <c r="G79" s="50">
        <v>43359.791666666664</v>
      </c>
      <c r="H79" s="50">
        <v>43370.958333333336</v>
      </c>
      <c r="I79" s="54">
        <f t="shared" si="13"/>
        <v>43359</v>
      </c>
      <c r="J79" s="54">
        <f t="shared" si="14"/>
        <v>43370</v>
      </c>
      <c r="K79" s="51" t="str">
        <f t="shared" si="15"/>
        <v>19:00</v>
      </c>
      <c r="L79" s="51">
        <f t="shared" si="16"/>
        <v>0.95833333333333337</v>
      </c>
      <c r="M79" s="51" t="str">
        <f t="shared" si="17"/>
        <v>Noite</v>
      </c>
      <c r="N79" s="51" t="str">
        <f t="shared" si="18"/>
        <v>Setembro</v>
      </c>
      <c r="O79" s="51" t="str">
        <f t="shared" si="19"/>
        <v>2018</v>
      </c>
      <c r="P79" s="49" t="s">
        <v>23</v>
      </c>
      <c r="Q79" s="49" t="s">
        <v>16</v>
      </c>
      <c r="R79" s="49" t="str">
        <f>INDEX(Tab_Instrutores[Estado],MATCH(Treinamentos[[#This Row],[Instrutor]],Tab_Instrutores[Instrutor],0))</f>
        <v>RJ</v>
      </c>
      <c r="S79" s="49" t="s">
        <v>189</v>
      </c>
      <c r="T79" s="49">
        <v>9</v>
      </c>
      <c r="U79" s="63">
        <v>48</v>
      </c>
      <c r="V79" s="63">
        <f>+Treinamentos[[#This Row],[Alunos]]*Treinamentos[[#This Row],[Valor]]</f>
        <v>432</v>
      </c>
      <c r="W79" s="49"/>
    </row>
    <row r="80" spans="1:23" x14ac:dyDescent="0.25">
      <c r="A80" s="53">
        <v>5406</v>
      </c>
      <c r="B80" s="49" t="s">
        <v>39</v>
      </c>
      <c r="C80" s="49" t="str">
        <f>INDEX(Tab_Vendedores[Gestor],MATCH(Treinamentos[[#This Row],[Vendedor]],Tab_Vendedores[Nome],0))</f>
        <v>Alexandra Conceição</v>
      </c>
      <c r="D80" s="49" t="s">
        <v>82</v>
      </c>
      <c r="E80" s="49" t="str">
        <f>LEFT(Treinamentos[[#This Row],[Treinamento]],SEARCH(" ",Treinamentos[[#This Row],[Treinamento]])-1)</f>
        <v>Excel</v>
      </c>
      <c r="F80" s="49">
        <f>VALUE(RIGHT(Treinamentos[[#This Row],[Treinamento]],4))</f>
        <v>2016</v>
      </c>
      <c r="G80" s="50">
        <v>43360.791666666664</v>
      </c>
      <c r="H80" s="50">
        <v>43373.958333333336</v>
      </c>
      <c r="I80" s="54">
        <f t="shared" si="13"/>
        <v>43360</v>
      </c>
      <c r="J80" s="54">
        <f t="shared" si="14"/>
        <v>43373</v>
      </c>
      <c r="K80" s="51" t="str">
        <f t="shared" si="15"/>
        <v>19:00</v>
      </c>
      <c r="L80" s="51">
        <f t="shared" si="16"/>
        <v>0.95833333333333337</v>
      </c>
      <c r="M80" s="51" t="str">
        <f t="shared" si="17"/>
        <v>Noite</v>
      </c>
      <c r="N80" s="51" t="str">
        <f t="shared" si="18"/>
        <v>Setembro</v>
      </c>
      <c r="O80" s="51" t="str">
        <f t="shared" si="19"/>
        <v>2018</v>
      </c>
      <c r="P80" s="49" t="s">
        <v>9</v>
      </c>
      <c r="Q80" s="49" t="s">
        <v>190</v>
      </c>
      <c r="R80" s="49" t="str">
        <f>INDEX(Tab_Instrutores[Estado],MATCH(Treinamentos[[#This Row],[Instrutor]],Tab_Instrutores[Instrutor],0))</f>
        <v>RJ</v>
      </c>
      <c r="S80" s="49" t="s">
        <v>187</v>
      </c>
      <c r="T80" s="49">
        <v>8</v>
      </c>
      <c r="U80" s="63">
        <v>75</v>
      </c>
      <c r="V80" s="63">
        <f>+Treinamentos[[#This Row],[Alunos]]*Treinamentos[[#This Row],[Valor]]</f>
        <v>600</v>
      </c>
      <c r="W80" s="49"/>
    </row>
    <row r="81" spans="1:23" x14ac:dyDescent="0.25">
      <c r="A81" s="53">
        <v>5407</v>
      </c>
      <c r="B81" s="49" t="s">
        <v>22</v>
      </c>
      <c r="C81" s="49" t="str">
        <f>INDEX(Tab_Vendedores[Gestor],MATCH(Treinamentos[[#This Row],[Vendedor]],Tab_Vendedores[Nome],0))</f>
        <v>Janny Costa</v>
      </c>
      <c r="D81" s="49" t="s">
        <v>82</v>
      </c>
      <c r="E81" s="49" t="str">
        <f>LEFT(Treinamentos[[#This Row],[Treinamento]],SEARCH(" ",Treinamentos[[#This Row],[Treinamento]])-1)</f>
        <v>Excel</v>
      </c>
      <c r="F81" s="49">
        <f>VALUE(RIGHT(Treinamentos[[#This Row],[Treinamento]],4))</f>
        <v>2016</v>
      </c>
      <c r="G81" s="50">
        <v>43361.583333333336</v>
      </c>
      <c r="H81" s="50">
        <v>43374.75</v>
      </c>
      <c r="I81" s="54">
        <f t="shared" si="13"/>
        <v>43361</v>
      </c>
      <c r="J81" s="54">
        <f t="shared" si="14"/>
        <v>43374</v>
      </c>
      <c r="K81" s="51" t="str">
        <f t="shared" si="15"/>
        <v>14:00</v>
      </c>
      <c r="L81" s="51">
        <f t="shared" si="16"/>
        <v>0.75</v>
      </c>
      <c r="M81" s="51" t="str">
        <f t="shared" si="17"/>
        <v>Tarde</v>
      </c>
      <c r="N81" s="51" t="str">
        <f t="shared" si="18"/>
        <v>Setembro</v>
      </c>
      <c r="O81" s="51" t="str">
        <f t="shared" si="19"/>
        <v>2018</v>
      </c>
      <c r="P81" s="49" t="s">
        <v>23</v>
      </c>
      <c r="Q81" s="49" t="s">
        <v>16</v>
      </c>
      <c r="R81" s="49" t="str">
        <f>INDEX(Tab_Instrutores[Estado],MATCH(Treinamentos[[#This Row],[Instrutor]],Tab_Instrutores[Instrutor],0))</f>
        <v>RJ</v>
      </c>
      <c r="S81" s="49" t="s">
        <v>188</v>
      </c>
      <c r="T81" s="49">
        <v>8</v>
      </c>
      <c r="U81" s="63">
        <v>75</v>
      </c>
      <c r="V81" s="63">
        <f>+Treinamentos[[#This Row],[Alunos]]*Treinamentos[[#This Row],[Valor]]</f>
        <v>600</v>
      </c>
      <c r="W81" s="49"/>
    </row>
    <row r="82" spans="1:23" x14ac:dyDescent="0.25">
      <c r="A82" s="53">
        <v>5408</v>
      </c>
      <c r="B82" s="49" t="s">
        <v>45</v>
      </c>
      <c r="C82" s="49" t="str">
        <f>INDEX(Tab_Vendedores[Gestor],MATCH(Treinamentos[[#This Row],[Vendedor]],Tab_Vendedores[Nome],0))</f>
        <v>Alexandra Conceição</v>
      </c>
      <c r="D82" s="49" t="s">
        <v>80</v>
      </c>
      <c r="E82" s="49" t="str">
        <f>LEFT(Treinamentos[[#This Row],[Treinamento]],SEARCH(" ",Treinamentos[[#This Row],[Treinamento]])-1)</f>
        <v>DashBoard</v>
      </c>
      <c r="F82" s="49">
        <f>VALUE(RIGHT(Treinamentos[[#This Row],[Treinamento]],4))</f>
        <v>2016</v>
      </c>
      <c r="G82" s="50">
        <v>43362.375</v>
      </c>
      <c r="H82" s="50">
        <v>43368.75</v>
      </c>
      <c r="I82" s="54">
        <f t="shared" si="13"/>
        <v>43362</v>
      </c>
      <c r="J82" s="54">
        <f t="shared" si="14"/>
        <v>43368</v>
      </c>
      <c r="K82" s="51" t="str">
        <f t="shared" si="15"/>
        <v>09:00</v>
      </c>
      <c r="L82" s="51">
        <f t="shared" si="16"/>
        <v>0.75</v>
      </c>
      <c r="M82" s="51" t="str">
        <f t="shared" si="17"/>
        <v>Integral</v>
      </c>
      <c r="N82" s="51" t="str">
        <f t="shared" si="18"/>
        <v>Setembro</v>
      </c>
      <c r="O82" s="51" t="str">
        <f t="shared" si="19"/>
        <v>2018</v>
      </c>
      <c r="P82" s="49" t="s">
        <v>9</v>
      </c>
      <c r="Q82" s="49" t="s">
        <v>16</v>
      </c>
      <c r="R82" s="49" t="str">
        <f>INDEX(Tab_Instrutores[Estado],MATCH(Treinamentos[[#This Row],[Instrutor]],Tab_Instrutores[Instrutor],0))</f>
        <v>RJ</v>
      </c>
      <c r="S82" s="49" t="s">
        <v>188</v>
      </c>
      <c r="T82" s="49">
        <v>8</v>
      </c>
      <c r="U82" s="63">
        <v>32</v>
      </c>
      <c r="V82" s="63">
        <f>+Treinamentos[[#This Row],[Alunos]]*Treinamentos[[#This Row],[Valor]]</f>
        <v>256</v>
      </c>
      <c r="W82" s="49"/>
    </row>
    <row r="83" spans="1:23" x14ac:dyDescent="0.25">
      <c r="A83" s="53">
        <v>5409</v>
      </c>
      <c r="B83" s="49" t="s">
        <v>11</v>
      </c>
      <c r="C83" s="49" t="str">
        <f>INDEX(Tab_Vendedores[Gestor],MATCH(Treinamentos[[#This Row],[Vendedor]],Tab_Vendedores[Nome],0))</f>
        <v>Marcelo Leal</v>
      </c>
      <c r="D83" s="49" t="s">
        <v>85</v>
      </c>
      <c r="E83" s="49" t="str">
        <f>LEFT(Treinamentos[[#This Row],[Treinamento]],SEARCH(" ",Treinamentos[[#This Row],[Treinamento]])-1)</f>
        <v>Outlook</v>
      </c>
      <c r="F83" s="49">
        <f>VALUE(RIGHT(Treinamentos[[#This Row],[Treinamento]],4))</f>
        <v>2016</v>
      </c>
      <c r="G83" s="50">
        <v>43363.333333333336</v>
      </c>
      <c r="H83" s="50">
        <v>43376.5</v>
      </c>
      <c r="I83" s="54">
        <f t="shared" si="13"/>
        <v>43363</v>
      </c>
      <c r="J83" s="54">
        <f t="shared" si="14"/>
        <v>43376</v>
      </c>
      <c r="K83" s="51" t="str">
        <f t="shared" si="15"/>
        <v>08:00</v>
      </c>
      <c r="L83" s="51">
        <f t="shared" si="16"/>
        <v>0.5</v>
      </c>
      <c r="M83" s="51" t="str">
        <f t="shared" si="17"/>
        <v>Manhã</v>
      </c>
      <c r="N83" s="51" t="str">
        <f t="shared" si="18"/>
        <v>Setembro</v>
      </c>
      <c r="O83" s="51" t="str">
        <f t="shared" si="19"/>
        <v>2018</v>
      </c>
      <c r="P83" s="49" t="s">
        <v>23</v>
      </c>
      <c r="Q83" s="49" t="s">
        <v>12</v>
      </c>
      <c r="R83" s="49" t="str">
        <f>INDEX(Tab_Instrutores[Estado],MATCH(Treinamentos[[#This Row],[Instrutor]],Tab_Instrutores[Instrutor],0))</f>
        <v>SP</v>
      </c>
      <c r="S83" s="49" t="s">
        <v>189</v>
      </c>
      <c r="T83" s="49">
        <v>12</v>
      </c>
      <c r="U83" s="63">
        <v>48</v>
      </c>
      <c r="V83" s="63">
        <f>+Treinamentos[[#This Row],[Alunos]]*Treinamentos[[#This Row],[Valor]]</f>
        <v>576</v>
      </c>
      <c r="W83" s="49"/>
    </row>
    <row r="84" spans="1:23" x14ac:dyDescent="0.25">
      <c r="A84" s="53">
        <v>5410</v>
      </c>
      <c r="B84" s="49" t="s">
        <v>29</v>
      </c>
      <c r="C84" s="49" t="str">
        <f>INDEX(Tab_Vendedores[Gestor],MATCH(Treinamentos[[#This Row],[Vendedor]],Tab_Vendedores[Nome],0))</f>
        <v>Alexandra Conceição</v>
      </c>
      <c r="D84" s="49" t="s">
        <v>78</v>
      </c>
      <c r="E84" s="49" t="str">
        <f>LEFT(Treinamentos[[#This Row],[Treinamento]],SEARCH(" ",Treinamentos[[#This Row],[Treinamento]])-1)</f>
        <v>Excel</v>
      </c>
      <c r="F84" s="49">
        <f>VALUE(RIGHT(Treinamentos[[#This Row],[Treinamento]],4))</f>
        <v>2016</v>
      </c>
      <c r="G84" s="50">
        <v>43364.375</v>
      </c>
      <c r="H84" s="50">
        <v>43369.75</v>
      </c>
      <c r="I84" s="54">
        <f t="shared" si="13"/>
        <v>43364</v>
      </c>
      <c r="J84" s="54">
        <f t="shared" si="14"/>
        <v>43369</v>
      </c>
      <c r="K84" s="51" t="str">
        <f t="shared" si="15"/>
        <v>09:00</v>
      </c>
      <c r="L84" s="51">
        <f t="shared" si="16"/>
        <v>0.75</v>
      </c>
      <c r="M84" s="51" t="str">
        <f t="shared" si="17"/>
        <v>Integral</v>
      </c>
      <c r="N84" s="51" t="str">
        <f t="shared" si="18"/>
        <v>Setembro</v>
      </c>
      <c r="O84" s="51" t="str">
        <f t="shared" si="19"/>
        <v>2018</v>
      </c>
      <c r="P84" s="49" t="s">
        <v>9</v>
      </c>
      <c r="Q84" s="49" t="s">
        <v>44</v>
      </c>
      <c r="R84" s="49" t="str">
        <f>INDEX(Tab_Instrutores[Estado],MATCH(Treinamentos[[#This Row],[Instrutor]],Tab_Instrutores[Instrutor],0))</f>
        <v>SP</v>
      </c>
      <c r="S84" s="49" t="s">
        <v>186</v>
      </c>
      <c r="T84" s="49">
        <v>11</v>
      </c>
      <c r="U84" s="63">
        <v>62</v>
      </c>
      <c r="V84" s="63">
        <f>+Treinamentos[[#This Row],[Alunos]]*Treinamentos[[#This Row],[Valor]]</f>
        <v>682</v>
      </c>
      <c r="W84" s="49"/>
    </row>
    <row r="85" spans="1:23" x14ac:dyDescent="0.25">
      <c r="A85" s="53">
        <v>5411</v>
      </c>
      <c r="B85" s="49" t="s">
        <v>22</v>
      </c>
      <c r="C85" s="49" t="str">
        <f>INDEX(Tab_Vendedores[Gestor],MATCH(Treinamentos[[#This Row],[Vendedor]],Tab_Vendedores[Nome],0))</f>
        <v>Janny Costa</v>
      </c>
      <c r="D85" s="49" t="s">
        <v>89</v>
      </c>
      <c r="E85" s="49" t="str">
        <f>LEFT(Treinamentos[[#This Row],[Treinamento]],SEARCH(" ",Treinamentos[[#This Row],[Treinamento]])-1)</f>
        <v>PowerPoint</v>
      </c>
      <c r="F85" s="49">
        <f>VALUE(RIGHT(Treinamentos[[#This Row],[Treinamento]],4))</f>
        <v>2016</v>
      </c>
      <c r="G85" s="50">
        <v>43366.791666666664</v>
      </c>
      <c r="H85" s="50">
        <v>43377.958333333336</v>
      </c>
      <c r="I85" s="54">
        <f t="shared" si="13"/>
        <v>43366</v>
      </c>
      <c r="J85" s="54">
        <f t="shared" si="14"/>
        <v>43377</v>
      </c>
      <c r="K85" s="51" t="str">
        <f t="shared" si="15"/>
        <v>19:00</v>
      </c>
      <c r="L85" s="51">
        <f t="shared" si="16"/>
        <v>0.95833333333333337</v>
      </c>
      <c r="M85" s="51" t="str">
        <f t="shared" si="17"/>
        <v>Noite</v>
      </c>
      <c r="N85" s="51" t="str">
        <f t="shared" si="18"/>
        <v>Setembro</v>
      </c>
      <c r="O85" s="51" t="str">
        <f t="shared" si="19"/>
        <v>2018</v>
      </c>
      <c r="P85" s="49" t="s">
        <v>23</v>
      </c>
      <c r="Q85" s="49" t="s">
        <v>190</v>
      </c>
      <c r="R85" s="49" t="str">
        <f>INDEX(Tab_Instrutores[Estado],MATCH(Treinamentos[[#This Row],[Instrutor]],Tab_Instrutores[Instrutor],0))</f>
        <v>RJ</v>
      </c>
      <c r="S85" s="49" t="s">
        <v>188</v>
      </c>
      <c r="T85" s="49">
        <v>10</v>
      </c>
      <c r="U85" s="63">
        <v>62</v>
      </c>
      <c r="V85" s="63">
        <f>+Treinamentos[[#This Row],[Alunos]]*Treinamentos[[#This Row],[Valor]]</f>
        <v>620</v>
      </c>
      <c r="W85" s="49"/>
    </row>
    <row r="86" spans="1:23" x14ac:dyDescent="0.25">
      <c r="A86" s="53">
        <v>5412</v>
      </c>
      <c r="B86" s="49" t="s">
        <v>11</v>
      </c>
      <c r="C86" s="49" t="str">
        <f>INDEX(Tab_Vendedores[Gestor],MATCH(Treinamentos[[#This Row],[Vendedor]],Tab_Vendedores[Nome],0))</f>
        <v>Marcelo Leal</v>
      </c>
      <c r="D86" s="49" t="s">
        <v>79</v>
      </c>
      <c r="E86" s="49" t="str">
        <f>LEFT(Treinamentos[[#This Row],[Treinamento]],SEARCH(" ",Treinamentos[[#This Row],[Treinamento]])-1)</f>
        <v>Word</v>
      </c>
      <c r="F86" s="49">
        <f>VALUE(RIGHT(Treinamentos[[#This Row],[Treinamento]],4))</f>
        <v>2016</v>
      </c>
      <c r="G86" s="50">
        <v>43366.791666666664</v>
      </c>
      <c r="H86" s="50">
        <v>43377.958333333336</v>
      </c>
      <c r="I86" s="54">
        <f t="shared" si="13"/>
        <v>43366</v>
      </c>
      <c r="J86" s="54">
        <f t="shared" si="14"/>
        <v>43377</v>
      </c>
      <c r="K86" s="51" t="str">
        <f t="shared" si="15"/>
        <v>19:00</v>
      </c>
      <c r="L86" s="51">
        <f t="shared" si="16"/>
        <v>0.95833333333333337</v>
      </c>
      <c r="M86" s="51" t="str">
        <f t="shared" si="17"/>
        <v>Noite</v>
      </c>
      <c r="N86" s="51" t="str">
        <f t="shared" si="18"/>
        <v>Setembro</v>
      </c>
      <c r="O86" s="51" t="str">
        <f t="shared" si="19"/>
        <v>2018</v>
      </c>
      <c r="P86" s="49" t="s">
        <v>23</v>
      </c>
      <c r="Q86" s="49" t="s">
        <v>28</v>
      </c>
      <c r="R86" s="49" t="str">
        <f>INDEX(Tab_Instrutores[Estado],MATCH(Treinamentos[[#This Row],[Instrutor]],Tab_Instrutores[Instrutor],0))</f>
        <v>RJ</v>
      </c>
      <c r="S86" s="49" t="s">
        <v>186</v>
      </c>
      <c r="T86" s="49">
        <v>8</v>
      </c>
      <c r="U86" s="63">
        <v>48</v>
      </c>
      <c r="V86" s="63">
        <f>+Treinamentos[[#This Row],[Alunos]]*Treinamentos[[#This Row],[Valor]]</f>
        <v>384</v>
      </c>
      <c r="W86" s="49"/>
    </row>
    <row r="87" spans="1:23" x14ac:dyDescent="0.25">
      <c r="A87" s="53">
        <v>5413</v>
      </c>
      <c r="B87" s="49" t="s">
        <v>39</v>
      </c>
      <c r="C87" s="49" t="str">
        <f>INDEX(Tab_Vendedores[Gestor],MATCH(Treinamentos[[#This Row],[Vendedor]],Tab_Vendedores[Nome],0))</f>
        <v>Alexandra Conceição</v>
      </c>
      <c r="D87" s="49" t="s">
        <v>89</v>
      </c>
      <c r="E87" s="49" t="str">
        <f>LEFT(Treinamentos[[#This Row],[Treinamento]],SEARCH(" ",Treinamentos[[#This Row],[Treinamento]])-1)</f>
        <v>PowerPoint</v>
      </c>
      <c r="F87" s="49">
        <f>VALUE(RIGHT(Treinamentos[[#This Row],[Treinamento]],4))</f>
        <v>2016</v>
      </c>
      <c r="G87" s="50">
        <v>43367.791666666664</v>
      </c>
      <c r="H87" s="50">
        <v>43380.958333333336</v>
      </c>
      <c r="I87" s="54">
        <f t="shared" si="13"/>
        <v>43367</v>
      </c>
      <c r="J87" s="54">
        <f t="shared" si="14"/>
        <v>43380</v>
      </c>
      <c r="K87" s="51" t="str">
        <f t="shared" si="15"/>
        <v>19:00</v>
      </c>
      <c r="L87" s="51">
        <f t="shared" si="16"/>
        <v>0.95833333333333337</v>
      </c>
      <c r="M87" s="51" t="str">
        <f t="shared" si="17"/>
        <v>Noite</v>
      </c>
      <c r="N87" s="51" t="str">
        <f t="shared" si="18"/>
        <v>Setembro</v>
      </c>
      <c r="O87" s="51" t="str">
        <f t="shared" si="19"/>
        <v>2018</v>
      </c>
      <c r="P87" s="49" t="s">
        <v>23</v>
      </c>
      <c r="Q87" s="49" t="s">
        <v>18</v>
      </c>
      <c r="R87" s="49" t="str">
        <f>INDEX(Tab_Instrutores[Estado],MATCH(Treinamentos[[#This Row],[Instrutor]],Tab_Instrutores[Instrutor],0))</f>
        <v>SP</v>
      </c>
      <c r="S87" s="49" t="s">
        <v>186</v>
      </c>
      <c r="T87" s="49">
        <v>10</v>
      </c>
      <c r="U87" s="63">
        <v>62</v>
      </c>
      <c r="V87" s="63">
        <f>+Treinamentos[[#This Row],[Alunos]]*Treinamentos[[#This Row],[Valor]]</f>
        <v>620</v>
      </c>
      <c r="W87" s="49"/>
    </row>
    <row r="88" spans="1:23" x14ac:dyDescent="0.25">
      <c r="A88" s="53">
        <v>5414</v>
      </c>
      <c r="B88" s="49" t="s">
        <v>39</v>
      </c>
      <c r="C88" s="49" t="str">
        <f>INDEX(Tab_Vendedores[Gestor],MATCH(Treinamentos[[#This Row],[Vendedor]],Tab_Vendedores[Nome],0))</f>
        <v>Alexandra Conceição</v>
      </c>
      <c r="D88" s="49" t="s">
        <v>83</v>
      </c>
      <c r="E88" s="49" t="str">
        <f>LEFT(Treinamentos[[#This Row],[Treinamento]],SEARCH(" ",Treinamentos[[#This Row],[Treinamento]])-1)</f>
        <v>Access</v>
      </c>
      <c r="F88" s="49">
        <f>VALUE(RIGHT(Treinamentos[[#This Row],[Treinamento]],4))</f>
        <v>2016</v>
      </c>
      <c r="G88" s="50">
        <v>43368.583333333336</v>
      </c>
      <c r="H88" s="50">
        <v>43381.75</v>
      </c>
      <c r="I88" s="54">
        <f t="shared" si="13"/>
        <v>43368</v>
      </c>
      <c r="J88" s="54">
        <f t="shared" si="14"/>
        <v>43381</v>
      </c>
      <c r="K88" s="51" t="str">
        <f t="shared" si="15"/>
        <v>14:00</v>
      </c>
      <c r="L88" s="51">
        <f t="shared" si="16"/>
        <v>0.75</v>
      </c>
      <c r="M88" s="51" t="str">
        <f t="shared" si="17"/>
        <v>Tarde</v>
      </c>
      <c r="N88" s="51" t="str">
        <f t="shared" si="18"/>
        <v>Setembro</v>
      </c>
      <c r="O88" s="51" t="str">
        <f t="shared" si="19"/>
        <v>2018</v>
      </c>
      <c r="P88" s="49" t="s">
        <v>9</v>
      </c>
      <c r="Q88" s="49" t="s">
        <v>190</v>
      </c>
      <c r="R88" s="49" t="str">
        <f>INDEX(Tab_Instrutores[Estado],MATCH(Treinamentos[[#This Row],[Instrutor]],Tab_Instrutores[Instrutor],0))</f>
        <v>RJ</v>
      </c>
      <c r="S88" s="49" t="s">
        <v>186</v>
      </c>
      <c r="T88" s="49">
        <v>8</v>
      </c>
      <c r="U88" s="63">
        <v>63</v>
      </c>
      <c r="V88" s="63">
        <f>+Treinamentos[[#This Row],[Alunos]]*Treinamentos[[#This Row],[Valor]]</f>
        <v>504</v>
      </c>
      <c r="W88" s="49"/>
    </row>
    <row r="89" spans="1:23" x14ac:dyDescent="0.25">
      <c r="A89" s="53">
        <v>5415</v>
      </c>
      <c r="B89" s="49" t="s">
        <v>19</v>
      </c>
      <c r="C89" s="49" t="str">
        <f>INDEX(Tab_Vendedores[Gestor],MATCH(Treinamentos[[#This Row],[Vendedor]],Tab_Vendedores[Nome],0))</f>
        <v>Janny Costa</v>
      </c>
      <c r="D89" s="49" t="s">
        <v>78</v>
      </c>
      <c r="E89" s="49" t="str">
        <f>LEFT(Treinamentos[[#This Row],[Treinamento]],SEARCH(" ",Treinamentos[[#This Row],[Treinamento]])-1)</f>
        <v>Excel</v>
      </c>
      <c r="F89" s="49">
        <f>VALUE(RIGHT(Treinamentos[[#This Row],[Treinamento]],4))</f>
        <v>2016</v>
      </c>
      <c r="G89" s="50">
        <v>43369.375</v>
      </c>
      <c r="H89" s="50">
        <v>43375.75</v>
      </c>
      <c r="I89" s="54">
        <f t="shared" si="13"/>
        <v>43369</v>
      </c>
      <c r="J89" s="54">
        <f t="shared" si="14"/>
        <v>43375</v>
      </c>
      <c r="K89" s="51" t="str">
        <f t="shared" si="15"/>
        <v>09:00</v>
      </c>
      <c r="L89" s="51">
        <f t="shared" si="16"/>
        <v>0.75</v>
      </c>
      <c r="M89" s="51" t="str">
        <f t="shared" si="17"/>
        <v>Integral</v>
      </c>
      <c r="N89" s="51" t="str">
        <f t="shared" si="18"/>
        <v>Setembro</v>
      </c>
      <c r="O89" s="51" t="str">
        <f t="shared" si="19"/>
        <v>2018</v>
      </c>
      <c r="P89" s="49" t="s">
        <v>9</v>
      </c>
      <c r="Q89" s="49" t="s">
        <v>41</v>
      </c>
      <c r="R89" s="49" t="str">
        <f>INDEX(Tab_Instrutores[Estado],MATCH(Treinamentos[[#This Row],[Instrutor]],Tab_Instrutores[Instrutor],0))</f>
        <v>SP</v>
      </c>
      <c r="S89" s="49" t="s">
        <v>187</v>
      </c>
      <c r="T89" s="49">
        <v>12</v>
      </c>
      <c r="U89" s="63">
        <v>62</v>
      </c>
      <c r="V89" s="63">
        <f>+Treinamentos[[#This Row],[Alunos]]*Treinamentos[[#This Row],[Valor]]</f>
        <v>744</v>
      </c>
      <c r="W89" s="49"/>
    </row>
    <row r="90" spans="1:23" x14ac:dyDescent="0.25">
      <c r="A90" s="53">
        <v>5416</v>
      </c>
      <c r="B90" s="49" t="s">
        <v>11</v>
      </c>
      <c r="C90" s="49" t="str">
        <f>INDEX(Tab_Vendedores[Gestor],MATCH(Treinamentos[[#This Row],[Vendedor]],Tab_Vendedores[Nome],0))</f>
        <v>Marcelo Leal</v>
      </c>
      <c r="D90" s="49" t="s">
        <v>79</v>
      </c>
      <c r="E90" s="49" t="str">
        <f>LEFT(Treinamentos[[#This Row],[Treinamento]],SEARCH(" ",Treinamentos[[#This Row],[Treinamento]])-1)</f>
        <v>Word</v>
      </c>
      <c r="F90" s="49">
        <f>VALUE(RIGHT(Treinamentos[[#This Row],[Treinamento]],4))</f>
        <v>2016</v>
      </c>
      <c r="G90" s="50">
        <v>43370.333333333336</v>
      </c>
      <c r="H90" s="50">
        <v>43383.5</v>
      </c>
      <c r="I90" s="54">
        <f t="shared" si="13"/>
        <v>43370</v>
      </c>
      <c r="J90" s="54">
        <f t="shared" si="14"/>
        <v>43383</v>
      </c>
      <c r="K90" s="51" t="str">
        <f t="shared" si="15"/>
        <v>08:00</v>
      </c>
      <c r="L90" s="51">
        <f t="shared" si="16"/>
        <v>0.5</v>
      </c>
      <c r="M90" s="51" t="str">
        <f t="shared" si="17"/>
        <v>Manhã</v>
      </c>
      <c r="N90" s="51" t="str">
        <f t="shared" si="18"/>
        <v>Setembro</v>
      </c>
      <c r="O90" s="51" t="str">
        <f t="shared" si="19"/>
        <v>2018</v>
      </c>
      <c r="P90" s="49" t="s">
        <v>9</v>
      </c>
      <c r="Q90" s="49" t="s">
        <v>26</v>
      </c>
      <c r="R90" s="49" t="str">
        <f>INDEX(Tab_Instrutores[Estado],MATCH(Treinamentos[[#This Row],[Instrutor]],Tab_Instrutores[Instrutor],0))</f>
        <v>SP</v>
      </c>
      <c r="S90" s="49" t="s">
        <v>186</v>
      </c>
      <c r="T90" s="49">
        <v>10</v>
      </c>
      <c r="U90" s="63">
        <v>48</v>
      </c>
      <c r="V90" s="63">
        <f>+Treinamentos[[#This Row],[Alunos]]*Treinamentos[[#This Row],[Valor]]</f>
        <v>480</v>
      </c>
      <c r="W90" s="49"/>
    </row>
    <row r="91" spans="1:23" x14ac:dyDescent="0.25">
      <c r="A91" s="53">
        <v>5417</v>
      </c>
      <c r="B91" s="49" t="s">
        <v>19</v>
      </c>
      <c r="C91" s="49" t="str">
        <f>INDEX(Tab_Vendedores[Gestor],MATCH(Treinamentos[[#This Row],[Vendedor]],Tab_Vendedores[Nome],0))</f>
        <v>Janny Costa</v>
      </c>
      <c r="D91" s="49" t="s">
        <v>76</v>
      </c>
      <c r="E91" s="49" t="str">
        <f>LEFT(Treinamentos[[#This Row],[Treinamento]],SEARCH(" ",Treinamentos[[#This Row],[Treinamento]])-1)</f>
        <v>Access</v>
      </c>
      <c r="F91" s="49">
        <f>VALUE(RIGHT(Treinamentos[[#This Row],[Treinamento]],4))</f>
        <v>2016</v>
      </c>
      <c r="G91" s="50">
        <v>43371.375</v>
      </c>
      <c r="H91" s="50">
        <v>43376.75</v>
      </c>
      <c r="I91" s="54">
        <f t="shared" si="13"/>
        <v>43371</v>
      </c>
      <c r="J91" s="54">
        <f t="shared" si="14"/>
        <v>43376</v>
      </c>
      <c r="K91" s="51" t="str">
        <f t="shared" si="15"/>
        <v>09:00</v>
      </c>
      <c r="L91" s="51">
        <f t="shared" si="16"/>
        <v>0.75</v>
      </c>
      <c r="M91" s="51" t="str">
        <f t="shared" si="17"/>
        <v>Integral</v>
      </c>
      <c r="N91" s="51" t="str">
        <f t="shared" si="18"/>
        <v>Setembro</v>
      </c>
      <c r="O91" s="51" t="str">
        <f t="shared" si="19"/>
        <v>2018</v>
      </c>
      <c r="P91" s="49" t="s">
        <v>9</v>
      </c>
      <c r="Q91" s="49" t="s">
        <v>33</v>
      </c>
      <c r="R91" s="49" t="str">
        <f>INDEX(Tab_Instrutores[Estado],MATCH(Treinamentos[[#This Row],[Instrutor]],Tab_Instrutores[Instrutor],0))</f>
        <v>SP</v>
      </c>
      <c r="S91" s="49" t="s">
        <v>189</v>
      </c>
      <c r="T91" s="49">
        <v>11</v>
      </c>
      <c r="U91" s="63">
        <v>53</v>
      </c>
      <c r="V91" s="63">
        <f>+Treinamentos[[#This Row],[Alunos]]*Treinamentos[[#This Row],[Valor]]</f>
        <v>583</v>
      </c>
      <c r="W91" s="49"/>
    </row>
    <row r="92" spans="1:23" x14ac:dyDescent="0.25">
      <c r="A92" s="53">
        <v>5418</v>
      </c>
      <c r="B92" s="49" t="s">
        <v>11</v>
      </c>
      <c r="C92" s="49" t="str">
        <f>INDEX(Tab_Vendedores[Gestor],MATCH(Treinamentos[[#This Row],[Vendedor]],Tab_Vendedores[Nome],0))</f>
        <v>Marcelo Leal</v>
      </c>
      <c r="D92" s="49" t="s">
        <v>76</v>
      </c>
      <c r="E92" s="49" t="str">
        <f>LEFT(Treinamentos[[#This Row],[Treinamento]],SEARCH(" ",Treinamentos[[#This Row],[Treinamento]])-1)</f>
        <v>Access</v>
      </c>
      <c r="F92" s="49">
        <f>VALUE(RIGHT(Treinamentos[[#This Row],[Treinamento]],4))</f>
        <v>2016</v>
      </c>
      <c r="G92" s="50">
        <v>43373.791666666664</v>
      </c>
      <c r="H92" s="50">
        <v>43384.958333333336</v>
      </c>
      <c r="I92" s="54">
        <f t="shared" si="13"/>
        <v>43373</v>
      </c>
      <c r="J92" s="54">
        <f t="shared" si="14"/>
        <v>43384</v>
      </c>
      <c r="K92" s="51" t="str">
        <f t="shared" si="15"/>
        <v>19:00</v>
      </c>
      <c r="L92" s="51">
        <f t="shared" si="16"/>
        <v>0.95833333333333337</v>
      </c>
      <c r="M92" s="51" t="str">
        <f t="shared" si="17"/>
        <v>Noite</v>
      </c>
      <c r="N92" s="51" t="str">
        <f t="shared" si="18"/>
        <v>Setembro</v>
      </c>
      <c r="O92" s="51" t="str">
        <f t="shared" si="19"/>
        <v>2018</v>
      </c>
      <c r="P92" s="49" t="s">
        <v>9</v>
      </c>
      <c r="Q92" s="49" t="s">
        <v>33</v>
      </c>
      <c r="R92" s="49" t="str">
        <f>INDEX(Tab_Instrutores[Estado],MATCH(Treinamentos[[#This Row],[Instrutor]],Tab_Instrutores[Instrutor],0))</f>
        <v>SP</v>
      </c>
      <c r="S92" s="49" t="s">
        <v>186</v>
      </c>
      <c r="T92" s="49">
        <v>8</v>
      </c>
      <c r="U92" s="63">
        <v>53</v>
      </c>
      <c r="V92" s="63">
        <f>+Treinamentos[[#This Row],[Alunos]]*Treinamentos[[#This Row],[Valor]]</f>
        <v>424</v>
      </c>
      <c r="W92" s="49"/>
    </row>
    <row r="93" spans="1:23" x14ac:dyDescent="0.25">
      <c r="A93" s="53">
        <v>5419</v>
      </c>
      <c r="B93" s="49" t="s">
        <v>39</v>
      </c>
      <c r="C93" s="49" t="str">
        <f>INDEX(Tab_Vendedores[Gestor],MATCH(Treinamentos[[#This Row],[Vendedor]],Tab_Vendedores[Nome],0))</f>
        <v>Alexandra Conceição</v>
      </c>
      <c r="D93" s="49" t="s">
        <v>79</v>
      </c>
      <c r="E93" s="49" t="str">
        <f>LEFT(Treinamentos[[#This Row],[Treinamento]],SEARCH(" ",Treinamentos[[#This Row],[Treinamento]])-1)</f>
        <v>Word</v>
      </c>
      <c r="F93" s="49">
        <f>VALUE(RIGHT(Treinamentos[[#This Row],[Treinamento]],4))</f>
        <v>2016</v>
      </c>
      <c r="G93" s="50">
        <v>43373.791666666664</v>
      </c>
      <c r="H93" s="50">
        <v>43384.958333333336</v>
      </c>
      <c r="I93" s="54">
        <f t="shared" si="13"/>
        <v>43373</v>
      </c>
      <c r="J93" s="54">
        <f t="shared" si="14"/>
        <v>43384</v>
      </c>
      <c r="K93" s="51" t="str">
        <f t="shared" si="15"/>
        <v>19:00</v>
      </c>
      <c r="L93" s="51">
        <f t="shared" si="16"/>
        <v>0.95833333333333337</v>
      </c>
      <c r="M93" s="51" t="str">
        <f t="shared" si="17"/>
        <v>Noite</v>
      </c>
      <c r="N93" s="51" t="str">
        <f t="shared" si="18"/>
        <v>Setembro</v>
      </c>
      <c r="O93" s="51" t="str">
        <f t="shared" si="19"/>
        <v>2018</v>
      </c>
      <c r="P93" s="49" t="s">
        <v>9</v>
      </c>
      <c r="Q93" s="49" t="s">
        <v>21</v>
      </c>
      <c r="R93" s="49" t="str">
        <f>INDEX(Tab_Instrutores[Estado],MATCH(Treinamentos[[#This Row],[Instrutor]],Tab_Instrutores[Instrutor],0))</f>
        <v>SP</v>
      </c>
      <c r="S93" s="49" t="s">
        <v>187</v>
      </c>
      <c r="T93" s="49">
        <v>8</v>
      </c>
      <c r="U93" s="63">
        <v>48</v>
      </c>
      <c r="V93" s="63">
        <f>+Treinamentos[[#This Row],[Alunos]]*Treinamentos[[#This Row],[Valor]]</f>
        <v>384</v>
      </c>
      <c r="W93" s="49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J28"/>
  <sheetViews>
    <sheetView showGridLines="0" topLeftCell="B7" zoomScale="130" zoomScaleNormal="130" workbookViewId="0">
      <selection activeCell="D17" sqref="D17"/>
    </sheetView>
  </sheetViews>
  <sheetFormatPr defaultRowHeight="15.75" x14ac:dyDescent="0.25"/>
  <cols>
    <col min="1" max="1" width="9" style="66"/>
    <col min="2" max="2" width="24.5" style="66" bestFit="1" customWidth="1"/>
    <col min="3" max="3" width="2.375" style="66" customWidth="1"/>
    <col min="4" max="4" width="25.625" style="66" bestFit="1" customWidth="1"/>
    <col min="5" max="6" width="9" style="66"/>
    <col min="7" max="7" width="24.5" style="66" bestFit="1" customWidth="1"/>
    <col min="8" max="8" width="2.5" style="66" customWidth="1"/>
    <col min="9" max="9" width="15.125" style="66" customWidth="1"/>
    <col min="10" max="16384" width="9" style="66"/>
  </cols>
  <sheetData>
    <row r="1" spans="1:10" x14ac:dyDescent="0.25">
      <c r="A1" s="69"/>
      <c r="B1" s="69"/>
      <c r="C1" s="69"/>
      <c r="D1" s="69"/>
      <c r="E1" s="69"/>
      <c r="F1" s="69"/>
      <c r="G1" s="69"/>
      <c r="H1" s="69"/>
      <c r="I1" s="69"/>
      <c r="J1" s="69"/>
    </row>
    <row r="2" spans="1:10" x14ac:dyDescent="0.25">
      <c r="A2" s="69"/>
      <c r="B2" s="69"/>
      <c r="C2" s="69"/>
      <c r="D2" s="69"/>
      <c r="E2" s="69"/>
      <c r="F2" s="69"/>
      <c r="G2" s="69"/>
      <c r="H2" s="69"/>
      <c r="I2" s="69"/>
      <c r="J2" s="69"/>
    </row>
    <row r="3" spans="1:10" x14ac:dyDescent="0.25">
      <c r="A3" s="69"/>
      <c r="B3" s="69"/>
      <c r="C3" s="69"/>
      <c r="D3" s="69"/>
      <c r="E3" s="69"/>
      <c r="F3" s="69"/>
      <c r="G3" s="69"/>
      <c r="H3" s="69"/>
      <c r="I3" s="69"/>
      <c r="J3" s="69"/>
    </row>
    <row r="4" spans="1:10" x14ac:dyDescent="0.25">
      <c r="A4" s="69"/>
      <c r="B4" s="69"/>
      <c r="C4" s="69"/>
      <c r="D4" s="69"/>
      <c r="E4" s="69"/>
      <c r="F4" s="69"/>
      <c r="G4" s="69"/>
      <c r="H4" s="69"/>
      <c r="I4" s="69"/>
      <c r="J4" s="69"/>
    </row>
    <row r="5" spans="1:10" x14ac:dyDescent="0.25">
      <c r="A5" s="69"/>
      <c r="B5" s="69"/>
      <c r="C5" s="69"/>
      <c r="D5" s="69"/>
      <c r="E5" s="69"/>
      <c r="F5" s="69"/>
      <c r="G5" s="69"/>
      <c r="H5" s="69"/>
      <c r="I5" s="69"/>
      <c r="J5" s="69"/>
    </row>
    <row r="6" spans="1:10" x14ac:dyDescent="0.25">
      <c r="A6" s="69"/>
      <c r="B6" s="69"/>
      <c r="C6" s="69"/>
      <c r="D6" s="69"/>
      <c r="E6" s="69"/>
      <c r="F6" s="69"/>
      <c r="G6" s="69"/>
      <c r="H6" s="69"/>
      <c r="I6" s="69"/>
      <c r="J6" s="69"/>
    </row>
    <row r="7" spans="1:10" x14ac:dyDescent="0.25">
      <c r="A7" s="69"/>
      <c r="B7" s="69"/>
      <c r="C7" s="69"/>
      <c r="D7" s="69"/>
      <c r="E7" s="69"/>
      <c r="F7" s="69"/>
      <c r="G7" s="69"/>
      <c r="H7" s="69"/>
      <c r="I7" s="69"/>
      <c r="J7" s="69"/>
    </row>
    <row r="8" spans="1:10" x14ac:dyDescent="0.25">
      <c r="A8" s="69"/>
      <c r="B8" s="71" t="s">
        <v>877</v>
      </c>
      <c r="C8" s="77"/>
      <c r="D8" s="72" t="s">
        <v>783</v>
      </c>
      <c r="E8" s="77"/>
      <c r="F8" s="77"/>
      <c r="G8" s="72" t="s">
        <v>783</v>
      </c>
      <c r="H8" s="77"/>
      <c r="I8" s="71" t="s">
        <v>877</v>
      </c>
      <c r="J8" s="69"/>
    </row>
    <row r="9" spans="1:10" ht="33.75" x14ac:dyDescent="0.45">
      <c r="A9" s="69"/>
      <c r="B9" s="70">
        <f>Base[[#Totals],[Alunos]]</f>
        <v>10617</v>
      </c>
      <c r="C9" s="77"/>
      <c r="D9" s="67">
        <f>SUBTOTAL(3,Base[Turma])</f>
        <v>1064</v>
      </c>
      <c r="E9" s="77"/>
      <c r="F9" s="73">
        <f>D12/G12</f>
        <v>1</v>
      </c>
      <c r="G9" s="67">
        <f>COUNTA(Base[Turma])</f>
        <v>1064</v>
      </c>
      <c r="H9" s="77"/>
      <c r="I9" s="70">
        <f>SUM(Base[Alunos])</f>
        <v>10617</v>
      </c>
      <c r="J9" s="69"/>
    </row>
    <row r="10" spans="1:10" x14ac:dyDescent="0.25">
      <c r="A10" s="69"/>
      <c r="B10" s="77"/>
      <c r="C10" s="77"/>
      <c r="D10" s="77"/>
      <c r="E10" s="77"/>
      <c r="F10" s="74">
        <f>1-F9</f>
        <v>0</v>
      </c>
      <c r="G10" s="77"/>
      <c r="H10" s="77"/>
      <c r="I10" s="77"/>
      <c r="J10" s="69"/>
    </row>
    <row r="11" spans="1:10" x14ac:dyDescent="0.25">
      <c r="A11" s="69"/>
      <c r="B11" s="72" t="s">
        <v>878</v>
      </c>
      <c r="C11" s="77"/>
      <c r="D11" s="75" t="s">
        <v>876</v>
      </c>
      <c r="E11" s="77"/>
      <c r="F11" s="77"/>
      <c r="G11" s="75" t="s">
        <v>876</v>
      </c>
      <c r="H11" s="77"/>
      <c r="I11" s="72" t="s">
        <v>878</v>
      </c>
      <c r="J11" s="69"/>
    </row>
    <row r="12" spans="1:10" ht="33.75" x14ac:dyDescent="0.45">
      <c r="A12" s="69"/>
      <c r="B12" s="68">
        <f>SUBTOTAL(1,Base[Feedback])</f>
        <v>3.5265151515151514</v>
      </c>
      <c r="C12" s="77"/>
      <c r="D12" s="76">
        <f>SUBTOTAL(9,Base[Total])</f>
        <v>522195</v>
      </c>
      <c r="E12" s="77"/>
      <c r="F12" s="77"/>
      <c r="G12" s="76">
        <f>SUM(Base[Total])</f>
        <v>522195</v>
      </c>
      <c r="H12" s="77"/>
      <c r="I12" s="68">
        <f>AVERAGE(Base[Feedback])</f>
        <v>3.5265151515151514</v>
      </c>
      <c r="J12" s="69"/>
    </row>
    <row r="13" spans="1:10" x14ac:dyDescent="0.25">
      <c r="A13" s="69"/>
      <c r="B13" s="69"/>
      <c r="C13" s="69"/>
      <c r="D13" s="69"/>
      <c r="E13" s="69"/>
      <c r="F13" s="69"/>
      <c r="G13" s="69"/>
      <c r="H13" s="69"/>
      <c r="I13" s="69"/>
      <c r="J13" s="69"/>
    </row>
    <row r="14" spans="1:10" x14ac:dyDescent="0.25">
      <c r="A14" s="69"/>
      <c r="B14" s="69"/>
      <c r="C14" s="69"/>
      <c r="D14" s="69"/>
      <c r="E14" s="69"/>
      <c r="F14" s="69"/>
      <c r="G14" s="69"/>
      <c r="H14" s="69"/>
      <c r="I14" s="69"/>
      <c r="J14" s="69"/>
    </row>
    <row r="15" spans="1:10" x14ac:dyDescent="0.25">
      <c r="A15" s="69"/>
      <c r="B15" s="69"/>
      <c r="C15" s="69"/>
      <c r="D15" s="69"/>
      <c r="E15" s="69"/>
      <c r="F15" s="69"/>
      <c r="G15" s="69"/>
      <c r="H15" s="69"/>
      <c r="I15" s="69"/>
      <c r="J15" s="69"/>
    </row>
    <row r="16" spans="1:10" x14ac:dyDescent="0.25">
      <c r="A16" s="69"/>
      <c r="B16" s="69"/>
      <c r="C16" s="69"/>
      <c r="D16" s="69"/>
      <c r="E16" s="69"/>
      <c r="F16" s="69"/>
      <c r="G16" s="69"/>
      <c r="H16" s="69"/>
      <c r="I16" s="69"/>
      <c r="J16" s="69"/>
    </row>
    <row r="17" spans="1:10" x14ac:dyDescent="0.25">
      <c r="A17" s="69"/>
      <c r="B17" s="69"/>
      <c r="C17" s="69"/>
      <c r="D17" s="69"/>
      <c r="E17" s="69"/>
      <c r="F17" s="69"/>
      <c r="G17" s="69"/>
      <c r="H17" s="69"/>
      <c r="I17" s="69"/>
      <c r="J17" s="69"/>
    </row>
    <row r="18" spans="1:10" x14ac:dyDescent="0.25">
      <c r="A18" s="69"/>
      <c r="B18" s="69"/>
      <c r="C18" s="69"/>
      <c r="D18" s="69"/>
      <c r="E18" s="69"/>
      <c r="F18" s="69"/>
      <c r="G18" s="69"/>
      <c r="H18" s="69"/>
      <c r="I18" s="69"/>
      <c r="J18" s="69"/>
    </row>
    <row r="19" spans="1:10" x14ac:dyDescent="0.25">
      <c r="A19" s="69"/>
      <c r="B19" s="69"/>
      <c r="C19" s="69"/>
      <c r="D19" s="69"/>
      <c r="E19" s="69"/>
      <c r="F19" s="69"/>
      <c r="G19" s="69"/>
      <c r="H19" s="69"/>
      <c r="I19" s="69"/>
      <c r="J19" s="69"/>
    </row>
    <row r="20" spans="1:10" x14ac:dyDescent="0.25">
      <c r="A20" s="69"/>
      <c r="B20" s="69"/>
      <c r="C20" s="69"/>
      <c r="D20" s="69"/>
      <c r="E20" s="69"/>
      <c r="F20" s="69"/>
      <c r="G20" s="69"/>
      <c r="H20" s="69"/>
      <c r="I20" s="69"/>
      <c r="J20" s="69"/>
    </row>
    <row r="21" spans="1:10" x14ac:dyDescent="0.25">
      <c r="A21" s="69"/>
      <c r="B21" s="69"/>
      <c r="C21" s="69"/>
      <c r="D21" s="69"/>
      <c r="E21" s="69"/>
      <c r="F21" s="69"/>
      <c r="G21" s="69"/>
      <c r="H21" s="69"/>
      <c r="I21" s="69"/>
      <c r="J21" s="69"/>
    </row>
    <row r="22" spans="1:10" x14ac:dyDescent="0.25">
      <c r="A22" s="69"/>
      <c r="B22" s="69"/>
      <c r="C22" s="69"/>
      <c r="D22" s="69"/>
      <c r="E22" s="69"/>
      <c r="F22" s="69"/>
      <c r="G22" s="69"/>
      <c r="H22" s="69"/>
      <c r="I22" s="69"/>
      <c r="J22" s="69"/>
    </row>
    <row r="23" spans="1:10" x14ac:dyDescent="0.25">
      <c r="A23" s="69"/>
      <c r="B23" s="69"/>
      <c r="C23" s="69"/>
      <c r="D23" s="69"/>
      <c r="E23" s="69"/>
      <c r="F23" s="69"/>
      <c r="G23" s="69"/>
      <c r="H23" s="69"/>
      <c r="I23" s="69"/>
      <c r="J23" s="69"/>
    </row>
    <row r="24" spans="1:10" x14ac:dyDescent="0.25">
      <c r="A24" s="69"/>
      <c r="B24" s="69"/>
      <c r="C24" s="69"/>
      <c r="D24" s="69"/>
      <c r="E24" s="69"/>
      <c r="F24" s="69"/>
      <c r="G24" s="69"/>
      <c r="H24" s="69"/>
      <c r="I24" s="69"/>
      <c r="J24" s="69"/>
    </row>
    <row r="25" spans="1:10" x14ac:dyDescent="0.25">
      <c r="A25" s="69"/>
      <c r="B25" s="69"/>
      <c r="C25" s="69"/>
      <c r="D25" s="69"/>
      <c r="E25" s="69"/>
      <c r="F25" s="69"/>
      <c r="G25" s="69"/>
      <c r="H25" s="69"/>
      <c r="I25" s="69"/>
      <c r="J25" s="69"/>
    </row>
    <row r="26" spans="1:10" x14ac:dyDescent="0.25">
      <c r="A26" s="69"/>
      <c r="B26" s="69"/>
      <c r="C26" s="69"/>
      <c r="D26" s="69"/>
      <c r="E26" s="69"/>
      <c r="F26" s="69"/>
      <c r="G26" s="69"/>
      <c r="H26" s="69"/>
      <c r="I26" s="69"/>
      <c r="J26" s="69"/>
    </row>
    <row r="27" spans="1:10" x14ac:dyDescent="0.25">
      <c r="A27" s="69"/>
      <c r="B27" s="69"/>
      <c r="C27" s="69"/>
      <c r="D27" s="69"/>
      <c r="E27" s="69"/>
      <c r="F27" s="69"/>
      <c r="G27" s="69"/>
      <c r="H27" s="69"/>
      <c r="I27" s="69"/>
      <c r="J27" s="69"/>
    </row>
    <row r="28" spans="1:10" x14ac:dyDescent="0.25">
      <c r="A28" s="69"/>
      <c r="B28" s="69"/>
      <c r="C28" s="69"/>
      <c r="D28" s="69"/>
      <c r="E28" s="69"/>
      <c r="F28" s="69"/>
      <c r="G28" s="69"/>
      <c r="H28" s="69"/>
      <c r="I28" s="69"/>
      <c r="J28" s="69"/>
    </row>
  </sheetData>
  <pageMargins left="0.511811024" right="0.511811024" top="0.78740157499999996" bottom="0.78740157499999996" header="0.31496062000000002" footer="0.31496062000000002"/>
  <drawing r:id="rId1"/>
  <extLs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N38"/>
  <sheetViews>
    <sheetView workbookViewId="0">
      <selection activeCell="C25" sqref="C25"/>
    </sheetView>
  </sheetViews>
  <sheetFormatPr defaultRowHeight="15.75" x14ac:dyDescent="0.25"/>
  <cols>
    <col min="1" max="1" width="9" style="78"/>
    <col min="2" max="2" width="18.875" style="78" bestFit="1" customWidth="1"/>
    <col min="3" max="10" width="10.25" style="78" bestFit="1" customWidth="1"/>
    <col min="11" max="11" width="10.375" style="78" bestFit="1" customWidth="1"/>
    <col min="12" max="12" width="10.25" style="78" bestFit="1" customWidth="1"/>
    <col min="13" max="13" width="11.125" style="78" bestFit="1" customWidth="1"/>
    <col min="14" max="14" width="10.625" style="78" bestFit="1" customWidth="1"/>
    <col min="15" max="16384" width="9" style="78"/>
  </cols>
  <sheetData>
    <row r="1" spans="2:14" ht="16.5" thickBot="1" x14ac:dyDescent="0.3"/>
    <row r="2" spans="2:14" x14ac:dyDescent="0.25">
      <c r="B2" s="81" t="s">
        <v>175</v>
      </c>
    </row>
    <row r="5" spans="2:14" x14ac:dyDescent="0.25">
      <c r="B5" s="79" t="s">
        <v>879</v>
      </c>
      <c r="C5" s="79" t="s">
        <v>523</v>
      </c>
      <c r="D5" s="79" t="s">
        <v>528</v>
      </c>
      <c r="E5" s="79" t="s">
        <v>529</v>
      </c>
      <c r="F5" s="79" t="s">
        <v>530</v>
      </c>
      <c r="G5" s="79" t="s">
        <v>531</v>
      </c>
      <c r="H5" s="79" t="s">
        <v>532</v>
      </c>
      <c r="I5" s="79" t="s">
        <v>533</v>
      </c>
      <c r="J5" s="79" t="s">
        <v>534</v>
      </c>
      <c r="K5" s="79" t="s">
        <v>535</v>
      </c>
      <c r="L5" s="79" t="s">
        <v>536</v>
      </c>
      <c r="M5" s="79" t="s">
        <v>537</v>
      </c>
      <c r="N5" s="79" t="s">
        <v>538</v>
      </c>
    </row>
    <row r="6" spans="2:14" x14ac:dyDescent="0.25">
      <c r="B6" s="80">
        <v>2016</v>
      </c>
      <c r="C6" s="80">
        <f>COUNTIFS(Base[Ano],$B6,
Base[Mês],C$5,
Base[Gestor],$B$2)</f>
        <v>13</v>
      </c>
      <c r="D6" s="80">
        <f>COUNTIFS(Base[Ano],$B6,
Base[Mês],D$5,
Base[Gestor],$B$2)</f>
        <v>14</v>
      </c>
      <c r="E6" s="80">
        <f>COUNTIFS(Base[Ano],$B6,
Base[Mês],E$5,
Base[Gestor],$B$2)</f>
        <v>13</v>
      </c>
      <c r="F6" s="80">
        <f>COUNTIFS(Base[Ano],$B6,
Base[Mês],F$5,
Base[Gestor],$B$2)</f>
        <v>18</v>
      </c>
      <c r="G6" s="80">
        <f>COUNTIFS(Base[Ano],$B6,
Base[Mês],G$5,
Base[Gestor],$B$2)</f>
        <v>15</v>
      </c>
      <c r="H6" s="80">
        <f>COUNTIFS(Base[Ano],$B6,
Base[Mês],H$5,
Base[Gestor],$B$2)</f>
        <v>11</v>
      </c>
      <c r="I6" s="80">
        <f>COUNTIFS(Base[Ano],$B6,
Base[Mês],I$5,
Base[Gestor],$B$2)</f>
        <v>15</v>
      </c>
      <c r="J6" s="80">
        <f>COUNTIFS(Base[Ano],$B6,
Base[Mês],J$5,
Base[Gestor],$B$2)</f>
        <v>9</v>
      </c>
      <c r="K6" s="80">
        <f>COUNTIFS(Base[Ano],$B6,
Base[Mês],K$5,
Base[Gestor],$B$2)</f>
        <v>10</v>
      </c>
      <c r="L6" s="80">
        <f>COUNTIFS(Base[Ano],$B6,
Base[Mês],L$5,
Base[Gestor],$B$2)</f>
        <v>12</v>
      </c>
      <c r="M6" s="80">
        <f>COUNTIFS(Base[Ano],$B6,
Base[Mês],M$5,
Base[Gestor],$B$2)</f>
        <v>8</v>
      </c>
      <c r="N6" s="80">
        <f>COUNTIFS(Base[Ano],$B6,
Base[Mês],N$5,
Base[Gestor],$B$2)</f>
        <v>12</v>
      </c>
    </row>
    <row r="7" spans="2:14" x14ac:dyDescent="0.25">
      <c r="B7" s="80">
        <v>2017</v>
      </c>
      <c r="C7" s="80">
        <f>COUNTIFS(Base[Ano],$B7,
Base[Mês],C$5,
Base[Gestor],$B$2)</f>
        <v>13</v>
      </c>
      <c r="D7" s="80">
        <f>COUNTIFS(Base[Ano],$B7,
Base[Mês],D$5,
Base[Gestor],$B$2)</f>
        <v>5</v>
      </c>
      <c r="E7" s="80">
        <f>COUNTIFS(Base[Ano],$B7,
Base[Mês],E$5,
Base[Gestor],$B$2)</f>
        <v>9</v>
      </c>
      <c r="F7" s="80">
        <f>COUNTIFS(Base[Ano],$B7,
Base[Mês],F$5,
Base[Gestor],$B$2)</f>
        <v>14</v>
      </c>
      <c r="G7" s="80">
        <f>COUNTIFS(Base[Ano],$B7,
Base[Mês],G$5,
Base[Gestor],$B$2)</f>
        <v>8</v>
      </c>
      <c r="H7" s="80">
        <f>COUNTIFS(Base[Ano],$B7,
Base[Mês],H$5,
Base[Gestor],$B$2)</f>
        <v>11</v>
      </c>
      <c r="I7" s="80">
        <f>COUNTIFS(Base[Ano],$B7,
Base[Mês],I$5,
Base[Gestor],$B$2)</f>
        <v>3</v>
      </c>
      <c r="J7" s="80">
        <f>COUNTIFS(Base[Ano],$B7,
Base[Mês],J$5,
Base[Gestor],$B$2)</f>
        <v>15</v>
      </c>
      <c r="K7" s="80">
        <f>COUNTIFS(Base[Ano],$B7,
Base[Mês],K$5,
Base[Gestor],$B$2)</f>
        <v>7</v>
      </c>
      <c r="L7" s="80">
        <f>COUNTIFS(Base[Ano],$B7,
Base[Mês],L$5,
Base[Gestor],$B$2)</f>
        <v>3</v>
      </c>
      <c r="M7" s="80">
        <f>COUNTIFS(Base[Ano],$B7,
Base[Mês],M$5,
Base[Gestor],$B$2)</f>
        <v>15</v>
      </c>
      <c r="N7" s="80">
        <f>COUNTIFS(Base[Ano],$B7,
Base[Mês],N$5,
Base[Gestor],$B$2)</f>
        <v>7</v>
      </c>
    </row>
    <row r="8" spans="2:14" x14ac:dyDescent="0.25">
      <c r="B8" s="80">
        <v>2018</v>
      </c>
      <c r="C8" s="80">
        <f>COUNTIFS(Base[Ano],$B8,
Base[Mês],C$5,
Base[Gestor],$B$2)</f>
        <v>14</v>
      </c>
      <c r="D8" s="80">
        <f>COUNTIFS(Base[Ano],$B8,
Base[Mês],D$5,
Base[Gestor],$B$2)</f>
        <v>13</v>
      </c>
      <c r="E8" s="80">
        <f>COUNTIFS(Base[Ano],$B8,
Base[Mês],E$5,
Base[Gestor],$B$2)</f>
        <v>8</v>
      </c>
      <c r="F8" s="80">
        <f>COUNTIFS(Base[Ano],$B8,
Base[Mês],F$5,
Base[Gestor],$B$2)</f>
        <v>21</v>
      </c>
      <c r="G8" s="80">
        <f>COUNTIFS(Base[Ano],$B8,
Base[Mês],G$5,
Base[Gestor],$B$2)</f>
        <v>16</v>
      </c>
      <c r="H8" s="80">
        <f>COUNTIFS(Base[Ano],$B8,
Base[Mês],H$5,
Base[Gestor],$B$2)</f>
        <v>8</v>
      </c>
      <c r="I8" s="80">
        <f>COUNTIFS(Base[Ano],$B8,
Base[Mês],I$5,
Base[Gestor],$B$2)</f>
        <v>16</v>
      </c>
      <c r="J8" s="80">
        <f>COUNTIFS(Base[Ano],$B8,
Base[Mês],J$5,
Base[Gestor],$B$2)</f>
        <v>9</v>
      </c>
      <c r="K8" s="80">
        <f>COUNTIFS(Base[Ano],$B8,
Base[Mês],K$5,
Base[Gestor],$B$2)</f>
        <v>9</v>
      </c>
      <c r="L8" s="80">
        <f>COUNTIFS(Base[Ano],$B8,
Base[Mês],L$5,
Base[Gestor],$B$2)</f>
        <v>0</v>
      </c>
      <c r="M8" s="80">
        <f>COUNTIFS(Base[Ano],$B8,
Base[Mês],M$5,
Base[Gestor],$B$2)</f>
        <v>0</v>
      </c>
      <c r="N8" s="80">
        <f>COUNTIFS(Base[Ano],$B8,
Base[Mês],N$5,
Base[Gestor],$B$2)</f>
        <v>0</v>
      </c>
    </row>
    <row r="11" spans="2:14" x14ac:dyDescent="0.25">
      <c r="B11" s="79" t="s">
        <v>882</v>
      </c>
      <c r="C11" s="79" t="s">
        <v>523</v>
      </c>
      <c r="D11" s="79" t="s">
        <v>528</v>
      </c>
      <c r="E11" s="79" t="s">
        <v>529</v>
      </c>
      <c r="F11" s="79" t="s">
        <v>530</v>
      </c>
      <c r="G11" s="79" t="s">
        <v>531</v>
      </c>
      <c r="H11" s="79" t="s">
        <v>532</v>
      </c>
      <c r="I11" s="79" t="s">
        <v>533</v>
      </c>
      <c r="J11" s="79" t="s">
        <v>534</v>
      </c>
      <c r="K11" s="79" t="s">
        <v>535</v>
      </c>
      <c r="L11" s="79" t="s">
        <v>536</v>
      </c>
      <c r="M11" s="79" t="s">
        <v>537</v>
      </c>
      <c r="N11" s="79" t="s">
        <v>538</v>
      </c>
    </row>
    <row r="12" spans="2:14" x14ac:dyDescent="0.25">
      <c r="B12" s="80">
        <v>2016</v>
      </c>
      <c r="C12" s="80">
        <f>SUMIFS(Base[Total],
Base[Ano],$B12,
Base[Mês],C$11,
Base[Gestor],$B$2)</f>
        <v>6025</v>
      </c>
      <c r="D12" s="80">
        <f>SUMIFS(Base[Total],
Base[Ano],$B12,
Base[Mês],D$11,
Base[Gestor],$B$2)</f>
        <v>7934</v>
      </c>
      <c r="E12" s="80">
        <f>SUMIFS(Base[Total],
Base[Ano],$B12,
Base[Mês],E$11,
Base[Gestor],$B$2)</f>
        <v>6324</v>
      </c>
      <c r="F12" s="80">
        <f>SUMIFS(Base[Total],
Base[Ano],$B12,
Base[Mês],F$11,
Base[Gestor],$B$2)</f>
        <v>9589</v>
      </c>
      <c r="G12" s="80">
        <f>SUMIFS(Base[Total],
Base[Ano],$B12,
Base[Mês],G$11,
Base[Gestor],$B$2)</f>
        <v>7739</v>
      </c>
      <c r="H12" s="80">
        <f>SUMIFS(Base[Total],
Base[Ano],$B12,
Base[Mês],H$11,
Base[Gestor],$B$2)</f>
        <v>5667</v>
      </c>
      <c r="I12" s="80">
        <f>SUMIFS(Base[Total],
Base[Ano],$B12,
Base[Mês],I$11,
Base[Gestor],$B$2)</f>
        <v>7084</v>
      </c>
      <c r="J12" s="80">
        <f>SUMIFS(Base[Total],
Base[Ano],$B12,
Base[Mês],J$11,
Base[Gestor],$B$2)</f>
        <v>4219</v>
      </c>
      <c r="K12" s="80">
        <f>SUMIFS(Base[Total],
Base[Ano],$B12,
Base[Mês],K$11,
Base[Gestor],$B$2)</f>
        <v>4748</v>
      </c>
      <c r="L12" s="80">
        <f>SUMIFS(Base[Total],
Base[Ano],$B12,
Base[Mês],L$11,
Base[Gestor],$B$2)</f>
        <v>5517</v>
      </c>
      <c r="M12" s="80">
        <f>SUMIFS(Base[Total],
Base[Ano],$B12,
Base[Mês],M$11,
Base[Gestor],$B$2)</f>
        <v>4078</v>
      </c>
      <c r="N12" s="80">
        <f>SUMIFS(Base[Total],
Base[Ano],$B12,
Base[Mês],N$11,
Base[Gestor],$B$2)</f>
        <v>5835</v>
      </c>
    </row>
    <row r="13" spans="2:14" x14ac:dyDescent="0.25">
      <c r="B13" s="80">
        <v>2017</v>
      </c>
      <c r="C13" s="80">
        <f>SUMIFS(Base[Total],
Base[Ano],$B13,
Base[Mês],C$11,
Base[Gestor],$B$2)</f>
        <v>6124</v>
      </c>
      <c r="D13" s="80">
        <f>SUMIFS(Base[Total],
Base[Ano],$B13,
Base[Mês],D$11,
Base[Gestor],$B$2)</f>
        <v>2643</v>
      </c>
      <c r="E13" s="80">
        <f>SUMIFS(Base[Total],
Base[Ano],$B13,
Base[Mês],E$11,
Base[Gestor],$B$2)</f>
        <v>4507</v>
      </c>
      <c r="F13" s="80">
        <f>SUMIFS(Base[Total],
Base[Ano],$B13,
Base[Mês],F$11,
Base[Gestor],$B$2)</f>
        <v>6454</v>
      </c>
      <c r="G13" s="80">
        <f>SUMIFS(Base[Total],
Base[Ano],$B13,
Base[Mês],G$11,
Base[Gestor],$B$2)</f>
        <v>4038</v>
      </c>
      <c r="H13" s="80">
        <f>SUMIFS(Base[Total],
Base[Ano],$B13,
Base[Mês],H$11,
Base[Gestor],$B$2)</f>
        <v>5459</v>
      </c>
      <c r="I13" s="80">
        <f>SUMIFS(Base[Total],
Base[Ano],$B13,
Base[Mês],I$11,
Base[Gestor],$B$2)</f>
        <v>1772</v>
      </c>
      <c r="J13" s="80">
        <f>SUMIFS(Base[Total],
Base[Ano],$B13,
Base[Mês],J$11,
Base[Gestor],$B$2)</f>
        <v>7288</v>
      </c>
      <c r="K13" s="80">
        <f>SUMIFS(Base[Total],
Base[Ano],$B13,
Base[Mês],K$11,
Base[Gestor],$B$2)</f>
        <v>3329</v>
      </c>
      <c r="L13" s="80">
        <f>SUMIFS(Base[Total],
Base[Ano],$B13,
Base[Mês],L$11,
Base[Gestor],$B$2)</f>
        <v>1772</v>
      </c>
      <c r="M13" s="80">
        <f>SUMIFS(Base[Total],
Base[Ano],$B13,
Base[Mês],M$11,
Base[Gestor],$B$2)</f>
        <v>7288</v>
      </c>
      <c r="N13" s="80">
        <f>SUMIFS(Base[Total],
Base[Ano],$B13,
Base[Mês],N$11,
Base[Gestor],$B$2)</f>
        <v>3329</v>
      </c>
    </row>
    <row r="14" spans="2:14" x14ac:dyDescent="0.25">
      <c r="B14" s="80">
        <v>2018</v>
      </c>
      <c r="C14" s="80">
        <f>SUMIFS(Base[Total],
Base[Ano],$B14,
Base[Mês],C$11,
Base[Gestor],$B$2)</f>
        <v>6971</v>
      </c>
      <c r="D14" s="80">
        <f>SUMIFS(Base[Total],
Base[Ano],$B14,
Base[Mês],D$11,
Base[Gestor],$B$2)</f>
        <v>6835</v>
      </c>
      <c r="E14" s="80">
        <f>SUMIFS(Base[Total],
Base[Ano],$B14,
Base[Mês],E$11,
Base[Gestor],$B$2)</f>
        <v>4649</v>
      </c>
      <c r="F14" s="80">
        <f>SUMIFS(Base[Total],
Base[Ano],$B14,
Base[Mês],F$11,
Base[Gestor],$B$2)</f>
        <v>10939</v>
      </c>
      <c r="G14" s="80">
        <f>SUMIFS(Base[Total],
Base[Ano],$B14,
Base[Mês],G$11,
Base[Gestor],$B$2)</f>
        <v>8332</v>
      </c>
      <c r="H14" s="80">
        <f>SUMIFS(Base[Total],
Base[Ano],$B14,
Base[Mês],H$11,
Base[Gestor],$B$2)</f>
        <v>3907</v>
      </c>
      <c r="I14" s="80">
        <f>SUMIFS(Base[Total],
Base[Ano],$B14,
Base[Mês],I$11,
Base[Gestor],$B$2)</f>
        <v>7582</v>
      </c>
      <c r="J14" s="80">
        <f>SUMIFS(Base[Total],
Base[Ano],$B14,
Base[Mês],J$11,
Base[Gestor],$B$2)</f>
        <v>3918</v>
      </c>
      <c r="K14" s="80">
        <f>SUMIFS(Base[Total],
Base[Ano],$B14,
Base[Mês],K$11,
Base[Gestor],$B$2)</f>
        <v>4312</v>
      </c>
      <c r="L14" s="80">
        <f>SUMIFS(Base[Total],
Base[Ano],$B14,
Base[Mês],L$11,
Base[Gestor],$B$2)</f>
        <v>0</v>
      </c>
      <c r="M14" s="80">
        <f>SUMIFS(Base[Total],
Base[Ano],$B14,
Base[Mês],M$11,
Base[Gestor],$B$2)</f>
        <v>0</v>
      </c>
      <c r="N14" s="80">
        <f>SUMIFS(Base[Total],
Base[Ano],$B14,
Base[Mês],N$11,
Base[Gestor],$B$2)</f>
        <v>0</v>
      </c>
    </row>
    <row r="17" spans="2:14" x14ac:dyDescent="0.25">
      <c r="B17" s="79" t="s">
        <v>6</v>
      </c>
      <c r="C17" s="79" t="s">
        <v>523</v>
      </c>
      <c r="D17" s="79" t="s">
        <v>528</v>
      </c>
      <c r="E17" s="79" t="s">
        <v>529</v>
      </c>
      <c r="F17" s="79" t="s">
        <v>530</v>
      </c>
      <c r="G17" s="79" t="s">
        <v>531</v>
      </c>
      <c r="H17" s="79" t="s">
        <v>532</v>
      </c>
      <c r="I17" s="79" t="s">
        <v>533</v>
      </c>
      <c r="J17" s="79" t="s">
        <v>534</v>
      </c>
      <c r="K17" s="79" t="s">
        <v>535</v>
      </c>
      <c r="L17" s="79" t="s">
        <v>536</v>
      </c>
      <c r="M17" s="79" t="s">
        <v>537</v>
      </c>
      <c r="N17" s="79" t="s">
        <v>538</v>
      </c>
    </row>
    <row r="18" spans="2:14" x14ac:dyDescent="0.25">
      <c r="B18" s="80">
        <v>2016</v>
      </c>
      <c r="C18" s="80">
        <f>SUMIFS(Base[Alunos],
Base[Ano],$B18,
Base[Mês],C$17,
Base[Gestor],$B$2)</f>
        <v>129</v>
      </c>
      <c r="D18" s="80">
        <f>SUMIFS(Base[Alunos],
Base[Ano],$B18,
Base[Mês],D$17,
Base[Gestor],$B$2)</f>
        <v>150</v>
      </c>
      <c r="E18" s="80">
        <f>SUMIFS(Base[Alunos],
Base[Ano],$B18,
Base[Mês],E$17,
Base[Gestor],$B$2)</f>
        <v>129</v>
      </c>
      <c r="F18" s="80">
        <f>SUMIFS(Base[Alunos],
Base[Ano],$B18,
Base[Mês],F$17,
Base[Gestor],$B$2)</f>
        <v>177</v>
      </c>
      <c r="G18" s="80">
        <f>SUMIFS(Base[Alunos],
Base[Ano],$B18,
Base[Mês],G$17,
Base[Gestor],$B$2)</f>
        <v>153</v>
      </c>
      <c r="H18" s="80">
        <f>SUMIFS(Base[Alunos],
Base[Ano],$B18,
Base[Mês],H$17,
Base[Gestor],$B$2)</f>
        <v>110</v>
      </c>
      <c r="I18" s="80">
        <f>SUMIFS(Base[Alunos],
Base[Ano],$B18,
Base[Mês],I$17,
Base[Gestor],$B$2)</f>
        <v>150</v>
      </c>
      <c r="J18" s="80">
        <f>SUMIFS(Base[Alunos],
Base[Ano],$B18,
Base[Mês],J$17,
Base[Gestor],$B$2)</f>
        <v>90</v>
      </c>
      <c r="K18" s="80">
        <f>SUMIFS(Base[Alunos],
Base[Ano],$B18,
Base[Mês],K$17,
Base[Gestor],$B$2)</f>
        <v>97</v>
      </c>
      <c r="L18" s="80">
        <f>SUMIFS(Base[Alunos],
Base[Ano],$B18,
Base[Mês],L$17,
Base[Gestor],$B$2)</f>
        <v>120</v>
      </c>
      <c r="M18" s="80">
        <f>SUMIFS(Base[Alunos],
Base[Ano],$B18,
Base[Mês],M$17,
Base[Gestor],$B$2)</f>
        <v>81</v>
      </c>
      <c r="N18" s="80">
        <f>SUMIFS(Base[Alunos],
Base[Ano],$B18,
Base[Mês],N$17,
Base[Gestor],$B$2)</f>
        <v>118</v>
      </c>
    </row>
    <row r="19" spans="2:14" x14ac:dyDescent="0.25">
      <c r="B19" s="80">
        <v>2017</v>
      </c>
      <c r="C19" s="80">
        <f>SUMIFS(Base[Alunos],
Base[Ano],$B19,
Base[Mês],C$17,
Base[Gestor],$B$2)</f>
        <v>122</v>
      </c>
      <c r="D19" s="80">
        <f>SUMIFS(Base[Alunos],
Base[Ano],$B19,
Base[Mês],D$17,
Base[Gestor],$B$2)</f>
        <v>53</v>
      </c>
      <c r="E19" s="80">
        <f>SUMIFS(Base[Alunos],
Base[Ano],$B19,
Base[Mês],E$17,
Base[Gestor],$B$2)</f>
        <v>92</v>
      </c>
      <c r="F19" s="80">
        <f>SUMIFS(Base[Alunos],
Base[Ano],$B19,
Base[Mês],F$17,
Base[Gestor],$B$2)</f>
        <v>140</v>
      </c>
      <c r="G19" s="80">
        <f>SUMIFS(Base[Alunos],
Base[Ano],$B19,
Base[Mês],G$17,
Base[Gestor],$B$2)</f>
        <v>79</v>
      </c>
      <c r="H19" s="80">
        <f>SUMIFS(Base[Alunos],
Base[Ano],$B19,
Base[Mês],H$17,
Base[Gestor],$B$2)</f>
        <v>102</v>
      </c>
      <c r="I19" s="80">
        <f>SUMIFS(Base[Alunos],
Base[Ano],$B19,
Base[Mês],I$17,
Base[Gestor],$B$2)</f>
        <v>33</v>
      </c>
      <c r="J19" s="80">
        <f>SUMIFS(Base[Alunos],
Base[Ano],$B19,
Base[Mês],J$17,
Base[Gestor],$B$2)</f>
        <v>152</v>
      </c>
      <c r="K19" s="80">
        <f>SUMIFS(Base[Alunos],
Base[Ano],$B19,
Base[Mês],K$17,
Base[Gestor],$B$2)</f>
        <v>65</v>
      </c>
      <c r="L19" s="80">
        <f>SUMIFS(Base[Alunos],
Base[Ano],$B19,
Base[Mês],L$17,
Base[Gestor],$B$2)</f>
        <v>33</v>
      </c>
      <c r="M19" s="80">
        <f>SUMIFS(Base[Alunos],
Base[Ano],$B19,
Base[Mês],M$17,
Base[Gestor],$B$2)</f>
        <v>152</v>
      </c>
      <c r="N19" s="80">
        <f>SUMIFS(Base[Alunos],
Base[Ano],$B19,
Base[Mês],N$17,
Base[Gestor],$B$2)</f>
        <v>65</v>
      </c>
    </row>
    <row r="20" spans="2:14" x14ac:dyDescent="0.25">
      <c r="B20" s="80">
        <v>2018</v>
      </c>
      <c r="C20" s="80">
        <f>SUMIFS(Base[Alunos],
Base[Ano],$B20,
Base[Mês],C$17,
Base[Gestor],$B$2)</f>
        <v>141</v>
      </c>
      <c r="D20" s="80">
        <f>SUMIFS(Base[Alunos],
Base[Ano],$B20,
Base[Mês],D$17,
Base[Gestor],$B$2)</f>
        <v>139</v>
      </c>
      <c r="E20" s="80">
        <f>SUMIFS(Base[Alunos],
Base[Ano],$B20,
Base[Mês],E$17,
Base[Gestor],$B$2)</f>
        <v>79</v>
      </c>
      <c r="F20" s="80">
        <f>SUMIFS(Base[Alunos],
Base[Ano],$B20,
Base[Mês],F$17,
Base[Gestor],$B$2)</f>
        <v>208</v>
      </c>
      <c r="G20" s="80">
        <f>SUMIFS(Base[Alunos],
Base[Ano],$B20,
Base[Mês],G$17,
Base[Gestor],$B$2)</f>
        <v>163</v>
      </c>
      <c r="H20" s="80">
        <f>SUMIFS(Base[Alunos],
Base[Ano],$B20,
Base[Mês],H$17,
Base[Gestor],$B$2)</f>
        <v>81</v>
      </c>
      <c r="I20" s="80">
        <f>SUMIFS(Base[Alunos],
Base[Ano],$B20,
Base[Mês],I$17,
Base[Gestor],$B$2)</f>
        <v>159</v>
      </c>
      <c r="J20" s="80">
        <f>SUMIFS(Base[Alunos],
Base[Ano],$B20,
Base[Mês],J$17,
Base[Gestor],$B$2)</f>
        <v>84</v>
      </c>
      <c r="K20" s="80">
        <f>SUMIFS(Base[Alunos],
Base[Ano],$B20,
Base[Mês],K$17,
Base[Gestor],$B$2)</f>
        <v>87</v>
      </c>
      <c r="L20" s="80">
        <f>SUMIFS(Base[Alunos],
Base[Ano],$B20,
Base[Mês],L$17,
Base[Gestor],$B$2)</f>
        <v>0</v>
      </c>
      <c r="M20" s="80">
        <f>SUMIFS(Base[Alunos],
Base[Ano],$B20,
Base[Mês],M$17,
Base[Gestor],$B$2)</f>
        <v>0</v>
      </c>
      <c r="N20" s="80">
        <f>SUMIFS(Base[Alunos],
Base[Ano],$B20,
Base[Mês],N$17,
Base[Gestor],$B$2)</f>
        <v>0</v>
      </c>
    </row>
    <row r="23" spans="2:14" x14ac:dyDescent="0.25">
      <c r="B23" s="79" t="s">
        <v>878</v>
      </c>
      <c r="C23" s="79" t="s">
        <v>523</v>
      </c>
      <c r="D23" s="79" t="s">
        <v>528</v>
      </c>
      <c r="E23" s="79" t="s">
        <v>529</v>
      </c>
      <c r="F23" s="79" t="s">
        <v>530</v>
      </c>
      <c r="G23" s="79" t="s">
        <v>531</v>
      </c>
      <c r="H23" s="79" t="s">
        <v>532</v>
      </c>
      <c r="I23" s="79" t="s">
        <v>533</v>
      </c>
      <c r="J23" s="79" t="s">
        <v>534</v>
      </c>
      <c r="K23" s="79" t="s">
        <v>535</v>
      </c>
      <c r="L23" s="79" t="s">
        <v>536</v>
      </c>
      <c r="M23" s="79" t="s">
        <v>537</v>
      </c>
      <c r="N23" s="79" t="s">
        <v>538</v>
      </c>
    </row>
    <row r="24" spans="2:14" x14ac:dyDescent="0.25">
      <c r="B24" s="80">
        <v>2016</v>
      </c>
      <c r="C24" s="82">
        <f>IFERROR(
AVERAGEIFS(Base[Feedback],
Base[Ano],$B24,
Base[Mês],C$23,
Base[Gestor],$B$2),"")</f>
        <v>3.3076923076923075</v>
      </c>
      <c r="D24" s="82">
        <f>IFERROR(
AVERAGEIFS(Base[Feedback],
Base[Ano],$B24,
Base[Mês],D$23,
Base[Gestor],$B$2),"")</f>
        <v>4.0714285714285712</v>
      </c>
      <c r="E24" s="82">
        <f>IFERROR(
AVERAGEIFS(Base[Feedback],
Base[Ano],$B24,
Base[Mês],E$23,
Base[Gestor],$B$2),"")</f>
        <v>3.6153846153846154</v>
      </c>
      <c r="F24" s="82">
        <f>IFERROR(
AVERAGEIFS(Base[Feedback],
Base[Ano],$B24,
Base[Mês],F$23,
Base[Gestor],$B$2),"")</f>
        <v>3.6111111111111112</v>
      </c>
      <c r="G24" s="82">
        <f>IFERROR(
AVERAGEIFS(Base[Feedback],
Base[Ano],$B24,
Base[Mês],G$23,
Base[Gestor],$B$2),"")</f>
        <v>3.4</v>
      </c>
      <c r="H24" s="82">
        <f>IFERROR(
AVERAGEIFS(Base[Feedback],
Base[Ano],$B24,
Base[Mês],H$23,
Base[Gestor],$B$2),"")</f>
        <v>3.3636363636363638</v>
      </c>
      <c r="I24" s="82">
        <f>IFERROR(
AVERAGEIFS(Base[Feedback],
Base[Ano],$B24,
Base[Mês],I$23,
Base[Gestor],$B$2),"")</f>
        <v>3.4666666666666668</v>
      </c>
      <c r="J24" s="82">
        <f>IFERROR(
AVERAGEIFS(Base[Feedback],
Base[Ano],$B24,
Base[Mês],J$23,
Base[Gestor],$B$2),"")</f>
        <v>3.625</v>
      </c>
      <c r="K24" s="82">
        <f>IFERROR(
AVERAGEIFS(Base[Feedback],
Base[Ano],$B24,
Base[Mês],K$23,
Base[Gestor],$B$2),"")</f>
        <v>2.9</v>
      </c>
      <c r="L24" s="82">
        <f>IFERROR(
AVERAGEIFS(Base[Feedback],
Base[Ano],$B24,
Base[Mês],L$23,
Base[Gestor],$B$2),"")</f>
        <v>2.9166666666666665</v>
      </c>
      <c r="M24" s="82">
        <f>IFERROR(
AVERAGEIFS(Base[Feedback],
Base[Ano],$B24,
Base[Mês],M$23,
Base[Gestor],$B$2),"")</f>
        <v>3.25</v>
      </c>
      <c r="N24" s="82">
        <f>IFERROR(
AVERAGEIFS(Base[Feedback],
Base[Ano],$B24,
Base[Mês],N$23,
Base[Gestor],$B$2),"")</f>
        <v>3.4166666666666665</v>
      </c>
    </row>
    <row r="25" spans="2:14" x14ac:dyDescent="0.25">
      <c r="B25" s="80">
        <v>2017</v>
      </c>
      <c r="C25" s="82">
        <f>IFERROR(
AVERAGEIFS(Base[Feedback],
Base[Ano],$B25,
Base[Mês],C$23,
Base[Gestor],$B$2),"")</f>
        <v>3.5384615384615383</v>
      </c>
      <c r="D25" s="82">
        <f>IFERROR(
AVERAGEIFS(Base[Feedback],
Base[Ano],$B25,
Base[Mês],D$23,
Base[Gestor],$B$2),"")</f>
        <v>4.4000000000000004</v>
      </c>
      <c r="E25" s="82">
        <f>IFERROR(
AVERAGEIFS(Base[Feedback],
Base[Ano],$B25,
Base[Mês],E$23,
Base[Gestor],$B$2),"")</f>
        <v>3.4444444444444446</v>
      </c>
      <c r="F25" s="82">
        <f>IFERROR(
AVERAGEIFS(Base[Feedback],
Base[Ano],$B25,
Base[Mês],F$23,
Base[Gestor],$B$2),"")</f>
        <v>3.5</v>
      </c>
      <c r="G25" s="82">
        <f>IFERROR(
AVERAGEIFS(Base[Feedback],
Base[Ano],$B25,
Base[Mês],G$23,
Base[Gestor],$B$2),"")</f>
        <v>4</v>
      </c>
      <c r="H25" s="82">
        <f>IFERROR(
AVERAGEIFS(Base[Feedback],
Base[Ano],$B25,
Base[Mês],H$23,
Base[Gestor],$B$2),"")</f>
        <v>4</v>
      </c>
      <c r="I25" s="82">
        <f>IFERROR(
AVERAGEIFS(Base[Feedback],
Base[Ano],$B25,
Base[Mês],I$23,
Base[Gestor],$B$2),"")</f>
        <v>3.3333333333333335</v>
      </c>
      <c r="J25" s="82">
        <f>IFERROR(
AVERAGEIFS(Base[Feedback],
Base[Ano],$B25,
Base[Mês],J$23,
Base[Gestor],$B$2),"")</f>
        <v>3.4</v>
      </c>
      <c r="K25" s="82">
        <f>IFERROR(
AVERAGEIFS(Base[Feedback],
Base[Ano],$B25,
Base[Mês],K$23,
Base[Gestor],$B$2),"")</f>
        <v>4.2857142857142856</v>
      </c>
      <c r="L25" s="82">
        <f>IFERROR(
AVERAGEIFS(Base[Feedback],
Base[Ano],$B25,
Base[Mês],L$23,
Base[Gestor],$B$2),"")</f>
        <v>3.3333333333333335</v>
      </c>
      <c r="M25" s="82">
        <f>IFERROR(
AVERAGEIFS(Base[Feedback],
Base[Ano],$B25,
Base[Mês],M$23,
Base[Gestor],$B$2),"")</f>
        <v>3.4</v>
      </c>
      <c r="N25" s="82">
        <f>IFERROR(
AVERAGEIFS(Base[Feedback],
Base[Ano],$B25,
Base[Mês],N$23,
Base[Gestor],$B$2),"")</f>
        <v>4.2857142857142856</v>
      </c>
    </row>
    <row r="26" spans="2:14" x14ac:dyDescent="0.25">
      <c r="B26" s="80">
        <v>2018</v>
      </c>
      <c r="C26" s="82">
        <f>IFERROR(
AVERAGEIFS(Base[Feedback],
Base[Ano],$B26,
Base[Mês],C$23,
Base[Gestor],$B$2),"")</f>
        <v>3.7857142857142856</v>
      </c>
      <c r="D26" s="82">
        <f>IFERROR(
AVERAGEIFS(Base[Feedback],
Base[Ano],$B26,
Base[Mês],D$23,
Base[Gestor],$B$2),"")</f>
        <v>3.9230769230769229</v>
      </c>
      <c r="E26" s="82">
        <f>IFERROR(
AVERAGEIFS(Base[Feedback],
Base[Ano],$B26,
Base[Mês],E$23,
Base[Gestor],$B$2),"")</f>
        <v>2.875</v>
      </c>
      <c r="F26" s="82">
        <f>IFERROR(
AVERAGEIFS(Base[Feedback],
Base[Ano],$B26,
Base[Mês],F$23,
Base[Gestor],$B$2),"")</f>
        <v>3.5714285714285716</v>
      </c>
      <c r="G26" s="82">
        <f>IFERROR(
AVERAGEIFS(Base[Feedback],
Base[Ano],$B26,
Base[Mês],G$23,
Base[Gestor],$B$2),"")</f>
        <v>3.0625</v>
      </c>
      <c r="H26" s="82">
        <f>IFERROR(
AVERAGEIFS(Base[Feedback],
Base[Ano],$B26,
Base[Mês],H$23,
Base[Gestor],$B$2),"")</f>
        <v>3.25</v>
      </c>
      <c r="I26" s="82">
        <f>IFERROR(
AVERAGEIFS(Base[Feedback],
Base[Ano],$B26,
Base[Mês],I$23,
Base[Gestor],$B$2),"")</f>
        <v>3.6875</v>
      </c>
      <c r="J26" s="82">
        <f>IFERROR(
AVERAGEIFS(Base[Feedback],
Base[Ano],$B26,
Base[Mês],J$23,
Base[Gestor],$B$2),"")</f>
        <v>3.4444444444444446</v>
      </c>
      <c r="K26" s="82">
        <f>IFERROR(
AVERAGEIFS(Base[Feedback],
Base[Ano],$B26,
Base[Mês],K$23,
Base[Gestor],$B$2),"")</f>
        <v>4.333333333333333</v>
      </c>
      <c r="L26" s="82" t="str">
        <f>IFERROR(
AVERAGEIFS(Base[Feedback],
Base[Ano],$B26,
Base[Mês],L$23,
Base[Gestor],$B$2),"")</f>
        <v/>
      </c>
      <c r="M26" s="82" t="str">
        <f>IFERROR(
AVERAGEIFS(Base[Feedback],
Base[Ano],$B26,
Base[Mês],M$23,
Base[Gestor],$B$2),"")</f>
        <v/>
      </c>
      <c r="N26" s="82" t="str">
        <f>IFERROR(
AVERAGEIFS(Base[Feedback],
Base[Ano],$B26,
Base[Mês],N$23,
Base[Gestor],$B$2),"")</f>
        <v/>
      </c>
    </row>
    <row r="29" spans="2:14" x14ac:dyDescent="0.25">
      <c r="B29" s="79" t="s">
        <v>881</v>
      </c>
      <c r="C29" s="79" t="s">
        <v>523</v>
      </c>
      <c r="D29" s="79" t="s">
        <v>528</v>
      </c>
      <c r="E29" s="79" t="s">
        <v>529</v>
      </c>
      <c r="F29" s="79" t="s">
        <v>530</v>
      </c>
      <c r="G29" s="79" t="s">
        <v>531</v>
      </c>
      <c r="H29" s="79" t="s">
        <v>532</v>
      </c>
      <c r="I29" s="79" t="s">
        <v>533</v>
      </c>
      <c r="J29" s="79" t="s">
        <v>534</v>
      </c>
      <c r="K29" s="79" t="s">
        <v>535</v>
      </c>
      <c r="L29" s="79" t="s">
        <v>536</v>
      </c>
      <c r="M29" s="79" t="s">
        <v>537</v>
      </c>
      <c r="N29" s="79" t="s">
        <v>538</v>
      </c>
    </row>
    <row r="30" spans="2:14" x14ac:dyDescent="0.25">
      <c r="B30" s="80">
        <v>2016</v>
      </c>
      <c r="C30" s="83">
        <f>_xlfn.MAXIFS(Base[Total],
Base[Ano],$B30,
Base[Mês],C$29,
Base[Gestor],$B$2)</f>
        <v>732</v>
      </c>
      <c r="D30" s="83">
        <f>_xlfn.MAXIFS(Base[Total],
Base[Ano],$B30,
Base[Mês],D$29,
Base[Gestor],$B$2)</f>
        <v>876</v>
      </c>
      <c r="E30" s="83">
        <f>_xlfn.MAXIFS(Base[Total],
Base[Ano],$B30,
Base[Mês],E$29,
Base[Gestor],$B$2)</f>
        <v>876</v>
      </c>
      <c r="F30" s="83">
        <f>_xlfn.MAXIFS(Base[Total],
Base[Ano],$B30,
Base[Mês],F$29,
Base[Gestor],$B$2)</f>
        <v>876</v>
      </c>
      <c r="G30" s="83">
        <f>_xlfn.MAXIFS(Base[Total],
Base[Ano],$B30,
Base[Mês],G$29,
Base[Gestor],$B$2)</f>
        <v>750</v>
      </c>
      <c r="H30" s="83">
        <f>_xlfn.MAXIFS(Base[Total],
Base[Ano],$B30,
Base[Mês],H$29,
Base[Gestor],$B$2)</f>
        <v>825</v>
      </c>
      <c r="I30" s="83">
        <f>_xlfn.MAXIFS(Base[Total],
Base[Ano],$B30,
Base[Mês],I$29,
Base[Gestor],$B$2)</f>
        <v>825</v>
      </c>
      <c r="J30" s="83">
        <f>_xlfn.MAXIFS(Base[Total],
Base[Ano],$B30,
Base[Mês],J$29,
Base[Gestor],$B$2)</f>
        <v>576</v>
      </c>
      <c r="K30" s="83">
        <f>_xlfn.MAXIFS(Base[Total],
Base[Ano],$B30,
Base[Mês],K$29,
Base[Gestor],$B$2)</f>
        <v>620</v>
      </c>
      <c r="L30" s="83">
        <f>_xlfn.MAXIFS(Base[Total],
Base[Ano],$B30,
Base[Mês],L$29,
Base[Gestor],$B$2)</f>
        <v>744</v>
      </c>
      <c r="M30" s="83">
        <f>_xlfn.MAXIFS(Base[Total],
Base[Ano],$B30,
Base[Mês],M$29,
Base[Gestor],$B$2)</f>
        <v>682</v>
      </c>
      <c r="N30" s="83">
        <f>_xlfn.MAXIFS(Base[Total],
Base[Ano],$B30,
Base[Mês],N$29,
Base[Gestor],$B$2)</f>
        <v>624</v>
      </c>
    </row>
    <row r="31" spans="2:14" x14ac:dyDescent="0.25">
      <c r="B31" s="80">
        <v>2017</v>
      </c>
      <c r="C31" s="83">
        <f>_xlfn.MAXIFS(Base[Total],
Base[Ano],$B31,
Base[Mês],C$29,
Base[Gestor],$B$2)</f>
        <v>900</v>
      </c>
      <c r="D31" s="83">
        <f>_xlfn.MAXIFS(Base[Total],
Base[Ano],$B31,
Base[Mês],D$29,
Base[Gestor],$B$2)</f>
        <v>825</v>
      </c>
      <c r="E31" s="83">
        <f>_xlfn.MAXIFS(Base[Total],
Base[Ano],$B31,
Base[Mês],E$29,
Base[Gestor],$B$2)</f>
        <v>900</v>
      </c>
      <c r="F31" s="83">
        <f>_xlfn.MAXIFS(Base[Total],
Base[Ano],$B31,
Base[Mês],F$29,
Base[Gestor],$B$2)</f>
        <v>744</v>
      </c>
      <c r="G31" s="83">
        <f>_xlfn.MAXIFS(Base[Total],
Base[Ano],$B31,
Base[Mês],G$29,
Base[Gestor],$B$2)</f>
        <v>750</v>
      </c>
      <c r="H31" s="83">
        <f>_xlfn.MAXIFS(Base[Total],
Base[Ano],$B31,
Base[Mês],H$29,
Base[Gestor],$B$2)</f>
        <v>750</v>
      </c>
      <c r="I31" s="83">
        <f>_xlfn.MAXIFS(Base[Total],
Base[Ano],$B31,
Base[Mês],I$29,
Base[Gestor],$B$2)</f>
        <v>900</v>
      </c>
      <c r="J31" s="83">
        <f>_xlfn.MAXIFS(Base[Total],
Base[Ano],$B31,
Base[Mês],J$29,
Base[Gestor],$B$2)</f>
        <v>744</v>
      </c>
      <c r="K31" s="83">
        <f>_xlfn.MAXIFS(Base[Total],
Base[Ano],$B31,
Base[Mês],K$29,
Base[Gestor],$B$2)</f>
        <v>750</v>
      </c>
      <c r="L31" s="83">
        <f>_xlfn.MAXIFS(Base[Total],
Base[Ano],$B31,
Base[Mês],L$29,
Base[Gestor],$B$2)</f>
        <v>900</v>
      </c>
      <c r="M31" s="83">
        <f>_xlfn.MAXIFS(Base[Total],
Base[Ano],$B31,
Base[Mês],M$29,
Base[Gestor],$B$2)</f>
        <v>744</v>
      </c>
      <c r="N31" s="83">
        <f>_xlfn.MAXIFS(Base[Total],
Base[Ano],$B31,
Base[Mês],N$29,
Base[Gestor],$B$2)</f>
        <v>750</v>
      </c>
    </row>
    <row r="32" spans="2:14" x14ac:dyDescent="0.25">
      <c r="B32" s="80">
        <v>2018</v>
      </c>
      <c r="C32" s="83">
        <f>_xlfn.MAXIFS(Base[Total],
Base[Ano],$B32,
Base[Mês],C$29,
Base[Gestor],$B$2)</f>
        <v>876</v>
      </c>
      <c r="D32" s="83">
        <f>_xlfn.MAXIFS(Base[Total],
Base[Ano],$B32,
Base[Mês],D$29,
Base[Gestor],$B$2)</f>
        <v>803</v>
      </c>
      <c r="E32" s="83">
        <f>_xlfn.MAXIFS(Base[Total],
Base[Ano],$B32,
Base[Mês],E$29,
Base[Gestor],$B$2)</f>
        <v>876</v>
      </c>
      <c r="F32" s="83">
        <f>_xlfn.MAXIFS(Base[Total],
Base[Ano],$B32,
Base[Mês],F$29,
Base[Gestor],$B$2)</f>
        <v>732</v>
      </c>
      <c r="G32" s="83">
        <f>_xlfn.MAXIFS(Base[Total],
Base[Ano],$B32,
Base[Mês],G$29,
Base[Gestor],$B$2)</f>
        <v>825</v>
      </c>
      <c r="H32" s="83">
        <f>_xlfn.MAXIFS(Base[Total],
Base[Ano],$B32,
Base[Mês],H$29,
Base[Gestor],$B$2)</f>
        <v>693</v>
      </c>
      <c r="I32" s="83">
        <f>_xlfn.MAXIFS(Base[Total],
Base[Ano],$B32,
Base[Mês],I$29,
Base[Gestor],$B$2)</f>
        <v>825</v>
      </c>
      <c r="J32" s="83">
        <f>_xlfn.MAXIFS(Base[Total],
Base[Ano],$B32,
Base[Mês],J$29,
Base[Gestor],$B$2)</f>
        <v>620</v>
      </c>
      <c r="K32" s="83">
        <f>_xlfn.MAXIFS(Base[Total],
Base[Ano],$B32,
Base[Mês],K$29,
Base[Gestor],$B$2)</f>
        <v>576</v>
      </c>
      <c r="L32" s="83">
        <f>_xlfn.MAXIFS(Base[Total],
Base[Ano],$B32,
Base[Mês],L$29,
Base[Gestor],$B$2)</f>
        <v>0</v>
      </c>
      <c r="M32" s="83">
        <f>_xlfn.MAXIFS(Base[Total],
Base[Ano],$B32,
Base[Mês],M$29,
Base[Gestor],$B$2)</f>
        <v>0</v>
      </c>
      <c r="N32" s="83">
        <f>_xlfn.MAXIFS(Base[Total],
Base[Ano],$B32,
Base[Mês],N$29,
Base[Gestor],$B$2)</f>
        <v>0</v>
      </c>
    </row>
    <row r="35" spans="2:14" x14ac:dyDescent="0.25">
      <c r="B35" s="79" t="s">
        <v>880</v>
      </c>
      <c r="C35" s="79" t="s">
        <v>523</v>
      </c>
      <c r="D35" s="79" t="s">
        <v>528</v>
      </c>
      <c r="E35" s="79" t="s">
        <v>529</v>
      </c>
      <c r="F35" s="79" t="s">
        <v>530</v>
      </c>
      <c r="G35" s="79" t="s">
        <v>531</v>
      </c>
      <c r="H35" s="79" t="s">
        <v>532</v>
      </c>
      <c r="I35" s="79" t="s">
        <v>533</v>
      </c>
      <c r="J35" s="79" t="s">
        <v>534</v>
      </c>
      <c r="K35" s="79" t="s">
        <v>535</v>
      </c>
      <c r="L35" s="79" t="s">
        <v>536</v>
      </c>
      <c r="M35" s="79" t="s">
        <v>537</v>
      </c>
      <c r="N35" s="79" t="s">
        <v>538</v>
      </c>
    </row>
    <row r="36" spans="2:14" x14ac:dyDescent="0.25">
      <c r="B36" s="80">
        <v>2016</v>
      </c>
      <c r="C36" s="83">
        <f>_xlfn.MINIFS(Base[Total],
Base[Ano],$B36,
Base[Mês],C$35,
Base[Gestor],$B$2)</f>
        <v>248</v>
      </c>
      <c r="D36" s="83">
        <f>_xlfn.MINIFS(Base[Total],
Base[Ano],$B36,
Base[Mês],D$35,
Base[Gestor],$B$2)</f>
        <v>279</v>
      </c>
      <c r="E36" s="83">
        <f>_xlfn.MINIFS(Base[Total],
Base[Ano],$B36,
Base[Mês],E$35,
Base[Gestor],$B$2)</f>
        <v>264</v>
      </c>
      <c r="F36" s="83">
        <f>_xlfn.MINIFS(Base[Total],
Base[Ano],$B36,
Base[Mês],F$35,
Base[Gestor],$B$2)</f>
        <v>279</v>
      </c>
      <c r="G36" s="83">
        <f>_xlfn.MINIFS(Base[Total],
Base[Ano],$B36,
Base[Mês],G$35,
Base[Gestor],$B$2)</f>
        <v>320</v>
      </c>
      <c r="H36" s="83">
        <f>_xlfn.MINIFS(Base[Total],
Base[Ano],$B36,
Base[Mês],H$35,
Base[Gestor],$B$2)</f>
        <v>256</v>
      </c>
      <c r="I36" s="83">
        <f>_xlfn.MINIFS(Base[Total],
Base[Ano],$B36,
Base[Mês],I$35,
Base[Gestor],$B$2)</f>
        <v>256</v>
      </c>
      <c r="J36" s="83">
        <f>_xlfn.MINIFS(Base[Total],
Base[Ano],$B36,
Base[Mês],J$35,
Base[Gestor],$B$2)</f>
        <v>320</v>
      </c>
      <c r="K36" s="83">
        <f>_xlfn.MINIFS(Base[Total],
Base[Ano],$B36,
Base[Mês],K$35,
Base[Gestor],$B$2)</f>
        <v>288</v>
      </c>
      <c r="L36" s="83">
        <f>_xlfn.MINIFS(Base[Total],
Base[Ano],$B36,
Base[Mês],L$35,
Base[Gestor],$B$2)</f>
        <v>320</v>
      </c>
      <c r="M36" s="83">
        <f>_xlfn.MINIFS(Base[Total],
Base[Ano],$B36,
Base[Mês],M$35,
Base[Gestor],$B$2)</f>
        <v>350</v>
      </c>
      <c r="N36" s="83">
        <f>_xlfn.MINIFS(Base[Total],
Base[Ano],$B36,
Base[Mês],N$35,
Base[Gestor],$B$2)</f>
        <v>315</v>
      </c>
    </row>
    <row r="37" spans="2:14" x14ac:dyDescent="0.25">
      <c r="B37" s="80">
        <v>2017</v>
      </c>
      <c r="C37" s="83">
        <f>_xlfn.MINIFS(Base[Total],
Base[Ano],$B37,
Base[Mês],C$35,
Base[Gestor],$B$2)</f>
        <v>280</v>
      </c>
      <c r="D37" s="83">
        <f>_xlfn.MINIFS(Base[Total],
Base[Ano],$B37,
Base[Mês],D$35,
Base[Gestor],$B$2)</f>
        <v>320</v>
      </c>
      <c r="E37" s="83">
        <f>_xlfn.MINIFS(Base[Total],
Base[Ano],$B37,
Base[Mês],E$35,
Base[Gestor],$B$2)</f>
        <v>288</v>
      </c>
      <c r="F37" s="83">
        <f>_xlfn.MINIFS(Base[Total],
Base[Ano],$B37,
Base[Mês],F$35,
Base[Gestor],$B$2)</f>
        <v>280</v>
      </c>
      <c r="G37" s="83">
        <f>_xlfn.MINIFS(Base[Total],
Base[Ano],$B37,
Base[Mês],G$35,
Base[Gestor],$B$2)</f>
        <v>256</v>
      </c>
      <c r="H37" s="83">
        <f>_xlfn.MINIFS(Base[Total],
Base[Ano],$B37,
Base[Mês],H$35,
Base[Gestor],$B$2)</f>
        <v>378</v>
      </c>
      <c r="I37" s="83">
        <f>_xlfn.MINIFS(Base[Total],
Base[Ano],$B37,
Base[Mês],I$35,
Base[Gestor],$B$2)</f>
        <v>352</v>
      </c>
      <c r="J37" s="83">
        <f>_xlfn.MINIFS(Base[Total],
Base[Ano],$B37,
Base[Mês],J$35,
Base[Gestor],$B$2)</f>
        <v>280</v>
      </c>
      <c r="K37" s="83">
        <f>_xlfn.MINIFS(Base[Total],
Base[Ano],$B37,
Base[Mês],K$35,
Base[Gestor],$B$2)</f>
        <v>256</v>
      </c>
      <c r="L37" s="83">
        <f>_xlfn.MINIFS(Base[Total],
Base[Ano],$B37,
Base[Mês],L$35,
Base[Gestor],$B$2)</f>
        <v>352</v>
      </c>
      <c r="M37" s="83">
        <f>_xlfn.MINIFS(Base[Total],
Base[Ano],$B37,
Base[Mês],M$35,
Base[Gestor],$B$2)</f>
        <v>280</v>
      </c>
      <c r="N37" s="83">
        <f>_xlfn.MINIFS(Base[Total],
Base[Ano],$B37,
Base[Mês],N$35,
Base[Gestor],$B$2)</f>
        <v>256</v>
      </c>
    </row>
    <row r="38" spans="2:14" x14ac:dyDescent="0.25">
      <c r="B38" s="80">
        <v>2018</v>
      </c>
      <c r="C38" s="83">
        <f>_xlfn.MINIFS(Base[Total],
Base[Ano],$B38,
Base[Mês],C$35,
Base[Gestor],$B$2)</f>
        <v>248</v>
      </c>
      <c r="D38" s="83">
        <f>_xlfn.MINIFS(Base[Total],
Base[Ano],$B38,
Base[Mês],D$35,
Base[Gestor],$B$2)</f>
        <v>310</v>
      </c>
      <c r="E38" s="83">
        <f>_xlfn.MINIFS(Base[Total],
Base[Ano],$B38,
Base[Mês],E$35,
Base[Gestor],$B$2)</f>
        <v>264</v>
      </c>
      <c r="F38" s="83">
        <f>_xlfn.MINIFS(Base[Total],
Base[Ano],$B38,
Base[Mês],F$35,
Base[Gestor],$B$2)</f>
        <v>279</v>
      </c>
      <c r="G38" s="83">
        <f>_xlfn.MINIFS(Base[Total],
Base[Ano],$B38,
Base[Mês],G$35,
Base[Gestor],$B$2)</f>
        <v>256</v>
      </c>
      <c r="H38" s="83">
        <f>_xlfn.MINIFS(Base[Total],
Base[Ano],$B38,
Base[Mês],H$35,
Base[Gestor],$B$2)</f>
        <v>384</v>
      </c>
      <c r="I38" s="83">
        <f>_xlfn.MINIFS(Base[Total],
Base[Ano],$B38,
Base[Mês],I$35,
Base[Gestor],$B$2)</f>
        <v>256</v>
      </c>
      <c r="J38" s="83">
        <f>_xlfn.MINIFS(Base[Total],
Base[Ano],$B38,
Base[Mês],J$35,
Base[Gestor],$B$2)</f>
        <v>288</v>
      </c>
      <c r="K38" s="83">
        <f>_xlfn.MINIFS(Base[Total],
Base[Ano],$B38,
Base[Mês],K$35,
Base[Gestor],$B$2)</f>
        <v>384</v>
      </c>
      <c r="L38" s="83">
        <f>_xlfn.MINIFS(Base[Total],
Base[Ano],$B38,
Base[Mês],L$35,
Base[Gestor],$B$2)</f>
        <v>0</v>
      </c>
      <c r="M38" s="83">
        <f>_xlfn.MINIFS(Base[Total],
Base[Ano],$B38,
Base[Mês],M$35,
Base[Gestor],$B$2)</f>
        <v>0</v>
      </c>
      <c r="N38" s="83">
        <f>_xlfn.MINIFS(Base[Total],
Base[Ano],$B38,
Base[Mês],N$35,
Base[Gestor],$B$2)</f>
        <v>0</v>
      </c>
    </row>
  </sheetData>
  <dataValidations count="1">
    <dataValidation type="list" allowBlank="1" showInputMessage="1" showErrorMessage="1" sqref="B2" xr:uid="{00000000-0002-0000-0200-000000000000}">
      <formula1>"Marcelo Leal,Janny Costa,Alexandra Conceição"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4:R85"/>
  <sheetViews>
    <sheetView showGridLines="0" zoomScale="55" zoomScaleNormal="55" workbookViewId="0">
      <selection activeCell="M33" sqref="M33"/>
    </sheetView>
  </sheetViews>
  <sheetFormatPr defaultRowHeight="15.75" x14ac:dyDescent="0.25"/>
  <cols>
    <col min="1" max="1" width="9" style="130" customWidth="1"/>
    <col min="2" max="2" width="12.625" style="130" bestFit="1" customWidth="1"/>
    <col min="3" max="3" width="15.875" style="130" bestFit="1" customWidth="1"/>
    <col min="4" max="4" width="12.625" style="130" bestFit="1" customWidth="1"/>
    <col min="5" max="5" width="5.5" style="130" bestFit="1" customWidth="1"/>
    <col min="6" max="6" width="9.375" style="130" bestFit="1" customWidth="1"/>
    <col min="7" max="7" width="10.5" style="130" customWidth="1"/>
    <col min="8" max="8" width="9.375" style="130" bestFit="1" customWidth="1"/>
    <col min="9" max="9" width="16.25" style="130" bestFit="1" customWidth="1"/>
    <col min="10" max="10" width="10.25" style="130" bestFit="1" customWidth="1"/>
    <col min="11" max="11" width="8.25" style="130" bestFit="1" customWidth="1"/>
    <col min="12" max="12" width="10.125" style="130" bestFit="1" customWidth="1"/>
    <col min="13" max="13" width="42.375" style="130" customWidth="1"/>
    <col min="14" max="14" width="7.25" style="130" bestFit="1" customWidth="1"/>
    <col min="15" max="15" width="12.625" style="130" customWidth="1"/>
    <col min="16" max="16" width="9" style="130"/>
    <col min="17" max="17" width="12.625" style="130" bestFit="1" customWidth="1"/>
    <col min="18" max="18" width="6.5" style="130" bestFit="1" customWidth="1"/>
    <col min="19" max="16384" width="9" style="130"/>
  </cols>
  <sheetData>
    <row r="4" spans="2:17" s="127" customFormat="1" x14ac:dyDescent="0.25">
      <c r="B4" s="157">
        <v>3</v>
      </c>
      <c r="C4" s="143" t="str">
        <f>UPPER(INDEX(Gestores,B4))</f>
        <v>ALEXANDRA CONCEIÇÃO</v>
      </c>
      <c r="E4" s="157">
        <v>5</v>
      </c>
      <c r="F4" s="129"/>
      <c r="G4" s="157">
        <v>2</v>
      </c>
      <c r="I4" s="128"/>
      <c r="J4" s="144" t="str">
        <f>CHOOSE(E4,"JANEIRO","FEVEREIRO","MARÇO","ABRIL","MAIO","JUNHO","JULHO","AGOSTO","SETEMBRO","OUTUBRO","NOVEMBRO","DEZEMBRO")</f>
        <v>MAIO</v>
      </c>
      <c r="K4" s="145">
        <f>INDEX(Anos,G4)</f>
        <v>2017</v>
      </c>
      <c r="M4" s="146" t="str">
        <f>"VENDAS "&amp;UPPER(C4)&amp;" EM " &amp;J4&amp;" DE "&amp;K4</f>
        <v>VENDAS ALEXANDRA CONCEIÇÃO EM MAIO DE 2017</v>
      </c>
    </row>
    <row r="6" spans="2:17" x14ac:dyDescent="0.25">
      <c r="G6" s="125" t="s">
        <v>879</v>
      </c>
      <c r="H6" s="123"/>
      <c r="I6" s="125" t="s">
        <v>163</v>
      </c>
      <c r="J6" s="123"/>
      <c r="K6" s="125" t="s">
        <v>6</v>
      </c>
      <c r="L6" s="124"/>
      <c r="M6" s="126" t="s">
        <v>5</v>
      </c>
      <c r="N6" s="124"/>
      <c r="O6" s="126" t="s">
        <v>909</v>
      </c>
      <c r="P6" s="124"/>
      <c r="Q6" s="126" t="s">
        <v>910</v>
      </c>
    </row>
    <row r="7" spans="2:17" ht="25.5" x14ac:dyDescent="0.35">
      <c r="G7" s="149">
        <f>INDEX(Estatísticas!C6:N8,'Painel Consulta'!G4,'Painel Consulta'!E4)</f>
        <v>8</v>
      </c>
      <c r="H7" s="132"/>
      <c r="I7" s="150">
        <f>INDEX(Estatísticas!C12:N14,'Painel Consulta'!G4,'Painel Consulta'!E4)</f>
        <v>4038</v>
      </c>
      <c r="J7" s="132"/>
      <c r="K7" s="149">
        <f>INDEX(Estatísticas!C18:N20,'Painel Consulta'!G4,'Painel Consulta'!E4)</f>
        <v>79</v>
      </c>
      <c r="L7" s="132"/>
      <c r="M7" s="151">
        <f>INDEX(Estatísticas!C24:N26,'Painel Consulta'!G4,'Painel Consulta'!E4)</f>
        <v>4</v>
      </c>
      <c r="N7" s="132"/>
      <c r="O7" s="152">
        <f ca="1">G7/SUM(Mês_Dinâmico)</f>
        <v>0.25</v>
      </c>
      <c r="P7" s="132"/>
      <c r="Q7" s="152">
        <f ca="1">I7/(SUM(Ano_Dinamico_Reais))</f>
        <v>7.4773623687572913E-2</v>
      </c>
    </row>
    <row r="57" spans="2:5" x14ac:dyDescent="0.25">
      <c r="B57" s="133">
        <v>0</v>
      </c>
      <c r="C57" s="131">
        <v>1</v>
      </c>
      <c r="D57" s="131" t="s">
        <v>911</v>
      </c>
      <c r="E57" s="131">
        <v>18</v>
      </c>
    </row>
    <row r="58" spans="2:5" x14ac:dyDescent="0.25">
      <c r="B58" s="133">
        <v>0.1</v>
      </c>
      <c r="C58" s="131">
        <v>1</v>
      </c>
      <c r="D58" s="131" t="s">
        <v>161</v>
      </c>
      <c r="E58" s="148">
        <f>G7</f>
        <v>8</v>
      </c>
    </row>
    <row r="59" spans="2:5" x14ac:dyDescent="0.25">
      <c r="B59" s="133">
        <v>0.2</v>
      </c>
      <c r="C59" s="131">
        <v>1</v>
      </c>
      <c r="D59" s="131" t="s">
        <v>912</v>
      </c>
      <c r="E59" s="131">
        <v>0.01</v>
      </c>
    </row>
    <row r="65" spans="2:18" x14ac:dyDescent="0.25">
      <c r="B65" s="133">
        <v>0.3</v>
      </c>
      <c r="C65" s="131">
        <v>1</v>
      </c>
      <c r="D65" s="131" t="s">
        <v>103</v>
      </c>
      <c r="E65" s="148">
        <f>E57-E58-E59</f>
        <v>9.99</v>
      </c>
    </row>
    <row r="66" spans="2:18" x14ac:dyDescent="0.25">
      <c r="B66" s="133">
        <v>0.4</v>
      </c>
      <c r="C66" s="131">
        <v>1</v>
      </c>
    </row>
    <row r="67" spans="2:18" x14ac:dyDescent="0.25">
      <c r="B67" s="133">
        <v>0.5</v>
      </c>
      <c r="C67" s="131">
        <v>1</v>
      </c>
    </row>
    <row r="68" spans="2:18" x14ac:dyDescent="0.25">
      <c r="B68" s="133">
        <v>0.6</v>
      </c>
      <c r="C68" s="131">
        <v>1</v>
      </c>
      <c r="N68" s="130" t="s">
        <v>913</v>
      </c>
      <c r="O68" s="130">
        <v>1</v>
      </c>
      <c r="Q68" s="130" t="s">
        <v>917</v>
      </c>
      <c r="R68" s="130">
        <v>10</v>
      </c>
    </row>
    <row r="69" spans="2:18" x14ac:dyDescent="0.25">
      <c r="B69" s="133">
        <v>0.7</v>
      </c>
      <c r="C69" s="131">
        <v>1</v>
      </c>
      <c r="N69" s="130" t="s">
        <v>914</v>
      </c>
      <c r="O69" s="130">
        <v>1</v>
      </c>
      <c r="Q69" s="130" t="s">
        <v>161</v>
      </c>
      <c r="R69" s="153">
        <f>M7</f>
        <v>4</v>
      </c>
    </row>
    <row r="70" spans="2:18" x14ac:dyDescent="0.25">
      <c r="B70" s="133">
        <v>0.8</v>
      </c>
      <c r="C70" s="131">
        <v>1</v>
      </c>
      <c r="N70" s="130" t="s">
        <v>915</v>
      </c>
      <c r="O70" s="130">
        <v>1</v>
      </c>
      <c r="Q70" s="130" t="s">
        <v>912</v>
      </c>
      <c r="R70" s="147">
        <f>+R69*1%</f>
        <v>0.04</v>
      </c>
    </row>
    <row r="71" spans="2:18" x14ac:dyDescent="0.25">
      <c r="B71" s="133">
        <v>0.9</v>
      </c>
      <c r="C71" s="131">
        <v>1</v>
      </c>
      <c r="N71" s="130" t="s">
        <v>916</v>
      </c>
      <c r="O71" s="130">
        <v>1</v>
      </c>
      <c r="Q71" s="130" t="s">
        <v>103</v>
      </c>
      <c r="R71" s="153">
        <f>+R68-R69-R70</f>
        <v>5.96</v>
      </c>
    </row>
    <row r="72" spans="2:18" x14ac:dyDescent="0.25">
      <c r="O72" s="130">
        <v>1</v>
      </c>
    </row>
    <row r="73" spans="2:18" x14ac:dyDescent="0.25">
      <c r="O73" s="130">
        <v>1</v>
      </c>
    </row>
    <row r="74" spans="2:18" x14ac:dyDescent="0.25">
      <c r="O74" s="130">
        <v>1</v>
      </c>
    </row>
    <row r="75" spans="2:18" x14ac:dyDescent="0.25">
      <c r="O75" s="130">
        <v>1</v>
      </c>
    </row>
    <row r="83" spans="2:11" x14ac:dyDescent="0.25">
      <c r="B83" s="130" t="s">
        <v>911</v>
      </c>
      <c r="C83" s="134">
        <v>150</v>
      </c>
      <c r="D83" s="154">
        <v>1</v>
      </c>
      <c r="K83" s="154">
        <v>1</v>
      </c>
    </row>
    <row r="84" spans="2:11" x14ac:dyDescent="0.25">
      <c r="B84" s="130" t="s">
        <v>161</v>
      </c>
      <c r="C84" s="147">
        <f>K7</f>
        <v>79</v>
      </c>
      <c r="D84" s="155">
        <f>+C84/C83</f>
        <v>0.52666666666666662</v>
      </c>
      <c r="K84" s="156">
        <f ca="1">+O7</f>
        <v>0.25</v>
      </c>
    </row>
    <row r="85" spans="2:11" x14ac:dyDescent="0.25">
      <c r="B85" s="130" t="s">
        <v>103</v>
      </c>
      <c r="C85" s="147">
        <f>C83-C84</f>
        <v>71</v>
      </c>
      <c r="D85" s="156">
        <f>+D83-D84</f>
        <v>0.47333333333333338</v>
      </c>
      <c r="K85" s="156">
        <f ca="1">+K83-K84</f>
        <v>0.75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-down 1">
              <controlPr defaultSize="0" autoLine="0" autoPict="0">
                <anchor moveWithCells="1">
                  <from>
                    <xdr:col>9</xdr:col>
                    <xdr:colOff>504825</xdr:colOff>
                    <xdr:row>1</xdr:row>
                    <xdr:rowOff>123825</xdr:rowOff>
                  </from>
                  <to>
                    <xdr:col>12</xdr:col>
                    <xdr:colOff>219075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Drop-down 2">
              <controlPr defaultSize="0" autoLine="0" autoPict="0">
                <anchor moveWithCells="1">
                  <from>
                    <xdr:col>12</xdr:col>
                    <xdr:colOff>914400</xdr:colOff>
                    <xdr:row>1</xdr:row>
                    <xdr:rowOff>123825</xdr:rowOff>
                  </from>
                  <to>
                    <xdr:col>12</xdr:col>
                    <xdr:colOff>1647825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5" name="Drop-down 3">
              <controlPr defaultSize="0" autoLine="0" autoPict="0">
                <anchor moveWithCells="1">
                  <from>
                    <xdr:col>12</xdr:col>
                    <xdr:colOff>2000250</xdr:colOff>
                    <xdr:row>1</xdr:row>
                    <xdr:rowOff>133350</xdr:rowOff>
                  </from>
                  <to>
                    <xdr:col>12</xdr:col>
                    <xdr:colOff>2771775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6" name="Barra de rolagem 4">
              <controlPr defaultSize="0" autoPict="0">
                <anchor moveWithCells="1">
                  <from>
                    <xdr:col>11</xdr:col>
                    <xdr:colOff>581025</xdr:colOff>
                    <xdr:row>34</xdr:row>
                    <xdr:rowOff>76200</xdr:rowOff>
                  </from>
                  <to>
                    <xdr:col>14</xdr:col>
                    <xdr:colOff>942975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Q38"/>
  <sheetViews>
    <sheetView showGridLines="0" tabSelected="1" topLeftCell="A16" workbookViewId="0">
      <selection activeCell="E31" sqref="E31"/>
    </sheetView>
  </sheetViews>
  <sheetFormatPr defaultColWidth="12.25" defaultRowHeight="15.75" x14ac:dyDescent="0.25"/>
  <cols>
    <col min="1" max="16384" width="12.25" style="78"/>
  </cols>
  <sheetData>
    <row r="1" spans="2:14" ht="16.5" thickBot="1" x14ac:dyDescent="0.3"/>
    <row r="2" spans="2:14" x14ac:dyDescent="0.25">
      <c r="B2" s="81" t="s">
        <v>176</v>
      </c>
    </row>
    <row r="5" spans="2:14" x14ac:dyDescent="0.25">
      <c r="B5" s="79" t="s">
        <v>879</v>
      </c>
      <c r="C5" s="79" t="s">
        <v>523</v>
      </c>
      <c r="D5" s="79" t="s">
        <v>528</v>
      </c>
      <c r="E5" s="79" t="s">
        <v>529</v>
      </c>
      <c r="F5" s="79" t="s">
        <v>530</v>
      </c>
      <c r="G5" s="79" t="s">
        <v>531</v>
      </c>
      <c r="H5" s="79" t="s">
        <v>532</v>
      </c>
      <c r="I5" s="79" t="s">
        <v>533</v>
      </c>
      <c r="J5" s="79" t="s">
        <v>534</v>
      </c>
      <c r="K5" s="79" t="s">
        <v>535</v>
      </c>
      <c r="L5" s="79" t="s">
        <v>536</v>
      </c>
      <c r="M5" s="79" t="s">
        <v>537</v>
      </c>
      <c r="N5" s="79" t="s">
        <v>538</v>
      </c>
    </row>
    <row r="6" spans="2:14" x14ac:dyDescent="0.25">
      <c r="B6" s="80">
        <v>2016</v>
      </c>
      <c r="C6" s="80">
        <f>COUNTIFS(Base[Ano],$B6,
Base[Mês],C$5,
Base[Gestor],$B$2)</f>
        <v>12</v>
      </c>
      <c r="D6" s="80">
        <f>COUNTIFS(Base[Ano],$B6,
Base[Mês],D$5,
Base[Gestor],$B$2)</f>
        <v>18</v>
      </c>
      <c r="E6" s="80">
        <f>COUNTIFS(Base[Ano],$B6,
Base[Mês],E$5,
Base[Gestor],$B$2)</f>
        <v>15</v>
      </c>
      <c r="F6" s="80">
        <f>COUNTIFS(Base[Ano],$B6,
Base[Mês],F$5,
Base[Gestor],$B$2)</f>
        <v>18</v>
      </c>
      <c r="G6" s="80">
        <f>COUNTIFS(Base[Ano],$B6,
Base[Mês],G$5,
Base[Gestor],$B$2)</f>
        <v>11</v>
      </c>
      <c r="H6" s="80">
        <f>COUNTIFS(Base[Ano],$B6,
Base[Mês],H$5,
Base[Gestor],$B$2)</f>
        <v>10</v>
      </c>
      <c r="I6" s="80">
        <f>COUNTIFS(Base[Ano],$B6,
Base[Mês],I$5,
Base[Gestor],$B$2)</f>
        <v>5</v>
      </c>
      <c r="J6" s="80">
        <f>COUNTIFS(Base[Ano],$B6,
Base[Mês],J$5,
Base[Gestor],$B$2)</f>
        <v>11</v>
      </c>
      <c r="K6" s="80">
        <f>COUNTIFS(Base[Ano],$B6,
Base[Mês],K$5,
Base[Gestor],$B$2)</f>
        <v>11</v>
      </c>
      <c r="L6" s="80">
        <f>COUNTIFS(Base[Ano],$B6,
Base[Mês],L$5,
Base[Gestor],$B$2)</f>
        <v>6</v>
      </c>
      <c r="M6" s="80">
        <f>COUNTIFS(Base[Ano],$B6,
Base[Mês],M$5,
Base[Gestor],$B$2)</f>
        <v>13</v>
      </c>
      <c r="N6" s="80">
        <f>COUNTIFS(Base[Ano],$B6,
Base[Mês],N$5,
Base[Gestor],$B$2)</f>
        <v>8</v>
      </c>
    </row>
    <row r="7" spans="2:14" x14ac:dyDescent="0.25">
      <c r="B7" s="80">
        <v>2017</v>
      </c>
      <c r="C7" s="80">
        <f>COUNTIFS(Base[Ano],$B7,
Base[Mês],C$5,
Base[Gestor],$B$2)</f>
        <v>15</v>
      </c>
      <c r="D7" s="80">
        <f>COUNTIFS(Base[Ano],$B7,
Base[Mês],D$5,
Base[Gestor],$B$2)</f>
        <v>12</v>
      </c>
      <c r="E7" s="80">
        <f>COUNTIFS(Base[Ano],$B7,
Base[Mês],E$5,
Base[Gestor],$B$2)</f>
        <v>17</v>
      </c>
      <c r="F7" s="80">
        <f>COUNTIFS(Base[Ano],$B7,
Base[Mês],F$5,
Base[Gestor],$B$2)</f>
        <v>4</v>
      </c>
      <c r="G7" s="80">
        <f>COUNTIFS(Base[Ano],$B7,
Base[Mês],G$5,
Base[Gestor],$B$2)</f>
        <v>17</v>
      </c>
      <c r="H7" s="80">
        <f>COUNTIFS(Base[Ano],$B7,
Base[Mês],H$5,
Base[Gestor],$B$2)</f>
        <v>12</v>
      </c>
      <c r="I7" s="80">
        <f>COUNTIFS(Base[Ano],$B7,
Base[Mês],I$5,
Base[Gestor],$B$2)</f>
        <v>5</v>
      </c>
      <c r="J7" s="80">
        <f>COUNTIFS(Base[Ano],$B7,
Base[Mês],J$5,
Base[Gestor],$B$2)</f>
        <v>6</v>
      </c>
      <c r="K7" s="80">
        <f>COUNTIFS(Base[Ano],$B7,
Base[Mês],K$5,
Base[Gestor],$B$2)</f>
        <v>15</v>
      </c>
      <c r="L7" s="80">
        <f>COUNTIFS(Base[Ano],$B7,
Base[Mês],L$5,
Base[Gestor],$B$2)</f>
        <v>5</v>
      </c>
      <c r="M7" s="80">
        <f>COUNTIFS(Base[Ano],$B7,
Base[Mês],M$5,
Base[Gestor],$B$2)</f>
        <v>6</v>
      </c>
      <c r="N7" s="80">
        <f>COUNTIFS(Base[Ano],$B7,
Base[Mês],N$5,
Base[Gestor],$B$2)</f>
        <v>15</v>
      </c>
    </row>
    <row r="8" spans="2:14" x14ac:dyDescent="0.25">
      <c r="B8" s="80">
        <v>2018</v>
      </c>
      <c r="C8" s="80">
        <f>COUNTIFS(Base[Ano],$B8,
Base[Mês],C$5,
Base[Gestor],$B$2)</f>
        <v>16</v>
      </c>
      <c r="D8" s="80">
        <f>COUNTIFS(Base[Ano],$B8,
Base[Mês],D$5,
Base[Gestor],$B$2)</f>
        <v>16</v>
      </c>
      <c r="E8" s="80">
        <f>COUNTIFS(Base[Ano],$B8,
Base[Mês],E$5,
Base[Gestor],$B$2)</f>
        <v>15</v>
      </c>
      <c r="F8" s="80">
        <f>COUNTIFS(Base[Ano],$B8,
Base[Mês],F$5,
Base[Gestor],$B$2)</f>
        <v>16</v>
      </c>
      <c r="G8" s="80">
        <f>COUNTIFS(Base[Ano],$B8,
Base[Mês],G$5,
Base[Gestor],$B$2)</f>
        <v>10</v>
      </c>
      <c r="H8" s="80">
        <f>COUNTIFS(Base[Ano],$B8,
Base[Mês],H$5,
Base[Gestor],$B$2)</f>
        <v>9</v>
      </c>
      <c r="I8" s="80">
        <f>COUNTIFS(Base[Ano],$B8,
Base[Mês],I$5,
Base[Gestor],$B$2)</f>
        <v>4</v>
      </c>
      <c r="J8" s="80">
        <f>COUNTIFS(Base[Ano],$B8,
Base[Mês],J$5,
Base[Gestor],$B$2)</f>
        <v>15</v>
      </c>
      <c r="K8" s="80">
        <f>COUNTIFS(Base[Ano],$B8,
Base[Mês],K$5,
Base[Gestor],$B$2)</f>
        <v>9</v>
      </c>
      <c r="L8" s="80">
        <f>COUNTIFS(Base[Ano],$B8,
Base[Mês],L$5,
Base[Gestor],$B$2)</f>
        <v>0</v>
      </c>
      <c r="M8" s="80">
        <f>COUNTIFS(Base[Ano],$B8,
Base[Mês],M$5,
Base[Gestor],$B$2)</f>
        <v>0</v>
      </c>
      <c r="N8" s="80">
        <f>COUNTIFS(Base[Ano],$B8,
Base[Mês],N$5,
Base[Gestor],$B$2)</f>
        <v>0</v>
      </c>
    </row>
    <row r="11" spans="2:14" x14ac:dyDescent="0.25">
      <c r="B11" s="79" t="s">
        <v>882</v>
      </c>
      <c r="C11" s="79" t="s">
        <v>523</v>
      </c>
      <c r="D11" s="79" t="s">
        <v>528</v>
      </c>
      <c r="E11" s="79" t="s">
        <v>529</v>
      </c>
      <c r="F11" s="79" t="s">
        <v>530</v>
      </c>
      <c r="G11" s="79" t="s">
        <v>531</v>
      </c>
      <c r="H11" s="79" t="s">
        <v>532</v>
      </c>
      <c r="I11" s="79" t="s">
        <v>533</v>
      </c>
      <c r="J11" s="79" t="s">
        <v>534</v>
      </c>
      <c r="K11" s="79" t="s">
        <v>535</v>
      </c>
      <c r="L11" s="79" t="s">
        <v>536</v>
      </c>
      <c r="M11" s="79" t="s">
        <v>537</v>
      </c>
      <c r="N11" s="79" t="s">
        <v>538</v>
      </c>
    </row>
    <row r="12" spans="2:14" x14ac:dyDescent="0.25">
      <c r="B12" s="80">
        <v>2016</v>
      </c>
      <c r="C12" s="80">
        <f>SUMIFS(Base[Total],
Base[Ano],$B12,
Base[Mês],C$11,
Base[Gestor],$B$2)</f>
        <v>6367</v>
      </c>
      <c r="D12" s="80">
        <f>SUMIFS(Base[Total],
Base[Ano],$B12,
Base[Mês],D$11,
Base[Gestor],$B$2)</f>
        <v>8675</v>
      </c>
      <c r="E12" s="80">
        <f>SUMIFS(Base[Total],
Base[Ano],$B12,
Base[Mês],E$11,
Base[Gestor],$B$2)</f>
        <v>7090</v>
      </c>
      <c r="F12" s="80">
        <f>SUMIFS(Base[Total],
Base[Ano],$B12,
Base[Mês],F$11,
Base[Gestor],$B$2)</f>
        <v>7351</v>
      </c>
      <c r="G12" s="80">
        <f>SUMIFS(Base[Total],
Base[Ano],$B12,
Base[Mês],G$11,
Base[Gestor],$B$2)</f>
        <v>5339</v>
      </c>
      <c r="H12" s="80">
        <f>SUMIFS(Base[Total],
Base[Ano],$B12,
Base[Mês],H$11,
Base[Gestor],$B$2)</f>
        <v>4501</v>
      </c>
      <c r="I12" s="80">
        <f>SUMIFS(Base[Total],
Base[Ano],$B12,
Base[Mês],I$11,
Base[Gestor],$B$2)</f>
        <v>1814</v>
      </c>
      <c r="J12" s="80">
        <f>SUMIFS(Base[Total],
Base[Ano],$B12,
Base[Mês],J$11,
Base[Gestor],$B$2)</f>
        <v>4918</v>
      </c>
      <c r="K12" s="80">
        <f>SUMIFS(Base[Total],
Base[Ano],$B12,
Base[Mês],K$11,
Base[Gestor],$B$2)</f>
        <v>5590</v>
      </c>
      <c r="L12" s="80">
        <f>SUMIFS(Base[Total],
Base[Ano],$B12,
Base[Mês],L$11,
Base[Gestor],$B$2)</f>
        <v>3145</v>
      </c>
      <c r="M12" s="80">
        <f>SUMIFS(Base[Total],
Base[Ano],$B12,
Base[Mês],M$11,
Base[Gestor],$B$2)</f>
        <v>5847</v>
      </c>
      <c r="N12" s="80">
        <f>SUMIFS(Base[Total],
Base[Ano],$B12,
Base[Mês],N$11,
Base[Gestor],$B$2)</f>
        <v>3939</v>
      </c>
    </row>
    <row r="13" spans="2:14" x14ac:dyDescent="0.25">
      <c r="B13" s="80">
        <v>2017</v>
      </c>
      <c r="C13" s="80">
        <f>SUMIFS(Base[Total],
Base[Ano],$B13,
Base[Mês],C$11,
Base[Gestor],$B$2)</f>
        <v>6464</v>
      </c>
      <c r="D13" s="80">
        <f>SUMIFS(Base[Total],
Base[Ano],$B13,
Base[Mês],D$11,
Base[Gestor],$B$2)</f>
        <v>6118</v>
      </c>
      <c r="E13" s="80">
        <f>SUMIFS(Base[Total],
Base[Ano],$B13,
Base[Mês],E$11,
Base[Gestor],$B$2)</f>
        <v>8533</v>
      </c>
      <c r="F13" s="80">
        <f>SUMIFS(Base[Total],
Base[Ano],$B13,
Base[Mês],F$11,
Base[Gestor],$B$2)</f>
        <v>1760</v>
      </c>
      <c r="G13" s="80">
        <f>SUMIFS(Base[Total],
Base[Ano],$B13,
Base[Mês],G$11,
Base[Gestor],$B$2)</f>
        <v>9499</v>
      </c>
      <c r="H13" s="80">
        <f>SUMIFS(Base[Total],
Base[Ano],$B13,
Base[Mês],H$11,
Base[Gestor],$B$2)</f>
        <v>6933</v>
      </c>
      <c r="I13" s="80">
        <f>SUMIFS(Base[Total],
Base[Ano],$B13,
Base[Mês],I$11,
Base[Gestor],$B$2)</f>
        <v>2697</v>
      </c>
      <c r="J13" s="80">
        <f>SUMIFS(Base[Total],
Base[Ano],$B13,
Base[Mês],J$11,
Base[Gestor],$B$2)</f>
        <v>3404</v>
      </c>
      <c r="K13" s="80">
        <f>SUMIFS(Base[Total],
Base[Ano],$B13,
Base[Mês],K$11,
Base[Gestor],$B$2)</f>
        <v>7855</v>
      </c>
      <c r="L13" s="80">
        <f>SUMIFS(Base[Total],
Base[Ano],$B13,
Base[Mês],L$11,
Base[Gestor],$B$2)</f>
        <v>2697</v>
      </c>
      <c r="M13" s="80">
        <f>SUMIFS(Base[Total],
Base[Ano],$B13,
Base[Mês],M$11,
Base[Gestor],$B$2)</f>
        <v>3404</v>
      </c>
      <c r="N13" s="80">
        <f>SUMIFS(Base[Total],
Base[Ano],$B13,
Base[Mês],N$11,
Base[Gestor],$B$2)</f>
        <v>7855</v>
      </c>
    </row>
    <row r="14" spans="2:14" x14ac:dyDescent="0.25">
      <c r="B14" s="80">
        <v>2018</v>
      </c>
      <c r="C14" s="80">
        <f>SUMIFS(Base[Total],
Base[Ano],$B14,
Base[Mês],C$11,
Base[Gestor],$B$2)</f>
        <v>7571</v>
      </c>
      <c r="D14" s="80">
        <f>SUMIFS(Base[Total],
Base[Ano],$B14,
Base[Mês],D$11,
Base[Gestor],$B$2)</f>
        <v>7783</v>
      </c>
      <c r="E14" s="80">
        <f>SUMIFS(Base[Total],
Base[Ano],$B14,
Base[Mês],E$11,
Base[Gestor],$B$2)</f>
        <v>7016</v>
      </c>
      <c r="F14" s="80">
        <f>SUMIFS(Base[Total],
Base[Ano],$B14,
Base[Mês],F$11,
Base[Gestor],$B$2)</f>
        <v>6584</v>
      </c>
      <c r="G14" s="80">
        <f>SUMIFS(Base[Total],
Base[Ano],$B14,
Base[Mês],G$11,
Base[Gestor],$B$2)</f>
        <v>4906</v>
      </c>
      <c r="H14" s="80">
        <f>SUMIFS(Base[Total],
Base[Ano],$B14,
Base[Mês],H$11,
Base[Gestor],$B$2)</f>
        <v>4000</v>
      </c>
      <c r="I14" s="80">
        <f>SUMIFS(Base[Total],
Base[Ano],$B14,
Base[Mês],I$11,
Base[Gestor],$B$2)</f>
        <v>1355</v>
      </c>
      <c r="J14" s="80">
        <f>SUMIFS(Base[Total],
Base[Ano],$B14,
Base[Mês],J$11,
Base[Gestor],$B$2)</f>
        <v>6888</v>
      </c>
      <c r="K14" s="80">
        <f>SUMIFS(Base[Total],
Base[Ano],$B14,
Base[Mês],K$11,
Base[Gestor],$B$2)</f>
        <v>5135</v>
      </c>
      <c r="L14" s="80">
        <f>SUMIFS(Base[Total],
Base[Ano],$B14,
Base[Mês],L$11,
Base[Gestor],$B$2)</f>
        <v>0</v>
      </c>
      <c r="M14" s="80">
        <f>SUMIFS(Base[Total],
Base[Ano],$B14,
Base[Mês],M$11,
Base[Gestor],$B$2)</f>
        <v>0</v>
      </c>
      <c r="N14" s="80">
        <f>SUMIFS(Base[Total],
Base[Ano],$B14,
Base[Mês],N$11,
Base[Gestor],$B$2)</f>
        <v>0</v>
      </c>
    </row>
    <row r="17" spans="2:17" x14ac:dyDescent="0.25">
      <c r="B17" s="79" t="s">
        <v>883</v>
      </c>
      <c r="C17" s="79" t="s">
        <v>523</v>
      </c>
      <c r="D17" s="79" t="s">
        <v>528</v>
      </c>
      <c r="E17" s="79" t="s">
        <v>529</v>
      </c>
      <c r="F17" s="79" t="s">
        <v>530</v>
      </c>
      <c r="G17" s="79" t="s">
        <v>531</v>
      </c>
      <c r="H17" s="79" t="s">
        <v>532</v>
      </c>
      <c r="I17" s="79" t="s">
        <v>533</v>
      </c>
      <c r="J17" s="79" t="s">
        <v>534</v>
      </c>
      <c r="K17" s="79" t="s">
        <v>535</v>
      </c>
      <c r="L17" s="79" t="s">
        <v>536</v>
      </c>
      <c r="M17" s="79" t="s">
        <v>537</v>
      </c>
      <c r="N17" s="79" t="s">
        <v>538</v>
      </c>
      <c r="O17"/>
      <c r="P17"/>
      <c r="Q17"/>
    </row>
    <row r="18" spans="2:17" x14ac:dyDescent="0.25">
      <c r="B18" s="80">
        <v>2016</v>
      </c>
      <c r="C18" s="80"/>
      <c r="D18" s="85">
        <f t="shared" ref="D18:N18" si="0">IFERROR(+D6/C6-100%,"")</f>
        <v>0.5</v>
      </c>
      <c r="E18" s="85">
        <f t="shared" si="0"/>
        <v>-0.16666666666666663</v>
      </c>
      <c r="F18" s="85">
        <f>IFERROR(+F6/E6-100%,"")</f>
        <v>0.19999999999999996</v>
      </c>
      <c r="G18" s="85">
        <f>IFERROR(+G6/F6-100%,"")</f>
        <v>-0.38888888888888884</v>
      </c>
      <c r="H18" s="85">
        <f>IFERROR(+H6/G6-100%,"")</f>
        <v>-9.0909090909090939E-2</v>
      </c>
      <c r="I18" s="85">
        <f t="shared" si="0"/>
        <v>-0.5</v>
      </c>
      <c r="J18" s="85">
        <f t="shared" si="0"/>
        <v>1.2000000000000002</v>
      </c>
      <c r="K18" s="85">
        <f t="shared" si="0"/>
        <v>0</v>
      </c>
      <c r="L18" s="85">
        <f t="shared" si="0"/>
        <v>-0.45454545454545459</v>
      </c>
      <c r="M18" s="85">
        <f t="shared" si="0"/>
        <v>1.1666666666666665</v>
      </c>
      <c r="N18" s="85">
        <f t="shared" si="0"/>
        <v>-0.38461538461538458</v>
      </c>
      <c r="O18"/>
      <c r="P18"/>
      <c r="Q18"/>
    </row>
    <row r="19" spans="2:17" x14ac:dyDescent="0.25">
      <c r="B19" s="80">
        <v>2017</v>
      </c>
      <c r="C19" s="86">
        <f>C7/N6-1</f>
        <v>0.875</v>
      </c>
      <c r="D19" s="85">
        <f t="shared" ref="D19:N19" si="1">IFERROR(+D7/C7-100%,"")</f>
        <v>-0.19999999999999996</v>
      </c>
      <c r="E19" s="85">
        <f t="shared" si="1"/>
        <v>0.41666666666666674</v>
      </c>
      <c r="F19" s="85">
        <f t="shared" si="1"/>
        <v>-0.76470588235294112</v>
      </c>
      <c r="G19" s="85">
        <f t="shared" si="1"/>
        <v>3.25</v>
      </c>
      <c r="H19" s="85">
        <f t="shared" si="1"/>
        <v>-0.29411764705882348</v>
      </c>
      <c r="I19" s="85">
        <f t="shared" si="1"/>
        <v>-0.58333333333333326</v>
      </c>
      <c r="J19" s="85">
        <f t="shared" si="1"/>
        <v>0.19999999999999996</v>
      </c>
      <c r="K19" s="85">
        <f t="shared" si="1"/>
        <v>1.5</v>
      </c>
      <c r="L19" s="85">
        <f t="shared" si="1"/>
        <v>-0.66666666666666674</v>
      </c>
      <c r="M19" s="85">
        <f t="shared" si="1"/>
        <v>0.19999999999999996</v>
      </c>
      <c r="N19" s="85">
        <f t="shared" si="1"/>
        <v>1.5</v>
      </c>
      <c r="O19"/>
      <c r="P19"/>
      <c r="Q19"/>
    </row>
    <row r="20" spans="2:17" x14ac:dyDescent="0.25">
      <c r="B20" s="80">
        <v>2018</v>
      </c>
      <c r="C20" s="86">
        <f>C8/N7-1</f>
        <v>6.6666666666666652E-2</v>
      </c>
      <c r="D20" s="85">
        <f t="shared" ref="D20:N20" si="2">IFERROR(+D8/C8-100%,"")</f>
        <v>0</v>
      </c>
      <c r="E20" s="85">
        <f t="shared" si="2"/>
        <v>-6.25E-2</v>
      </c>
      <c r="F20" s="85">
        <f t="shared" si="2"/>
        <v>6.6666666666666652E-2</v>
      </c>
      <c r="G20" s="85">
        <f t="shared" si="2"/>
        <v>-0.375</v>
      </c>
      <c r="H20" s="85">
        <f t="shared" si="2"/>
        <v>-9.9999999999999978E-2</v>
      </c>
      <c r="I20" s="85">
        <f t="shared" si="2"/>
        <v>-0.55555555555555558</v>
      </c>
      <c r="J20" s="85">
        <f t="shared" si="2"/>
        <v>2.75</v>
      </c>
      <c r="K20" s="85">
        <f t="shared" si="2"/>
        <v>-0.4</v>
      </c>
      <c r="L20" s="85">
        <f t="shared" si="2"/>
        <v>-1</v>
      </c>
      <c r="M20" s="85" t="str">
        <f t="shared" si="2"/>
        <v/>
      </c>
      <c r="N20" s="85" t="str">
        <f t="shared" si="2"/>
        <v/>
      </c>
      <c r="O20"/>
      <c r="P20"/>
      <c r="Q20"/>
    </row>
    <row r="21" spans="2:17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2:17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2:17" x14ac:dyDescent="0.25">
      <c r="B23" s="79" t="s">
        <v>885</v>
      </c>
      <c r="C23" s="79" t="s">
        <v>523</v>
      </c>
      <c r="D23" s="79" t="s">
        <v>528</v>
      </c>
      <c r="E23" s="79" t="s">
        <v>529</v>
      </c>
      <c r="F23" s="79" t="s">
        <v>530</v>
      </c>
      <c r="G23" s="79" t="s">
        <v>531</v>
      </c>
      <c r="H23" s="79" t="s">
        <v>532</v>
      </c>
      <c r="I23" s="79" t="s">
        <v>533</v>
      </c>
      <c r="J23" s="79" t="s">
        <v>534</v>
      </c>
      <c r="K23" s="79" t="s">
        <v>535</v>
      </c>
      <c r="L23" s="79" t="s">
        <v>536</v>
      </c>
      <c r="M23" s="79" t="s">
        <v>537</v>
      </c>
      <c r="N23" s="79" t="s">
        <v>538</v>
      </c>
      <c r="O23"/>
      <c r="P23"/>
      <c r="Q23"/>
    </row>
    <row r="24" spans="2:17" x14ac:dyDescent="0.25">
      <c r="B24" s="80">
        <v>2016</v>
      </c>
      <c r="C24" s="80"/>
      <c r="D24" s="85">
        <f>IFERROR(D12/C12-100%,"")</f>
        <v>0.36249411025600753</v>
      </c>
      <c r="E24" s="85">
        <f t="shared" ref="E24:N24" si="3">IFERROR(E12/D12-100%,"")</f>
        <v>-0.18270893371757924</v>
      </c>
      <c r="F24" s="85">
        <f t="shared" si="3"/>
        <v>3.6812411847672699E-2</v>
      </c>
      <c r="G24" s="85">
        <f t="shared" si="3"/>
        <v>-0.27370425792409192</v>
      </c>
      <c r="H24" s="85">
        <f t="shared" si="3"/>
        <v>-0.15695823187862901</v>
      </c>
      <c r="I24" s="85">
        <f t="shared" si="3"/>
        <v>-0.59697844923350374</v>
      </c>
      <c r="J24" s="85">
        <f t="shared" si="3"/>
        <v>1.7111356119073871</v>
      </c>
      <c r="K24" s="85">
        <f t="shared" si="3"/>
        <v>0.13664091093940622</v>
      </c>
      <c r="L24" s="85">
        <f t="shared" si="3"/>
        <v>-0.43738819320214672</v>
      </c>
      <c r="M24" s="85">
        <f t="shared" si="3"/>
        <v>0.85914149443561216</v>
      </c>
      <c r="N24" s="85">
        <f t="shared" si="3"/>
        <v>-0.32632119035402773</v>
      </c>
      <c r="O24"/>
      <c r="P24"/>
      <c r="Q24"/>
    </row>
    <row r="25" spans="2:17" x14ac:dyDescent="0.25">
      <c r="B25" s="80">
        <v>2017</v>
      </c>
      <c r="C25" s="86">
        <f>C13/N12-1</f>
        <v>0.64102564102564097</v>
      </c>
      <c r="D25" s="85">
        <f t="shared" ref="D25:N25" si="4">IFERROR(D13/C13-100%,"")</f>
        <v>-5.3527227722772297E-2</v>
      </c>
      <c r="E25" s="85">
        <f t="shared" si="4"/>
        <v>0.39473684210526305</v>
      </c>
      <c r="F25" s="85">
        <f t="shared" si="4"/>
        <v>-0.79374194304465018</v>
      </c>
      <c r="G25" s="85">
        <f t="shared" si="4"/>
        <v>4.3971590909090912</v>
      </c>
      <c r="H25" s="85">
        <f t="shared" si="4"/>
        <v>-0.27013369828402989</v>
      </c>
      <c r="I25" s="85">
        <f t="shared" si="4"/>
        <v>-0.61099091302466468</v>
      </c>
      <c r="J25" s="85">
        <f t="shared" si="4"/>
        <v>0.26214312198739331</v>
      </c>
      <c r="K25" s="85">
        <f t="shared" si="4"/>
        <v>1.3075793184488838</v>
      </c>
      <c r="L25" s="85">
        <f t="shared" si="4"/>
        <v>-0.65665181413112661</v>
      </c>
      <c r="M25" s="85">
        <f t="shared" si="4"/>
        <v>0.26214312198739331</v>
      </c>
      <c r="N25" s="85">
        <f t="shared" si="4"/>
        <v>1.3075793184488838</v>
      </c>
      <c r="O25"/>
      <c r="P25"/>
      <c r="Q25"/>
    </row>
    <row r="26" spans="2:17" x14ac:dyDescent="0.25">
      <c r="B26" s="80">
        <v>2018</v>
      </c>
      <c r="C26" s="86">
        <f>C14/N13-1</f>
        <v>-3.6155315085932505E-2</v>
      </c>
      <c r="D26" s="85">
        <f t="shared" ref="D26:N26" si="5">IFERROR(D14/C14-100%,"")</f>
        <v>2.8001584995377193E-2</v>
      </c>
      <c r="E26" s="85">
        <f t="shared" si="5"/>
        <v>-9.8548117692406567E-2</v>
      </c>
      <c r="F26" s="85">
        <f t="shared" si="5"/>
        <v>-6.1573546180159644E-2</v>
      </c>
      <c r="G26" s="85">
        <f t="shared" si="5"/>
        <v>-0.25486026731470235</v>
      </c>
      <c r="H26" s="85">
        <f t="shared" si="5"/>
        <v>-0.18467183041174073</v>
      </c>
      <c r="I26" s="85">
        <f t="shared" si="5"/>
        <v>-0.66125</v>
      </c>
      <c r="J26" s="85">
        <f t="shared" si="5"/>
        <v>4.0833948339483399</v>
      </c>
      <c r="K26" s="85">
        <f t="shared" si="5"/>
        <v>-0.25450058072009296</v>
      </c>
      <c r="L26" s="85">
        <f t="shared" si="5"/>
        <v>-1</v>
      </c>
      <c r="M26" s="85" t="str">
        <f t="shared" si="5"/>
        <v/>
      </c>
      <c r="N26" s="85" t="str">
        <f t="shared" si="5"/>
        <v/>
      </c>
      <c r="O26"/>
      <c r="P26"/>
      <c r="Q26"/>
    </row>
    <row r="27" spans="2:17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7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2:17" x14ac:dyDescent="0.25">
      <c r="B29" s="79" t="s">
        <v>884</v>
      </c>
      <c r="C29" s="79" t="s">
        <v>523</v>
      </c>
      <c r="D29" s="79" t="s">
        <v>528</v>
      </c>
      <c r="E29" s="79" t="s">
        <v>529</v>
      </c>
      <c r="F29" s="79" t="s">
        <v>530</v>
      </c>
      <c r="G29" s="79" t="s">
        <v>531</v>
      </c>
      <c r="H29" s="79" t="s">
        <v>532</v>
      </c>
      <c r="I29" s="79" t="s">
        <v>533</v>
      </c>
      <c r="J29" s="79" t="s">
        <v>534</v>
      </c>
      <c r="K29" s="79" t="s">
        <v>535</v>
      </c>
      <c r="L29" s="79" t="s">
        <v>536</v>
      </c>
      <c r="M29" s="79" t="s">
        <v>537</v>
      </c>
      <c r="N29" s="79" t="s">
        <v>538</v>
      </c>
      <c r="O29"/>
      <c r="P29"/>
      <c r="Q29"/>
    </row>
    <row r="30" spans="2:17" x14ac:dyDescent="0.25">
      <c r="B30" s="80">
        <v>2016</v>
      </c>
      <c r="C30" s="80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/>
      <c r="P30"/>
      <c r="Q30"/>
    </row>
    <row r="31" spans="2:17" x14ac:dyDescent="0.25">
      <c r="B31" s="80">
        <v>2017</v>
      </c>
      <c r="C31" s="86">
        <f>IFERROR(+C7/C6-1,"")</f>
        <v>0.25</v>
      </c>
      <c r="D31" s="85">
        <f t="shared" ref="D31:N32" si="6">+D7/D6-1</f>
        <v>-0.33333333333333337</v>
      </c>
      <c r="E31" s="85">
        <f t="shared" si="6"/>
        <v>0.1333333333333333</v>
      </c>
      <c r="F31" s="85">
        <f t="shared" si="6"/>
        <v>-0.77777777777777779</v>
      </c>
      <c r="G31" s="85">
        <f t="shared" si="6"/>
        <v>0.54545454545454541</v>
      </c>
      <c r="H31" s="85">
        <f t="shared" si="6"/>
        <v>0.19999999999999996</v>
      </c>
      <c r="I31" s="85">
        <f t="shared" si="6"/>
        <v>0</v>
      </c>
      <c r="J31" s="85">
        <f t="shared" si="6"/>
        <v>-0.45454545454545459</v>
      </c>
      <c r="K31" s="85">
        <f t="shared" si="6"/>
        <v>0.36363636363636354</v>
      </c>
      <c r="L31" s="85">
        <f t="shared" si="6"/>
        <v>-0.16666666666666663</v>
      </c>
      <c r="M31" s="85">
        <f t="shared" si="6"/>
        <v>-0.53846153846153844</v>
      </c>
      <c r="N31" s="85">
        <f t="shared" si="6"/>
        <v>0.875</v>
      </c>
      <c r="O31"/>
      <c r="P31"/>
      <c r="Q31"/>
    </row>
    <row r="32" spans="2:17" x14ac:dyDescent="0.25">
      <c r="B32" s="80">
        <v>2018</v>
      </c>
      <c r="C32" s="86">
        <f>+C8/C7-1</f>
        <v>6.6666666666666652E-2</v>
      </c>
      <c r="D32" s="85">
        <f t="shared" si="6"/>
        <v>0.33333333333333326</v>
      </c>
      <c r="E32" s="85">
        <f t="shared" si="6"/>
        <v>-0.11764705882352944</v>
      </c>
      <c r="F32" s="85">
        <f t="shared" si="6"/>
        <v>3</v>
      </c>
      <c r="G32" s="85">
        <f t="shared" si="6"/>
        <v>-0.41176470588235292</v>
      </c>
      <c r="H32" s="85">
        <f t="shared" si="6"/>
        <v>-0.25</v>
      </c>
      <c r="I32" s="85">
        <f t="shared" si="6"/>
        <v>-0.19999999999999996</v>
      </c>
      <c r="J32" s="85">
        <f t="shared" si="6"/>
        <v>1.5</v>
      </c>
      <c r="K32" s="85">
        <f t="shared" si="6"/>
        <v>-0.4</v>
      </c>
      <c r="L32" s="85">
        <f t="shared" si="6"/>
        <v>-1</v>
      </c>
      <c r="M32" s="85">
        <f t="shared" si="6"/>
        <v>-1</v>
      </c>
      <c r="N32" s="85">
        <f t="shared" si="6"/>
        <v>-1</v>
      </c>
      <c r="O32"/>
      <c r="P32"/>
      <c r="Q32"/>
    </row>
    <row r="33" spans="2:17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2:17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2:17" x14ac:dyDescent="0.25">
      <c r="B35" s="79" t="s">
        <v>884</v>
      </c>
      <c r="C35" s="79" t="s">
        <v>523</v>
      </c>
      <c r="D35" s="79" t="s">
        <v>528</v>
      </c>
      <c r="E35" s="79" t="s">
        <v>529</v>
      </c>
      <c r="F35" s="79" t="s">
        <v>530</v>
      </c>
      <c r="G35" s="79" t="s">
        <v>531</v>
      </c>
      <c r="H35" s="79" t="s">
        <v>532</v>
      </c>
      <c r="I35" s="79" t="s">
        <v>533</v>
      </c>
      <c r="J35" s="79" t="s">
        <v>534</v>
      </c>
      <c r="K35" s="79" t="s">
        <v>535</v>
      </c>
      <c r="L35" s="79" t="s">
        <v>536</v>
      </c>
      <c r="M35" s="79" t="s">
        <v>537</v>
      </c>
      <c r="N35" s="79" t="s">
        <v>538</v>
      </c>
      <c r="O35"/>
      <c r="P35"/>
      <c r="Q35"/>
    </row>
    <row r="36" spans="2:17" x14ac:dyDescent="0.25">
      <c r="B36" s="80">
        <v>2016</v>
      </c>
      <c r="C36" s="80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/>
      <c r="P36"/>
      <c r="Q36"/>
    </row>
    <row r="37" spans="2:17" x14ac:dyDescent="0.25">
      <c r="B37" s="80">
        <v>2017</v>
      </c>
      <c r="C37" s="86">
        <f>IFERROR(+C13/C12-1,"")</f>
        <v>1.5234804460499518E-2</v>
      </c>
      <c r="D37" s="85">
        <f t="shared" ref="D37:N37" si="7">+D13/D12-1</f>
        <v>-0.29475504322766566</v>
      </c>
      <c r="E37" s="85">
        <f t="shared" si="7"/>
        <v>0.20352609308885761</v>
      </c>
      <c r="F37" s="85">
        <f t="shared" si="7"/>
        <v>-0.76057679227316011</v>
      </c>
      <c r="G37" s="85">
        <f t="shared" si="7"/>
        <v>0.77917212961228688</v>
      </c>
      <c r="H37" s="85">
        <f t="shared" si="7"/>
        <v>0.5403243723616975</v>
      </c>
      <c r="I37" s="85">
        <f t="shared" si="7"/>
        <v>0.48676957001102528</v>
      </c>
      <c r="J37" s="85">
        <f t="shared" si="7"/>
        <v>-0.30784871899145994</v>
      </c>
      <c r="K37" s="85">
        <f t="shared" si="7"/>
        <v>0.40518783542039349</v>
      </c>
      <c r="L37" s="85">
        <f t="shared" si="7"/>
        <v>-0.14244833068362484</v>
      </c>
      <c r="M37" s="85">
        <f t="shared" si="7"/>
        <v>-0.41782110484008894</v>
      </c>
      <c r="N37" s="85">
        <f t="shared" si="7"/>
        <v>0.99416095455699427</v>
      </c>
      <c r="O37"/>
      <c r="P37"/>
      <c r="Q37"/>
    </row>
    <row r="38" spans="2:17" x14ac:dyDescent="0.25">
      <c r="B38" s="80">
        <v>2018</v>
      </c>
      <c r="C38" s="86">
        <f>+C14/C13-1</f>
        <v>0.17125618811881194</v>
      </c>
      <c r="D38" s="85">
        <f t="shared" ref="D38:N38" si="8">+D14/D13-1</f>
        <v>0.27214776070611313</v>
      </c>
      <c r="E38" s="85">
        <f t="shared" si="8"/>
        <v>-0.17778038204617364</v>
      </c>
      <c r="F38" s="85">
        <f t="shared" si="8"/>
        <v>2.7409090909090907</v>
      </c>
      <c r="G38" s="85">
        <f t="shared" si="8"/>
        <v>-0.48352458153489841</v>
      </c>
      <c r="H38" s="85">
        <f t="shared" si="8"/>
        <v>-0.42304918505697386</v>
      </c>
      <c r="I38" s="85">
        <f t="shared" si="8"/>
        <v>-0.49758991472005931</v>
      </c>
      <c r="J38" s="85">
        <f t="shared" si="8"/>
        <v>1.0235017626321974</v>
      </c>
      <c r="K38" s="85">
        <f t="shared" si="8"/>
        <v>-0.34627625716104393</v>
      </c>
      <c r="L38" s="85">
        <f t="shared" si="8"/>
        <v>-1</v>
      </c>
      <c r="M38" s="85">
        <f t="shared" si="8"/>
        <v>-1</v>
      </c>
      <c r="N38" s="85">
        <f t="shared" si="8"/>
        <v>-1</v>
      </c>
      <c r="O38"/>
      <c r="P38"/>
      <c r="Q38"/>
    </row>
  </sheetData>
  <dataValidations count="1">
    <dataValidation type="list" allowBlank="1" showInputMessage="1" showErrorMessage="1" sqref="B2" xr:uid="{00000000-0002-0000-0400-000000000000}">
      <formula1>"Marcelo Leal,Janny Costa,Alexandra Conceição"</formula1>
    </dataValidation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E64E6367-EA59-4900-A091-E0EFDDB27A78}">
            <x14:iconSet iconSet="3Triangle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0"/>
              <x14:cfIcon iconSet="3Triangles" iconId="1"/>
              <x14:cfIcon iconSet="NoIcons" iconId="0"/>
            </x14:iconSet>
          </x14:cfRule>
          <xm:sqref>C18:N20</xm:sqref>
        </x14:conditionalFormatting>
        <x14:conditionalFormatting xmlns:xm="http://schemas.microsoft.com/office/excel/2006/main">
          <x14:cfRule type="iconSet" priority="3" id="{7879BFD0-5112-49B1-908B-9163DACF9C7C}">
            <x14:iconSet iconSet="3Triangle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0"/>
              <x14:cfIcon iconSet="3Triangles" iconId="1"/>
              <x14:cfIcon iconSet="NoIcons" iconId="0"/>
            </x14:iconSet>
          </x14:cfRule>
          <xm:sqref>C24:N26</xm:sqref>
        </x14:conditionalFormatting>
        <x14:conditionalFormatting xmlns:xm="http://schemas.microsoft.com/office/excel/2006/main">
          <x14:cfRule type="iconSet" priority="2" id="{2A37D818-6283-400C-8319-73C944DBC477}">
            <x14:iconSet iconSet="3Triangle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0"/>
              <x14:cfIcon iconSet="3Triangles" iconId="1"/>
              <x14:cfIcon iconSet="NoIcons" iconId="0"/>
            </x14:iconSet>
          </x14:cfRule>
          <xm:sqref>C30:N32</xm:sqref>
        </x14:conditionalFormatting>
        <x14:conditionalFormatting xmlns:xm="http://schemas.microsoft.com/office/excel/2006/main">
          <x14:cfRule type="iconSet" priority="1" id="{D74C11B1-F967-4305-9B5F-62ECD527DDA4}">
            <x14:iconSet iconSet="3Triangles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iangles" iconId="0"/>
              <x14:cfIcon iconSet="3Triangles" iconId="1"/>
              <x14:cfIcon iconSet="NoIcons" iconId="0"/>
            </x14:iconSet>
          </x14:cfRule>
          <xm:sqref>C36:N38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N38"/>
  <sheetViews>
    <sheetView topLeftCell="A19" workbookViewId="0">
      <selection activeCell="B3" sqref="B3"/>
    </sheetView>
  </sheetViews>
  <sheetFormatPr defaultRowHeight="15.75" x14ac:dyDescent="0.25"/>
  <cols>
    <col min="1" max="1" width="9" style="78"/>
    <col min="2" max="2" width="18.25" style="78" bestFit="1" customWidth="1"/>
    <col min="3" max="10" width="10.25" style="78" bestFit="1" customWidth="1"/>
    <col min="11" max="11" width="10.375" style="78" bestFit="1" customWidth="1"/>
    <col min="12" max="12" width="10.25" style="78" bestFit="1" customWidth="1"/>
    <col min="13" max="13" width="11.125" style="78" bestFit="1" customWidth="1"/>
    <col min="14" max="14" width="10.625" style="78" bestFit="1" customWidth="1"/>
    <col min="15" max="16384" width="9" style="78"/>
  </cols>
  <sheetData>
    <row r="1" spans="2:14" ht="16.5" thickBot="1" x14ac:dyDescent="0.3"/>
    <row r="2" spans="2:14" x14ac:dyDescent="0.25">
      <c r="B2" s="84">
        <f>'Painel Consulta'!K4</f>
        <v>2017</v>
      </c>
    </row>
    <row r="5" spans="2:14" x14ac:dyDescent="0.25">
      <c r="B5" s="79" t="s">
        <v>879</v>
      </c>
      <c r="C5" s="79" t="s">
        <v>523</v>
      </c>
      <c r="D5" s="79" t="s">
        <v>528</v>
      </c>
      <c r="E5" s="79" t="s">
        <v>529</v>
      </c>
      <c r="F5" s="79" t="s">
        <v>530</v>
      </c>
      <c r="G5" s="79" t="s">
        <v>531</v>
      </c>
      <c r="H5" s="79" t="s">
        <v>532</v>
      </c>
      <c r="I5" s="79" t="s">
        <v>533</v>
      </c>
      <c r="J5" s="79" t="s">
        <v>534</v>
      </c>
      <c r="K5" s="79" t="s">
        <v>535</v>
      </c>
      <c r="L5" s="79" t="s">
        <v>536</v>
      </c>
      <c r="M5" s="79" t="s">
        <v>537</v>
      </c>
      <c r="N5" s="79" t="s">
        <v>538</v>
      </c>
    </row>
    <row r="6" spans="2:14" x14ac:dyDescent="0.25">
      <c r="B6" s="80" t="s">
        <v>175</v>
      </c>
      <c r="C6" s="80">
        <f>COUNTIFS(Base[Gestor],$B6,
Base[Mês],C$5,
Base[Ano],$B$2)</f>
        <v>13</v>
      </c>
      <c r="D6" s="80">
        <f>COUNTIFS(Base[Gestor],$B6,
Base[Mês],D$5,
Base[Ano],$B$2)</f>
        <v>5</v>
      </c>
      <c r="E6" s="80">
        <f>COUNTIFS(Base[Gestor],$B6,
Base[Mês],E$5,
Base[Ano],$B$2)</f>
        <v>9</v>
      </c>
      <c r="F6" s="80">
        <f>COUNTIFS(Base[Gestor],$B6,
Base[Mês],F$5,
Base[Ano],$B$2)</f>
        <v>14</v>
      </c>
      <c r="G6" s="80">
        <f>COUNTIFS(Base[Gestor],$B6,
Base[Mês],G$5,
Base[Ano],$B$2)</f>
        <v>8</v>
      </c>
      <c r="H6" s="80">
        <f>COUNTIFS(Base[Gestor],$B6,
Base[Mês],H$5,
Base[Ano],$B$2)</f>
        <v>11</v>
      </c>
      <c r="I6" s="80">
        <f>COUNTIFS(Base[Gestor],$B6,
Base[Mês],I$5,
Base[Ano],$B$2)</f>
        <v>3</v>
      </c>
      <c r="J6" s="80">
        <f>COUNTIFS(Base[Gestor],$B6,
Base[Mês],J$5,
Base[Ano],$B$2)</f>
        <v>15</v>
      </c>
      <c r="K6" s="80">
        <f>COUNTIFS(Base[Gestor],$B6,
Base[Mês],K$5,
Base[Ano],$B$2)</f>
        <v>7</v>
      </c>
      <c r="L6" s="80">
        <f>COUNTIFS(Base[Gestor],$B6,
Base[Mês],L$5,
Base[Ano],$B$2)</f>
        <v>3</v>
      </c>
      <c r="M6" s="80">
        <f>COUNTIFS(Base[Gestor],$B6,
Base[Mês],M$5,
Base[Ano],$B$2)</f>
        <v>15</v>
      </c>
      <c r="N6" s="80">
        <f>COUNTIFS(Base[Gestor],$B6,
Base[Mês],N$5,
Base[Ano],$B$2)</f>
        <v>7</v>
      </c>
    </row>
    <row r="7" spans="2:14" x14ac:dyDescent="0.25">
      <c r="B7" s="80" t="s">
        <v>176</v>
      </c>
      <c r="C7" s="80">
        <f>COUNTIFS(Base[Gestor],$B7,
Base[Mês],C$5,
Base[Ano],$B$2)</f>
        <v>15</v>
      </c>
      <c r="D7" s="80">
        <f>COUNTIFS(Base[Gestor],$B7,
Base[Mês],D$5,
Base[Ano],$B$2)</f>
        <v>12</v>
      </c>
      <c r="E7" s="80">
        <f>COUNTIFS(Base[Gestor],$B7,
Base[Mês],E$5,
Base[Ano],$B$2)</f>
        <v>17</v>
      </c>
      <c r="F7" s="80">
        <f>COUNTIFS(Base[Gestor],$B7,
Base[Mês],F$5,
Base[Ano],$B$2)</f>
        <v>4</v>
      </c>
      <c r="G7" s="80">
        <f>COUNTIFS(Base[Gestor],$B7,
Base[Mês],G$5,
Base[Ano],$B$2)</f>
        <v>17</v>
      </c>
      <c r="H7" s="80">
        <f>COUNTIFS(Base[Gestor],$B7,
Base[Mês],H$5,
Base[Ano],$B$2)</f>
        <v>12</v>
      </c>
      <c r="I7" s="80">
        <f>COUNTIFS(Base[Gestor],$B7,
Base[Mês],I$5,
Base[Ano],$B$2)</f>
        <v>5</v>
      </c>
      <c r="J7" s="80">
        <f>COUNTIFS(Base[Gestor],$B7,
Base[Mês],J$5,
Base[Ano],$B$2)</f>
        <v>6</v>
      </c>
      <c r="K7" s="80">
        <f>COUNTIFS(Base[Gestor],$B7,
Base[Mês],K$5,
Base[Ano],$B$2)</f>
        <v>15</v>
      </c>
      <c r="L7" s="80">
        <f>COUNTIFS(Base[Gestor],$B7,
Base[Mês],L$5,
Base[Ano],$B$2)</f>
        <v>5</v>
      </c>
      <c r="M7" s="80">
        <f>COUNTIFS(Base[Gestor],$B7,
Base[Mês],M$5,
Base[Ano],$B$2)</f>
        <v>6</v>
      </c>
      <c r="N7" s="80">
        <f>COUNTIFS(Base[Gestor],$B7,
Base[Mês],N$5,
Base[Ano],$B$2)</f>
        <v>15</v>
      </c>
    </row>
    <row r="8" spans="2:14" x14ac:dyDescent="0.25">
      <c r="B8" s="80" t="s">
        <v>177</v>
      </c>
      <c r="C8" s="80">
        <f>COUNTIFS(Base[Gestor],$B8,
Base[Mês],C$5,
Base[Ano],$B$2)</f>
        <v>3</v>
      </c>
      <c r="D8" s="80">
        <f>COUNTIFS(Base[Gestor],$B8,
Base[Mês],D$5,
Base[Ano],$B$2)</f>
        <v>11</v>
      </c>
      <c r="E8" s="80">
        <f>COUNTIFS(Base[Gestor],$B8,
Base[Mês],E$5,
Base[Ano],$B$2)</f>
        <v>5</v>
      </c>
      <c r="F8" s="80">
        <f>COUNTIFS(Base[Gestor],$B8,
Base[Mês],F$5,
Base[Ano],$B$2)</f>
        <v>11</v>
      </c>
      <c r="G8" s="80">
        <f>COUNTIFS(Base[Gestor],$B8,
Base[Mês],G$5,
Base[Ano],$B$2)</f>
        <v>7</v>
      </c>
      <c r="H8" s="80">
        <f>COUNTIFS(Base[Gestor],$B8,
Base[Mês],H$5,
Base[Ano],$B$2)</f>
        <v>7</v>
      </c>
      <c r="I8" s="80">
        <f>COUNTIFS(Base[Gestor],$B8,
Base[Mês],I$5,
Base[Ano],$B$2)</f>
        <v>2</v>
      </c>
      <c r="J8" s="80">
        <f>COUNTIFS(Base[Gestor],$B8,
Base[Mês],J$5,
Base[Ano],$B$2)</f>
        <v>11</v>
      </c>
      <c r="K8" s="80">
        <f>COUNTIFS(Base[Gestor],$B8,
Base[Mês],K$5,
Base[Ano],$B$2)</f>
        <v>8</v>
      </c>
      <c r="L8" s="80">
        <f>COUNTIFS(Base[Gestor],$B8,
Base[Mês],L$5,
Base[Ano],$B$2)</f>
        <v>5</v>
      </c>
      <c r="M8" s="80">
        <f>COUNTIFS(Base[Gestor],$B8,
Base[Mês],M$5,
Base[Ano],$B$2)</f>
        <v>9</v>
      </c>
      <c r="N8" s="80">
        <f>COUNTIFS(Base[Gestor],$B8,
Base[Mês],N$5,
Base[Ano],$B$2)</f>
        <v>7</v>
      </c>
    </row>
    <row r="11" spans="2:14" x14ac:dyDescent="0.25">
      <c r="B11" s="79" t="s">
        <v>882</v>
      </c>
      <c r="C11" s="79" t="s">
        <v>523</v>
      </c>
      <c r="D11" s="79" t="s">
        <v>528</v>
      </c>
      <c r="E11" s="79" t="s">
        <v>529</v>
      </c>
      <c r="F11" s="79" t="s">
        <v>530</v>
      </c>
      <c r="G11" s="79" t="s">
        <v>531</v>
      </c>
      <c r="H11" s="79" t="s">
        <v>532</v>
      </c>
      <c r="I11" s="79" t="s">
        <v>533</v>
      </c>
      <c r="J11" s="79" t="s">
        <v>534</v>
      </c>
      <c r="K11" s="79" t="s">
        <v>535</v>
      </c>
      <c r="L11" s="79" t="s">
        <v>536</v>
      </c>
      <c r="M11" s="79" t="s">
        <v>537</v>
      </c>
      <c r="N11" s="79" t="s">
        <v>538</v>
      </c>
    </row>
    <row r="12" spans="2:14" x14ac:dyDescent="0.25">
      <c r="B12" s="80" t="s">
        <v>175</v>
      </c>
      <c r="C12" s="80">
        <f>SUMIFS(Base[Total],
Base[Gestor],$B12,
Base[Mês],C$11,
Base[Ano],$B$2)</f>
        <v>6124</v>
      </c>
      <c r="D12" s="80">
        <f>SUMIFS(Base[Total],
Base[Gestor],$B12,
Base[Mês],D$11,
Base[Ano],$B$2)</f>
        <v>2643</v>
      </c>
      <c r="E12" s="80">
        <f>SUMIFS(Base[Total],
Base[Gestor],$B12,
Base[Mês],E$11,
Base[Ano],$B$2)</f>
        <v>4507</v>
      </c>
      <c r="F12" s="80">
        <f>SUMIFS(Base[Total],
Base[Gestor],$B12,
Base[Mês],F$11,
Base[Ano],$B$2)</f>
        <v>6454</v>
      </c>
      <c r="G12" s="80">
        <f>SUMIFS(Base[Total],
Base[Gestor],$B12,
Base[Mês],G$11,
Base[Ano],$B$2)</f>
        <v>4038</v>
      </c>
      <c r="H12" s="80">
        <f>SUMIFS(Base[Total],
Base[Gestor],$B12,
Base[Mês],H$11,
Base[Ano],$B$2)</f>
        <v>5459</v>
      </c>
      <c r="I12" s="80">
        <f>SUMIFS(Base[Total],
Base[Gestor],$B12,
Base[Mês],I$11,
Base[Ano],$B$2)</f>
        <v>1772</v>
      </c>
      <c r="J12" s="80">
        <f>SUMIFS(Base[Total],
Base[Gestor],$B12,
Base[Mês],J$11,
Base[Ano],$B$2)</f>
        <v>7288</v>
      </c>
      <c r="K12" s="80">
        <f>SUMIFS(Base[Total],
Base[Gestor],$B12,
Base[Mês],K$11,
Base[Ano],$B$2)</f>
        <v>3329</v>
      </c>
      <c r="L12" s="80">
        <f>SUMIFS(Base[Total],
Base[Gestor],$B12,
Base[Mês],L$11,
Base[Ano],$B$2)</f>
        <v>1772</v>
      </c>
      <c r="M12" s="80">
        <f>SUMIFS(Base[Total],
Base[Gestor],$B12,
Base[Mês],M$11,
Base[Ano],$B$2)</f>
        <v>7288</v>
      </c>
      <c r="N12" s="80">
        <f>SUMIFS(Base[Total],
Base[Gestor],$B12,
Base[Mês],N$11,
Base[Ano],$B$2)</f>
        <v>3329</v>
      </c>
    </row>
    <row r="13" spans="2:14" x14ac:dyDescent="0.25">
      <c r="B13" s="80" t="s">
        <v>176</v>
      </c>
      <c r="C13" s="80">
        <f>SUMIFS(Base[Total],
Base[Gestor],$B13,
Base[Mês],C$11,
Base[Ano],$B$2)</f>
        <v>6464</v>
      </c>
      <c r="D13" s="80">
        <f>SUMIFS(Base[Total],
Base[Gestor],$B13,
Base[Mês],D$11,
Base[Ano],$B$2)</f>
        <v>6118</v>
      </c>
      <c r="E13" s="80">
        <f>SUMIFS(Base[Total],
Base[Gestor],$B13,
Base[Mês],E$11,
Base[Ano],$B$2)</f>
        <v>8533</v>
      </c>
      <c r="F13" s="80">
        <f>SUMIFS(Base[Total],
Base[Gestor],$B13,
Base[Mês],F$11,
Base[Ano],$B$2)</f>
        <v>1760</v>
      </c>
      <c r="G13" s="80">
        <f>SUMIFS(Base[Total],
Base[Gestor],$B13,
Base[Mês],G$11,
Base[Ano],$B$2)</f>
        <v>9499</v>
      </c>
      <c r="H13" s="80">
        <f>SUMIFS(Base[Total],
Base[Gestor],$B13,
Base[Mês],H$11,
Base[Ano],$B$2)</f>
        <v>6933</v>
      </c>
      <c r="I13" s="80">
        <f>SUMIFS(Base[Total],
Base[Gestor],$B13,
Base[Mês],I$11,
Base[Ano],$B$2)</f>
        <v>2697</v>
      </c>
      <c r="J13" s="80">
        <f>SUMIFS(Base[Total],
Base[Gestor],$B13,
Base[Mês],J$11,
Base[Ano],$B$2)</f>
        <v>3404</v>
      </c>
      <c r="K13" s="80">
        <f>SUMIFS(Base[Total],
Base[Gestor],$B13,
Base[Mês],K$11,
Base[Ano],$B$2)</f>
        <v>7855</v>
      </c>
      <c r="L13" s="80">
        <f>SUMIFS(Base[Total],
Base[Gestor],$B13,
Base[Mês],L$11,
Base[Ano],$B$2)</f>
        <v>2697</v>
      </c>
      <c r="M13" s="80">
        <f>SUMIFS(Base[Total],
Base[Gestor],$B13,
Base[Mês],M$11,
Base[Ano],$B$2)</f>
        <v>3404</v>
      </c>
      <c r="N13" s="80">
        <f>SUMIFS(Base[Total],
Base[Gestor],$B13,
Base[Mês],N$11,
Base[Ano],$B$2)</f>
        <v>7855</v>
      </c>
    </row>
    <row r="14" spans="2:14" x14ac:dyDescent="0.25">
      <c r="B14" s="80" t="s">
        <v>177</v>
      </c>
      <c r="C14" s="80">
        <f>SUMIFS(Base[Total],
Base[Gestor],$B14,
Base[Mês],C$11,
Base[Ano],$B$2)</f>
        <v>1639</v>
      </c>
      <c r="D14" s="80">
        <f>SUMIFS(Base[Total],
Base[Gestor],$B14,
Base[Mês],D$11,
Base[Ano],$B$2)</f>
        <v>5779</v>
      </c>
      <c r="E14" s="80">
        <f>SUMIFS(Base[Total],
Base[Gestor],$B14,
Base[Mês],E$11,
Base[Ano],$B$2)</f>
        <v>2330</v>
      </c>
      <c r="F14" s="80">
        <f>SUMIFS(Base[Total],
Base[Gestor],$B14,
Base[Mês],F$11,
Base[Ano],$B$2)</f>
        <v>6190</v>
      </c>
      <c r="G14" s="80">
        <f>SUMIFS(Base[Total],
Base[Gestor],$B14,
Base[Mês],G$11,
Base[Ano],$B$2)</f>
        <v>3286</v>
      </c>
      <c r="H14" s="80">
        <f>SUMIFS(Base[Total],
Base[Gestor],$B14,
Base[Mês],H$11,
Base[Ano],$B$2)</f>
        <v>3637</v>
      </c>
      <c r="I14" s="80">
        <f>SUMIFS(Base[Total],
Base[Gestor],$B14,
Base[Mês],I$11,
Base[Ano],$B$2)</f>
        <v>1130</v>
      </c>
      <c r="J14" s="80">
        <f>SUMIFS(Base[Total],
Base[Gestor],$B14,
Base[Mês],J$11,
Base[Ano],$B$2)</f>
        <v>6190</v>
      </c>
      <c r="K14" s="80">
        <f>SUMIFS(Base[Total],
Base[Gestor],$B14,
Base[Mês],K$11,
Base[Ano],$B$2)</f>
        <v>3922</v>
      </c>
      <c r="L14" s="80">
        <f>SUMIFS(Base[Total],
Base[Gestor],$B14,
Base[Mês],L$11,
Base[Ano],$B$2)</f>
        <v>2826</v>
      </c>
      <c r="M14" s="80">
        <f>SUMIFS(Base[Total],
Base[Gestor],$B14,
Base[Mês],M$11,
Base[Ano],$B$2)</f>
        <v>4878</v>
      </c>
      <c r="N14" s="80">
        <f>SUMIFS(Base[Total],
Base[Gestor],$B14,
Base[Mês],N$11,
Base[Ano],$B$2)</f>
        <v>3538</v>
      </c>
    </row>
    <row r="17" spans="2:14" x14ac:dyDescent="0.25">
      <c r="B17" s="79" t="s">
        <v>6</v>
      </c>
      <c r="C17" s="79" t="s">
        <v>523</v>
      </c>
      <c r="D17" s="79" t="s">
        <v>528</v>
      </c>
      <c r="E17" s="79" t="s">
        <v>529</v>
      </c>
      <c r="F17" s="79" t="s">
        <v>530</v>
      </c>
      <c r="G17" s="79" t="s">
        <v>531</v>
      </c>
      <c r="H17" s="79" t="s">
        <v>532</v>
      </c>
      <c r="I17" s="79" t="s">
        <v>533</v>
      </c>
      <c r="J17" s="79" t="s">
        <v>534</v>
      </c>
      <c r="K17" s="79" t="s">
        <v>535</v>
      </c>
      <c r="L17" s="79" t="s">
        <v>536</v>
      </c>
      <c r="M17" s="79" t="s">
        <v>537</v>
      </c>
      <c r="N17" s="79" t="s">
        <v>538</v>
      </c>
    </row>
    <row r="18" spans="2:14" x14ac:dyDescent="0.25">
      <c r="B18" s="80" t="s">
        <v>175</v>
      </c>
      <c r="C18" s="80">
        <f>SUMIFS(Base[Alunos],
Base[Gestor],$B18,
Base[Mês],C$17,
Base[Ano],$B$2)</f>
        <v>122</v>
      </c>
      <c r="D18" s="80">
        <f>SUMIFS(Base[Alunos],
Base[Gestor],$B18,
Base[Mês],D$17,
Base[Ano],$B$2)</f>
        <v>53</v>
      </c>
      <c r="E18" s="80">
        <f>SUMIFS(Base[Alunos],
Base[Gestor],$B18,
Base[Mês],E$17,
Base[Ano],$B$2)</f>
        <v>92</v>
      </c>
      <c r="F18" s="80">
        <f>SUMIFS(Base[Alunos],
Base[Gestor],$B18,
Base[Mês],F$17,
Base[Ano],$B$2)</f>
        <v>140</v>
      </c>
      <c r="G18" s="80">
        <f>SUMIFS(Base[Alunos],
Base[Gestor],$B18,
Base[Mês],G$17,
Base[Ano],$B$2)</f>
        <v>79</v>
      </c>
      <c r="H18" s="80">
        <f>SUMIFS(Base[Alunos],
Base[Gestor],$B18,
Base[Mês],H$17,
Base[Ano],$B$2)</f>
        <v>102</v>
      </c>
      <c r="I18" s="80">
        <f>SUMIFS(Base[Alunos],
Base[Gestor],$B18,
Base[Mês],I$17,
Base[Ano],$B$2)</f>
        <v>33</v>
      </c>
      <c r="J18" s="80">
        <f>SUMIFS(Base[Alunos],
Base[Gestor],$B18,
Base[Mês],J$17,
Base[Ano],$B$2)</f>
        <v>152</v>
      </c>
      <c r="K18" s="80">
        <f>SUMIFS(Base[Alunos],
Base[Gestor],$B18,
Base[Mês],K$17,
Base[Ano],$B$2)</f>
        <v>65</v>
      </c>
      <c r="L18" s="80">
        <f>SUMIFS(Base[Alunos],
Base[Gestor],$B18,
Base[Mês],L$17,
Base[Ano],$B$2)</f>
        <v>33</v>
      </c>
      <c r="M18" s="80">
        <f>SUMIFS(Base[Alunos],
Base[Gestor],$B18,
Base[Mês],M$17,
Base[Ano],$B$2)</f>
        <v>152</v>
      </c>
      <c r="N18" s="80">
        <f>SUMIFS(Base[Alunos],
Base[Gestor],$B18,
Base[Mês],N$17,
Base[Ano],$B$2)</f>
        <v>65</v>
      </c>
    </row>
    <row r="19" spans="2:14" x14ac:dyDescent="0.25">
      <c r="B19" s="80" t="s">
        <v>176</v>
      </c>
      <c r="C19" s="80">
        <f>SUMIFS(Base[Alunos],
Base[Gestor],$B19,
Base[Mês],C$17,
Base[Ano],$B$2)</f>
        <v>150</v>
      </c>
      <c r="D19" s="80">
        <f>SUMIFS(Base[Alunos],
Base[Gestor],$B19,
Base[Mês],D$17,
Base[Ano],$B$2)</f>
        <v>112</v>
      </c>
      <c r="E19" s="80">
        <f>SUMIFS(Base[Alunos],
Base[Gestor],$B19,
Base[Mês],E$17,
Base[Ano],$B$2)</f>
        <v>164</v>
      </c>
      <c r="F19" s="80">
        <f>SUMIFS(Base[Alunos],
Base[Gestor],$B19,
Base[Mês],F$17,
Base[Ano],$B$2)</f>
        <v>47</v>
      </c>
      <c r="G19" s="80">
        <f>SUMIFS(Base[Alunos],
Base[Gestor],$B19,
Base[Mês],G$17,
Base[Ano],$B$2)</f>
        <v>180</v>
      </c>
      <c r="H19" s="80">
        <f>SUMIFS(Base[Alunos],
Base[Gestor],$B19,
Base[Mês],H$17,
Base[Ano],$B$2)</f>
        <v>124</v>
      </c>
      <c r="I19" s="80">
        <f>SUMIFS(Base[Alunos],
Base[Gestor],$B19,
Base[Mês],I$17,
Base[Ano],$B$2)</f>
        <v>50</v>
      </c>
      <c r="J19" s="80">
        <f>SUMIFS(Base[Alunos],
Base[Gestor],$B19,
Base[Mês],J$17,
Base[Ano],$B$2)</f>
        <v>71</v>
      </c>
      <c r="K19" s="80">
        <f>SUMIFS(Base[Alunos],
Base[Gestor],$B19,
Base[Mês],K$17,
Base[Ano],$B$2)</f>
        <v>156</v>
      </c>
      <c r="L19" s="80">
        <f>SUMIFS(Base[Alunos],
Base[Gestor],$B19,
Base[Mês],L$17,
Base[Ano],$B$2)</f>
        <v>50</v>
      </c>
      <c r="M19" s="80">
        <f>SUMIFS(Base[Alunos],
Base[Gestor],$B19,
Base[Mês],M$17,
Base[Ano],$B$2)</f>
        <v>71</v>
      </c>
      <c r="N19" s="80">
        <f>SUMIFS(Base[Alunos],
Base[Gestor],$B19,
Base[Mês],N$17,
Base[Ano],$B$2)</f>
        <v>156</v>
      </c>
    </row>
    <row r="20" spans="2:14" x14ac:dyDescent="0.25">
      <c r="B20" s="80" t="s">
        <v>177</v>
      </c>
      <c r="C20" s="80">
        <f>SUMIFS(Base[Alunos],
Base[Gestor],$B20,
Base[Mês],C$17,
Base[Ano],$B$2)</f>
        <v>29</v>
      </c>
      <c r="D20" s="80">
        <f>SUMIFS(Base[Alunos],
Base[Gestor],$B20,
Base[Mês],D$17,
Base[Ano],$B$2)</f>
        <v>107</v>
      </c>
      <c r="E20" s="80">
        <f>SUMIFS(Base[Alunos],
Base[Gestor],$B20,
Base[Mês],E$17,
Base[Ano],$B$2)</f>
        <v>50</v>
      </c>
      <c r="F20" s="80">
        <f>SUMIFS(Base[Alunos],
Base[Gestor],$B20,
Base[Mês],F$17,
Base[Ano],$B$2)</f>
        <v>109</v>
      </c>
      <c r="G20" s="80">
        <f>SUMIFS(Base[Alunos],
Base[Gestor],$B20,
Base[Mês],G$17,
Base[Ano],$B$2)</f>
        <v>70</v>
      </c>
      <c r="H20" s="80">
        <f>SUMIFS(Base[Alunos],
Base[Gestor],$B20,
Base[Mês],H$17,
Base[Ano],$B$2)</f>
        <v>65</v>
      </c>
      <c r="I20" s="80">
        <f>SUMIFS(Base[Alunos],
Base[Gestor],$B20,
Base[Mês],I$17,
Base[Ano],$B$2)</f>
        <v>20</v>
      </c>
      <c r="J20" s="80">
        <f>SUMIFS(Base[Alunos],
Base[Gestor],$B20,
Base[Mês],J$17,
Base[Ano],$B$2)</f>
        <v>109</v>
      </c>
      <c r="K20" s="80">
        <f>SUMIFS(Base[Alunos],
Base[Gestor],$B20,
Base[Mês],K$17,
Base[Ano],$B$2)</f>
        <v>82</v>
      </c>
      <c r="L20" s="80">
        <f>SUMIFS(Base[Alunos],
Base[Gestor],$B20,
Base[Mês],L$17,
Base[Ano],$B$2)</f>
        <v>51</v>
      </c>
      <c r="M20" s="80">
        <f>SUMIFS(Base[Alunos],
Base[Gestor],$B20,
Base[Mês],M$17,
Base[Ano],$B$2)</f>
        <v>90</v>
      </c>
      <c r="N20" s="80">
        <f>SUMIFS(Base[Alunos],
Base[Gestor],$B20,
Base[Mês],N$17,
Base[Ano],$B$2)</f>
        <v>70</v>
      </c>
    </row>
    <row r="23" spans="2:14" x14ac:dyDescent="0.25">
      <c r="B23" s="79" t="s">
        <v>878</v>
      </c>
      <c r="C23" s="79" t="s">
        <v>523</v>
      </c>
      <c r="D23" s="79" t="s">
        <v>528</v>
      </c>
      <c r="E23" s="79" t="s">
        <v>529</v>
      </c>
      <c r="F23" s="79" t="s">
        <v>530</v>
      </c>
      <c r="G23" s="79" t="s">
        <v>531</v>
      </c>
      <c r="H23" s="79" t="s">
        <v>532</v>
      </c>
      <c r="I23" s="79" t="s">
        <v>533</v>
      </c>
      <c r="J23" s="79" t="s">
        <v>534</v>
      </c>
      <c r="K23" s="79" t="s">
        <v>535</v>
      </c>
      <c r="L23" s="79" t="s">
        <v>536</v>
      </c>
      <c r="M23" s="79" t="s">
        <v>537</v>
      </c>
      <c r="N23" s="79" t="s">
        <v>538</v>
      </c>
    </row>
    <row r="24" spans="2:14" x14ac:dyDescent="0.25">
      <c r="B24" s="80" t="s">
        <v>175</v>
      </c>
      <c r="C24" s="82">
        <f>IFERROR(
AVERAGEIFS(Base[Feedback],
Base[Gestor],$B24,
Base[Mês],C$23,
Base[Ano],$B$2),"")</f>
        <v>3.5384615384615383</v>
      </c>
      <c r="D24" s="82">
        <f>IFERROR(
AVERAGEIFS(Base[Feedback],
Base[Gestor],$B24,
Base[Mês],D$23,
Base[Ano],$B$2),"")</f>
        <v>4.4000000000000004</v>
      </c>
      <c r="E24" s="82">
        <f>IFERROR(
AVERAGEIFS(Base[Feedback],
Base[Gestor],$B24,
Base[Mês],E$23,
Base[Ano],$B$2),"")</f>
        <v>3.4444444444444446</v>
      </c>
      <c r="F24" s="82">
        <f>IFERROR(
AVERAGEIFS(Base[Feedback],
Base[Gestor],$B24,
Base[Mês],F$23,
Base[Ano],$B$2),"")</f>
        <v>3.5</v>
      </c>
      <c r="G24" s="82">
        <f>IFERROR(
AVERAGEIFS(Base[Feedback],
Base[Gestor],$B24,
Base[Mês],G$23,
Base[Ano],$B$2),"")</f>
        <v>4</v>
      </c>
      <c r="H24" s="82">
        <f>IFERROR(
AVERAGEIFS(Base[Feedback],
Base[Gestor],$B24,
Base[Mês],H$23,
Base[Ano],$B$2),"")</f>
        <v>4</v>
      </c>
      <c r="I24" s="82">
        <f>IFERROR(
AVERAGEIFS(Base[Feedback],
Base[Gestor],$B24,
Base[Mês],I$23,
Base[Ano],$B$2),"")</f>
        <v>3.3333333333333335</v>
      </c>
      <c r="J24" s="82">
        <f>IFERROR(
AVERAGEIFS(Base[Feedback],
Base[Gestor],$B24,
Base[Mês],J$23,
Base[Ano],$B$2),"")</f>
        <v>3.4</v>
      </c>
      <c r="K24" s="82">
        <f>IFERROR(
AVERAGEIFS(Base[Feedback],
Base[Gestor],$B24,
Base[Mês],K$23,
Base[Ano],$B$2),"")</f>
        <v>4.2857142857142856</v>
      </c>
      <c r="L24" s="82">
        <f>IFERROR(
AVERAGEIFS(Base[Feedback],
Base[Gestor],$B24,
Base[Mês],L$23,
Base[Ano],$B$2),"")</f>
        <v>3.3333333333333335</v>
      </c>
      <c r="M24" s="82">
        <f>IFERROR(
AVERAGEIFS(Base[Feedback],
Base[Gestor],$B24,
Base[Mês],M$23,
Base[Ano],$B$2),"")</f>
        <v>3.4</v>
      </c>
      <c r="N24" s="82">
        <f>IFERROR(
AVERAGEIFS(Base[Feedback],
Base[Gestor],$B24,
Base[Mês],N$23,
Base[Ano],$B$2),"")</f>
        <v>4.2857142857142856</v>
      </c>
    </row>
    <row r="25" spans="2:14" x14ac:dyDescent="0.25">
      <c r="B25" s="80" t="s">
        <v>176</v>
      </c>
      <c r="C25" s="82">
        <f>IFERROR(
AVERAGEIFS(Base[Feedback],
Base[Gestor],$B25,
Base[Mês],C$23,
Base[Ano],$B$2),"")</f>
        <v>3.4</v>
      </c>
      <c r="D25" s="82">
        <f>IFERROR(
AVERAGEIFS(Base[Feedback],
Base[Gestor],$B25,
Base[Mês],D$23,
Base[Ano],$B$2),"")</f>
        <v>3.0833333333333335</v>
      </c>
      <c r="E25" s="82">
        <f>IFERROR(
AVERAGEIFS(Base[Feedback],
Base[Gestor],$B25,
Base[Mês],E$23,
Base[Ano],$B$2),"")</f>
        <v>3.6470588235294117</v>
      </c>
      <c r="F25" s="82">
        <f>IFERROR(
AVERAGEIFS(Base[Feedback],
Base[Gestor],$B25,
Base[Mês],F$23,
Base[Ano],$B$2),"")</f>
        <v>3.75</v>
      </c>
      <c r="G25" s="82">
        <f>IFERROR(
AVERAGEIFS(Base[Feedback],
Base[Gestor],$B25,
Base[Mês],G$23,
Base[Ano],$B$2),"")</f>
        <v>3.6470588235294117</v>
      </c>
      <c r="H25" s="82">
        <f>IFERROR(
AVERAGEIFS(Base[Feedback],
Base[Gestor],$B25,
Base[Mês],H$23,
Base[Ano],$B$2),"")</f>
        <v>3.4166666666666665</v>
      </c>
      <c r="I25" s="82">
        <f>IFERROR(
AVERAGEIFS(Base[Feedback],
Base[Gestor],$B25,
Base[Mês],I$23,
Base[Ano],$B$2),"")</f>
        <v>3.8</v>
      </c>
      <c r="J25" s="82">
        <f>IFERROR(
AVERAGEIFS(Base[Feedback],
Base[Gestor],$B25,
Base[Mês],J$23,
Base[Ano],$B$2),"")</f>
        <v>3.6666666666666665</v>
      </c>
      <c r="K25" s="82">
        <f>IFERROR(
AVERAGEIFS(Base[Feedback],
Base[Gestor],$B25,
Base[Mês],K$23,
Base[Ano],$B$2),"")</f>
        <v>3.6666666666666665</v>
      </c>
      <c r="L25" s="82">
        <f>IFERROR(
AVERAGEIFS(Base[Feedback],
Base[Gestor],$B25,
Base[Mês],L$23,
Base[Ano],$B$2),"")</f>
        <v>3.8</v>
      </c>
      <c r="M25" s="82">
        <f>IFERROR(
AVERAGEIFS(Base[Feedback],
Base[Gestor],$B25,
Base[Mês],M$23,
Base[Ano],$B$2),"")</f>
        <v>3.6666666666666665</v>
      </c>
      <c r="N25" s="82">
        <f>IFERROR(
AVERAGEIFS(Base[Feedback],
Base[Gestor],$B25,
Base[Mês],N$23,
Base[Ano],$B$2),"")</f>
        <v>3.6666666666666665</v>
      </c>
    </row>
    <row r="26" spans="2:14" x14ac:dyDescent="0.25">
      <c r="B26" s="80" t="s">
        <v>177</v>
      </c>
      <c r="C26" s="82">
        <f>IFERROR(
AVERAGEIFS(Base[Feedback],
Base[Gestor],$B26,
Base[Mês],C$23,
Base[Ano],$B$2),"")</f>
        <v>4</v>
      </c>
      <c r="D26" s="82">
        <f>IFERROR(
AVERAGEIFS(Base[Feedback],
Base[Gestor],$B26,
Base[Mês],D$23,
Base[Ano],$B$2),"")</f>
        <v>4</v>
      </c>
      <c r="E26" s="82">
        <f>IFERROR(
AVERAGEIFS(Base[Feedback],
Base[Gestor],$B26,
Base[Mês],E$23,
Base[Ano],$B$2),"")</f>
        <v>3.4</v>
      </c>
      <c r="F26" s="82">
        <f>IFERROR(
AVERAGEIFS(Base[Feedback],
Base[Gestor],$B26,
Base[Mês],F$23,
Base[Ano],$B$2),"")</f>
        <v>3.5454545454545454</v>
      </c>
      <c r="G26" s="82">
        <f>IFERROR(
AVERAGEIFS(Base[Feedback],
Base[Gestor],$B26,
Base[Mês],G$23,
Base[Ano],$B$2),"")</f>
        <v>2.7142857142857144</v>
      </c>
      <c r="H26" s="82">
        <f>IFERROR(
AVERAGEIFS(Base[Feedback],
Base[Gestor],$B26,
Base[Mês],H$23,
Base[Ano],$B$2),"")</f>
        <v>4.4285714285714288</v>
      </c>
      <c r="I26" s="82">
        <f>IFERROR(
AVERAGEIFS(Base[Feedback],
Base[Gestor],$B26,
Base[Mês],I$23,
Base[Ano],$B$2),"")</f>
        <v>4.5</v>
      </c>
      <c r="J26" s="82">
        <f>IFERROR(
AVERAGEIFS(Base[Feedback],
Base[Gestor],$B26,
Base[Mês],J$23,
Base[Ano],$B$2),"")</f>
        <v>3.5454545454545454</v>
      </c>
      <c r="K26" s="82">
        <f>IFERROR(
AVERAGEIFS(Base[Feedback],
Base[Gestor],$B26,
Base[Mês],K$23,
Base[Ano],$B$2),"")</f>
        <v>2.875</v>
      </c>
      <c r="L26" s="82">
        <f>IFERROR(
AVERAGEIFS(Base[Feedback],
Base[Gestor],$B26,
Base[Mês],L$23,
Base[Ano],$B$2),"")</f>
        <v>3.6</v>
      </c>
      <c r="M26" s="82">
        <f>IFERROR(
AVERAGEIFS(Base[Feedback],
Base[Gestor],$B26,
Base[Mês],M$23,
Base[Ano],$B$2),"")</f>
        <v>3.6666666666666665</v>
      </c>
      <c r="N26" s="82">
        <f>IFERROR(
AVERAGEIFS(Base[Feedback],
Base[Gestor],$B26,
Base[Mês],N$23,
Base[Ano],$B$2),"")</f>
        <v>2.8571428571428572</v>
      </c>
    </row>
    <row r="29" spans="2:14" x14ac:dyDescent="0.25">
      <c r="B29" s="79" t="s">
        <v>881</v>
      </c>
      <c r="C29" s="79" t="s">
        <v>523</v>
      </c>
      <c r="D29" s="79" t="s">
        <v>528</v>
      </c>
      <c r="E29" s="79" t="s">
        <v>529</v>
      </c>
      <c r="F29" s="79" t="s">
        <v>530</v>
      </c>
      <c r="G29" s="79" t="s">
        <v>531</v>
      </c>
      <c r="H29" s="79" t="s">
        <v>532</v>
      </c>
      <c r="I29" s="79" t="s">
        <v>533</v>
      </c>
      <c r="J29" s="79" t="s">
        <v>534</v>
      </c>
      <c r="K29" s="79" t="s">
        <v>535</v>
      </c>
      <c r="L29" s="79" t="s">
        <v>536</v>
      </c>
      <c r="M29" s="79" t="s">
        <v>537</v>
      </c>
      <c r="N29" s="79" t="s">
        <v>538</v>
      </c>
    </row>
    <row r="30" spans="2:14" x14ac:dyDescent="0.25">
      <c r="B30" s="80" t="s">
        <v>175</v>
      </c>
      <c r="C30" s="83">
        <f>_xlfn.MAXIFS(Base[Total],
Base[Gestor],$B30,
Base[Mês],C$29,
Base[Ano],$B$2)</f>
        <v>900</v>
      </c>
      <c r="D30" s="83">
        <f>_xlfn.MAXIFS(Base[Total],
Base[Gestor],$B30,
Base[Mês],D$29,
Base[Ano],$B$2)</f>
        <v>825</v>
      </c>
      <c r="E30" s="83">
        <f>_xlfn.MAXIFS(Base[Total],
Base[Gestor],$B30,
Base[Mês],E$29,
Base[Ano],$B$2)</f>
        <v>900</v>
      </c>
      <c r="F30" s="83">
        <f>_xlfn.MAXIFS(Base[Total],
Base[Gestor],$B30,
Base[Mês],F$29,
Base[Ano],$B$2)</f>
        <v>744</v>
      </c>
      <c r="G30" s="83">
        <f>_xlfn.MAXIFS(Base[Total],
Base[Gestor],$B30,
Base[Mês],G$29,
Base[Ano],$B$2)</f>
        <v>750</v>
      </c>
      <c r="H30" s="83">
        <f>_xlfn.MAXIFS(Base[Total],
Base[Gestor],$B30,
Base[Mês],H$29,
Base[Ano],$B$2)</f>
        <v>750</v>
      </c>
      <c r="I30" s="83">
        <f>_xlfn.MAXIFS(Base[Total],
Base[Gestor],$B30,
Base[Mês],I$29,
Base[Ano],$B$2)</f>
        <v>900</v>
      </c>
      <c r="J30" s="83">
        <f>_xlfn.MAXIFS(Base[Total],
Base[Gestor],$B30,
Base[Mês],J$29,
Base[Ano],$B$2)</f>
        <v>744</v>
      </c>
      <c r="K30" s="83">
        <f>_xlfn.MAXIFS(Base[Total],
Base[Gestor],$B30,
Base[Mês],K$29,
Base[Ano],$B$2)</f>
        <v>750</v>
      </c>
      <c r="L30" s="83">
        <f>_xlfn.MAXIFS(Base[Total],
Base[Gestor],$B30,
Base[Mês],L$29,
Base[Ano],$B$2)</f>
        <v>900</v>
      </c>
      <c r="M30" s="83">
        <f>_xlfn.MAXIFS(Base[Total],
Base[Gestor],$B30,
Base[Mês],M$29,
Base[Ano],$B$2)</f>
        <v>744</v>
      </c>
      <c r="N30" s="83">
        <f>_xlfn.MAXIFS(Base[Total],
Base[Gestor],$B30,
Base[Mês],N$29,
Base[Ano],$B$2)</f>
        <v>750</v>
      </c>
    </row>
    <row r="31" spans="2:14" x14ac:dyDescent="0.25">
      <c r="B31" s="80" t="s">
        <v>176</v>
      </c>
      <c r="C31" s="83">
        <f>_xlfn.MAXIFS(Base[Total],
Base[Gestor],$B31,
Base[Mês],C$29,
Base[Ano],$B$2)</f>
        <v>624</v>
      </c>
      <c r="D31" s="83">
        <f>_xlfn.MAXIFS(Base[Total],
Base[Gestor],$B31,
Base[Mês],D$29,
Base[Ano],$B$2)</f>
        <v>682</v>
      </c>
      <c r="E31" s="83">
        <f>_xlfn.MAXIFS(Base[Total],
Base[Gestor],$B31,
Base[Mês],E$29,
Base[Ano],$B$2)</f>
        <v>744</v>
      </c>
      <c r="F31" s="83">
        <f>_xlfn.MAXIFS(Base[Total],
Base[Gestor],$B31,
Base[Mês],F$29,
Base[Ano],$B$2)</f>
        <v>572</v>
      </c>
      <c r="G31" s="83">
        <f>_xlfn.MAXIFS(Base[Total],
Base[Gestor],$B31,
Base[Mês],G$29,
Base[Ano],$B$2)</f>
        <v>900</v>
      </c>
      <c r="H31" s="83">
        <f>_xlfn.MAXIFS(Base[Total],
Base[Gestor],$B31,
Base[Mês],H$29,
Base[Ano],$B$2)</f>
        <v>900</v>
      </c>
      <c r="I31" s="83">
        <f>_xlfn.MAXIFS(Base[Total],
Base[Gestor],$B31,
Base[Mês],I$29,
Base[Ano],$B$2)</f>
        <v>744</v>
      </c>
      <c r="J31" s="83">
        <f>_xlfn.MAXIFS(Base[Total],
Base[Gestor],$B31,
Base[Mês],J$29,
Base[Ano],$B$2)</f>
        <v>900</v>
      </c>
      <c r="K31" s="83">
        <f>_xlfn.MAXIFS(Base[Total],
Base[Gestor],$B31,
Base[Mês],K$29,
Base[Ano],$B$2)</f>
        <v>682</v>
      </c>
      <c r="L31" s="83">
        <f>_xlfn.MAXIFS(Base[Total],
Base[Gestor],$B31,
Base[Mês],L$29,
Base[Ano],$B$2)</f>
        <v>744</v>
      </c>
      <c r="M31" s="83">
        <f>_xlfn.MAXIFS(Base[Total],
Base[Gestor],$B31,
Base[Mês],M$29,
Base[Ano],$B$2)</f>
        <v>900</v>
      </c>
      <c r="N31" s="83">
        <f>_xlfn.MAXIFS(Base[Total],
Base[Gestor],$B31,
Base[Mês],N$29,
Base[Ano],$B$2)</f>
        <v>682</v>
      </c>
    </row>
    <row r="32" spans="2:14" x14ac:dyDescent="0.25">
      <c r="B32" s="80" t="s">
        <v>177</v>
      </c>
      <c r="C32" s="83">
        <f>_xlfn.MAXIFS(Base[Total],
Base[Gestor],$B32,
Base[Mês],C$29,
Base[Ano],$B$2)</f>
        <v>576</v>
      </c>
      <c r="D32" s="83">
        <f>_xlfn.MAXIFS(Base[Total],
Base[Gestor],$B32,
Base[Mês],D$29,
Base[Ano],$B$2)</f>
        <v>750</v>
      </c>
      <c r="E32" s="83">
        <f>_xlfn.MAXIFS(Base[Total],
Base[Gestor],$B32,
Base[Mês],E$29,
Base[Ano],$B$2)</f>
        <v>572</v>
      </c>
      <c r="F32" s="83">
        <f>_xlfn.MAXIFS(Base[Total],
Base[Gestor],$B32,
Base[Mês],F$29,
Base[Ano],$B$2)</f>
        <v>825</v>
      </c>
      <c r="G32" s="83">
        <f>_xlfn.MAXIFS(Base[Total],
Base[Gestor],$B32,
Base[Mês],G$29,
Base[Ano],$B$2)</f>
        <v>620</v>
      </c>
      <c r="H32" s="83">
        <f>_xlfn.MAXIFS(Base[Total],
Base[Gestor],$B32,
Base[Mês],H$29,
Base[Ano],$B$2)</f>
        <v>825</v>
      </c>
      <c r="I32" s="83">
        <f>_xlfn.MAXIFS(Base[Total],
Base[Gestor],$B32,
Base[Mês],I$29,
Base[Ano],$B$2)</f>
        <v>572</v>
      </c>
      <c r="J32" s="83">
        <f>_xlfn.MAXIFS(Base[Total],
Base[Gestor],$B32,
Base[Mês],J$29,
Base[Ano],$B$2)</f>
        <v>825</v>
      </c>
      <c r="K32" s="83">
        <f>_xlfn.MAXIFS(Base[Total],
Base[Gestor],$B32,
Base[Mês],K$29,
Base[Ano],$B$2)</f>
        <v>636</v>
      </c>
      <c r="L32" s="83">
        <f>_xlfn.MAXIFS(Base[Total],
Base[Gestor],$B32,
Base[Mês],L$29,
Base[Ano],$B$2)</f>
        <v>744</v>
      </c>
      <c r="M32" s="83">
        <f>_xlfn.MAXIFS(Base[Total],
Base[Gestor],$B32,
Base[Mês],M$29,
Base[Ano],$B$2)</f>
        <v>825</v>
      </c>
      <c r="N32" s="83">
        <f>_xlfn.MAXIFS(Base[Total],
Base[Gestor],$B32,
Base[Mês],N$29,
Base[Ano],$B$2)</f>
        <v>636</v>
      </c>
    </row>
    <row r="35" spans="2:14" x14ac:dyDescent="0.25">
      <c r="B35" s="79" t="s">
        <v>880</v>
      </c>
      <c r="C35" s="79" t="s">
        <v>523</v>
      </c>
      <c r="D35" s="79" t="s">
        <v>528</v>
      </c>
      <c r="E35" s="79" t="s">
        <v>529</v>
      </c>
      <c r="F35" s="79" t="s">
        <v>530</v>
      </c>
      <c r="G35" s="79" t="s">
        <v>531</v>
      </c>
      <c r="H35" s="79" t="s">
        <v>532</v>
      </c>
      <c r="I35" s="79" t="s">
        <v>533</v>
      </c>
      <c r="J35" s="79" t="s">
        <v>534</v>
      </c>
      <c r="K35" s="79" t="s">
        <v>535</v>
      </c>
      <c r="L35" s="79" t="s">
        <v>536</v>
      </c>
      <c r="M35" s="79" t="s">
        <v>537</v>
      </c>
      <c r="N35" s="79" t="s">
        <v>538</v>
      </c>
    </row>
    <row r="36" spans="2:14" x14ac:dyDescent="0.25">
      <c r="B36" s="80" t="s">
        <v>175</v>
      </c>
      <c r="C36" s="83">
        <f>_xlfn.MINIFS(Base[Total],
Base[Gestor],$B36,
Base[Mês],C$35,
Base[Ano],$B$2)</f>
        <v>280</v>
      </c>
      <c r="D36" s="83">
        <f>_xlfn.MINIFS(Base[Total],
Base[Gestor],$B36,
Base[Mês],D$35,
Base[Ano],$B$2)</f>
        <v>320</v>
      </c>
      <c r="E36" s="83">
        <f>_xlfn.MINIFS(Base[Total],
Base[Gestor],$B36,
Base[Mês],E$35,
Base[Ano],$B$2)</f>
        <v>288</v>
      </c>
      <c r="F36" s="83">
        <f>_xlfn.MINIFS(Base[Total],
Base[Gestor],$B36,
Base[Mês],F$35,
Base[Ano],$B$2)</f>
        <v>280</v>
      </c>
      <c r="G36" s="83">
        <f>_xlfn.MINIFS(Base[Total],
Base[Gestor],$B36,
Base[Mês],G$35,
Base[Ano],$B$2)</f>
        <v>256</v>
      </c>
      <c r="H36" s="83">
        <f>_xlfn.MINIFS(Base[Total],
Base[Gestor],$B36,
Base[Mês],H$35,
Base[Ano],$B$2)</f>
        <v>378</v>
      </c>
      <c r="I36" s="83">
        <f>_xlfn.MINIFS(Base[Total],
Base[Gestor],$B36,
Base[Mês],I$35,
Base[Ano],$B$2)</f>
        <v>352</v>
      </c>
      <c r="J36" s="83">
        <f>_xlfn.MINIFS(Base[Total],
Base[Gestor],$B36,
Base[Mês],J$35,
Base[Ano],$B$2)</f>
        <v>280</v>
      </c>
      <c r="K36" s="83">
        <f>_xlfn.MINIFS(Base[Total],
Base[Gestor],$B36,
Base[Mês],K$35,
Base[Ano],$B$2)</f>
        <v>256</v>
      </c>
      <c r="L36" s="83">
        <f>_xlfn.MINIFS(Base[Total],
Base[Gestor],$B36,
Base[Mês],L$35,
Base[Ano],$B$2)</f>
        <v>352</v>
      </c>
      <c r="M36" s="83">
        <f>_xlfn.MINIFS(Base[Total],
Base[Gestor],$B36,
Base[Mês],M$35,
Base[Ano],$B$2)</f>
        <v>280</v>
      </c>
      <c r="N36" s="83">
        <f>_xlfn.MINIFS(Base[Total],
Base[Gestor],$B36,
Base[Mês],N$35,
Base[Ano],$B$2)</f>
        <v>256</v>
      </c>
    </row>
    <row r="37" spans="2:14" x14ac:dyDescent="0.25">
      <c r="B37" s="80" t="s">
        <v>176</v>
      </c>
      <c r="C37" s="83">
        <f>_xlfn.MINIFS(Base[Total],
Base[Gestor],$B37,
Base[Mês],C$35,
Base[Ano],$B$2)</f>
        <v>256</v>
      </c>
      <c r="D37" s="83">
        <f>_xlfn.MINIFS(Base[Total],
Base[Gestor],$B37,
Base[Mês],D$35,
Base[Ano],$B$2)</f>
        <v>320</v>
      </c>
      <c r="E37" s="83">
        <f>_xlfn.MINIFS(Base[Total],
Base[Gestor],$B37,
Base[Mês],E$35,
Base[Ano],$B$2)</f>
        <v>280</v>
      </c>
      <c r="F37" s="83">
        <f>_xlfn.MINIFS(Base[Total],
Base[Gestor],$B37,
Base[Mês],F$35,
Base[Ano],$B$2)</f>
        <v>384</v>
      </c>
      <c r="G37" s="83">
        <f>_xlfn.MINIFS(Base[Total],
Base[Gestor],$B37,
Base[Mês],G$35,
Base[Ano],$B$2)</f>
        <v>288</v>
      </c>
      <c r="H37" s="83">
        <f>_xlfn.MINIFS(Base[Total],
Base[Gestor],$B37,
Base[Mês],H$35,
Base[Ano],$B$2)</f>
        <v>256</v>
      </c>
      <c r="I37" s="83">
        <f>_xlfn.MINIFS(Base[Total],
Base[Gestor],$B37,
Base[Mês],I$35,
Base[Ano],$B$2)</f>
        <v>315</v>
      </c>
      <c r="J37" s="83">
        <f>_xlfn.MINIFS(Base[Total],
Base[Gestor],$B37,
Base[Mês],J$35,
Base[Ano],$B$2)</f>
        <v>384</v>
      </c>
      <c r="K37" s="83">
        <f>_xlfn.MINIFS(Base[Total],
Base[Gestor],$B37,
Base[Mês],K$35,
Base[Ano],$B$2)</f>
        <v>288</v>
      </c>
      <c r="L37" s="83">
        <f>_xlfn.MINIFS(Base[Total],
Base[Gestor],$B37,
Base[Mês],L$35,
Base[Ano],$B$2)</f>
        <v>315</v>
      </c>
      <c r="M37" s="83">
        <f>_xlfn.MINIFS(Base[Total],
Base[Gestor],$B37,
Base[Mês],M$35,
Base[Ano],$B$2)</f>
        <v>384</v>
      </c>
      <c r="N37" s="83">
        <f>_xlfn.MINIFS(Base[Total],
Base[Gestor],$B37,
Base[Mês],N$35,
Base[Ano],$B$2)</f>
        <v>288</v>
      </c>
    </row>
    <row r="38" spans="2:14" x14ac:dyDescent="0.25">
      <c r="B38" s="80" t="s">
        <v>177</v>
      </c>
      <c r="C38" s="83">
        <f>_xlfn.MINIFS(Base[Total],
Base[Gestor],$B38,
Base[Mês],C$35,
Base[Ano],$B$2)</f>
        <v>496</v>
      </c>
      <c r="D38" s="83">
        <f>_xlfn.MINIFS(Base[Total],
Base[Gestor],$B38,
Base[Mês],D$35,
Base[Ano],$B$2)</f>
        <v>320</v>
      </c>
      <c r="E38" s="83">
        <f>_xlfn.MINIFS(Base[Total],
Base[Gestor],$B38,
Base[Mês],E$35,
Base[Ano],$B$2)</f>
        <v>352</v>
      </c>
      <c r="F38" s="83">
        <f>_xlfn.MINIFS(Base[Total],
Base[Gestor],$B38,
Base[Mês],F$35,
Base[Ano],$B$2)</f>
        <v>336</v>
      </c>
      <c r="G38" s="83">
        <f>_xlfn.MINIFS(Base[Total],
Base[Gestor],$B38,
Base[Mês],G$35,
Base[Ano],$B$2)</f>
        <v>288</v>
      </c>
      <c r="H38" s="83">
        <f>_xlfn.MINIFS(Base[Total],
Base[Gestor],$B38,
Base[Mês],H$35,
Base[Ano],$B$2)</f>
        <v>384</v>
      </c>
      <c r="I38" s="83">
        <f>_xlfn.MINIFS(Base[Total],
Base[Gestor],$B38,
Base[Mês],I$35,
Base[Ano],$B$2)</f>
        <v>558</v>
      </c>
      <c r="J38" s="83">
        <f>_xlfn.MINIFS(Base[Total],
Base[Gestor],$B38,
Base[Mês],J$35,
Base[Ano],$B$2)</f>
        <v>336</v>
      </c>
      <c r="K38" s="83">
        <f>_xlfn.MINIFS(Base[Total],
Base[Gestor],$B38,
Base[Mês],K$35,
Base[Ano],$B$2)</f>
        <v>288</v>
      </c>
      <c r="L38" s="83">
        <f>_xlfn.MINIFS(Base[Total],
Base[Gestor],$B38,
Base[Mês],L$35,
Base[Ano],$B$2)</f>
        <v>432</v>
      </c>
      <c r="M38" s="83">
        <f>_xlfn.MINIFS(Base[Total],
Base[Gestor],$B38,
Base[Mês],M$35,
Base[Ano],$B$2)</f>
        <v>336</v>
      </c>
      <c r="N38" s="83">
        <f>_xlfn.MINIFS(Base[Total],
Base[Gestor],$B38,
Base[Mês],N$35,
Base[Ano],$B$2)</f>
        <v>288</v>
      </c>
    </row>
  </sheetData>
  <dataValidations count="1">
    <dataValidation type="list" allowBlank="1" showInputMessage="1" showErrorMessage="1" sqref="B2" xr:uid="{00000000-0002-0000-0500-000000000000}">
      <formula1>"2016,2017,2018"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O50"/>
  <sheetViews>
    <sheetView topLeftCell="A40" workbookViewId="0">
      <selection activeCell="C24" sqref="C24"/>
    </sheetView>
  </sheetViews>
  <sheetFormatPr defaultRowHeight="15.75" x14ac:dyDescent="0.25"/>
  <cols>
    <col min="1" max="1" width="9" style="78"/>
    <col min="2" max="2" width="18.25" style="78" bestFit="1" customWidth="1"/>
    <col min="3" max="10" width="10.25" style="78" bestFit="1" customWidth="1"/>
    <col min="11" max="11" width="10.375" style="78" bestFit="1" customWidth="1"/>
    <col min="12" max="12" width="10.25" style="78" bestFit="1" customWidth="1"/>
    <col min="13" max="13" width="11.125" style="78" bestFit="1" customWidth="1"/>
    <col min="14" max="14" width="10.625" style="78" bestFit="1" customWidth="1"/>
    <col min="15" max="16384" width="9" style="78"/>
  </cols>
  <sheetData>
    <row r="1" spans="2:15" ht="16.5" thickBot="1" x14ac:dyDescent="0.3"/>
    <row r="2" spans="2:15" x14ac:dyDescent="0.25">
      <c r="B2" s="84">
        <v>2016</v>
      </c>
    </row>
    <row r="5" spans="2:15" x14ac:dyDescent="0.25">
      <c r="B5" s="79" t="s">
        <v>879</v>
      </c>
      <c r="C5" s="79" t="s">
        <v>523</v>
      </c>
      <c r="D5" s="79" t="s">
        <v>528</v>
      </c>
      <c r="E5" s="79" t="s">
        <v>529</v>
      </c>
      <c r="F5" s="79" t="s">
        <v>530</v>
      </c>
      <c r="G5" s="79" t="s">
        <v>531</v>
      </c>
      <c r="H5" s="79" t="s">
        <v>532</v>
      </c>
      <c r="I5" s="79" t="s">
        <v>533</v>
      </c>
      <c r="J5" s="79" t="s">
        <v>534</v>
      </c>
      <c r="K5" s="79" t="s">
        <v>535</v>
      </c>
      <c r="L5" s="79" t="s">
        <v>536</v>
      </c>
      <c r="M5" s="79" t="s">
        <v>537</v>
      </c>
      <c r="N5" s="79" t="s">
        <v>538</v>
      </c>
      <c r="O5" s="79" t="s">
        <v>163</v>
      </c>
    </row>
    <row r="6" spans="2:15" x14ac:dyDescent="0.25">
      <c r="B6" s="80" t="s">
        <v>175</v>
      </c>
      <c r="C6" s="80">
        <f>COUNTIFS(Base[Gestor],$B6,
Base[Mês],C$5,
Base[Ano],$B$2)</f>
        <v>13</v>
      </c>
      <c r="D6" s="80">
        <f>COUNTIFS(Base[Gestor],$B6,
Base[Mês],D$5,
Base[Ano],$B$2)</f>
        <v>14</v>
      </c>
      <c r="E6" s="80">
        <f>COUNTIFS(Base[Gestor],$B6,
Base[Mês],E$5,
Base[Ano],$B$2)</f>
        <v>13</v>
      </c>
      <c r="F6" s="80">
        <f>COUNTIFS(Base[Gestor],$B6,
Base[Mês],F$5,
Base[Ano],$B$2)</f>
        <v>18</v>
      </c>
      <c r="G6" s="80">
        <f>COUNTIFS(Base[Gestor],$B6,
Base[Mês],G$5,
Base[Ano],$B$2)</f>
        <v>15</v>
      </c>
      <c r="H6" s="80">
        <f>COUNTIFS(Base[Gestor],$B6,
Base[Mês],H$5,
Base[Ano],$B$2)</f>
        <v>11</v>
      </c>
      <c r="I6" s="80">
        <f>COUNTIFS(Base[Gestor],$B6,
Base[Mês],I$5,
Base[Ano],$B$2)</f>
        <v>15</v>
      </c>
      <c r="J6" s="80">
        <f>COUNTIFS(Base[Gestor],$B6,
Base[Mês],J$5,
Base[Ano],$B$2)</f>
        <v>9</v>
      </c>
      <c r="K6" s="80">
        <f>COUNTIFS(Base[Gestor],$B6,
Base[Mês],K$5,
Base[Ano],$B$2)</f>
        <v>10</v>
      </c>
      <c r="L6" s="80">
        <f>COUNTIFS(Base[Gestor],$B6,
Base[Mês],L$5,
Base[Ano],$B$2)</f>
        <v>12</v>
      </c>
      <c r="M6" s="80">
        <f>COUNTIFS(Base[Gestor],$B6,
Base[Mês],M$5,
Base[Ano],$B$2)</f>
        <v>8</v>
      </c>
      <c r="N6" s="80">
        <f>COUNTIFS(Base[Gestor],$B6,
Base[Mês],N$5,
Base[Ano],$B$2)</f>
        <v>12</v>
      </c>
      <c r="O6" s="88">
        <f>SUM(C6:N6)</f>
        <v>150</v>
      </c>
    </row>
    <row r="7" spans="2:15" x14ac:dyDescent="0.25">
      <c r="B7" s="80" t="s">
        <v>176</v>
      </c>
      <c r="C7" s="80">
        <f>COUNTIFS(Base[Gestor],$B7,
Base[Mês],C$5,
Base[Ano],$B$2)</f>
        <v>12</v>
      </c>
      <c r="D7" s="80">
        <f>COUNTIFS(Base[Gestor],$B7,
Base[Mês],D$5,
Base[Ano],$B$2)</f>
        <v>18</v>
      </c>
      <c r="E7" s="80">
        <f>COUNTIFS(Base[Gestor],$B7,
Base[Mês],E$5,
Base[Ano],$B$2)</f>
        <v>15</v>
      </c>
      <c r="F7" s="80">
        <f>COUNTIFS(Base[Gestor],$B7,
Base[Mês],F$5,
Base[Ano],$B$2)</f>
        <v>18</v>
      </c>
      <c r="G7" s="80">
        <f>COUNTIFS(Base[Gestor],$B7,
Base[Mês],G$5,
Base[Ano],$B$2)</f>
        <v>11</v>
      </c>
      <c r="H7" s="80">
        <f>COUNTIFS(Base[Gestor],$B7,
Base[Mês],H$5,
Base[Ano],$B$2)</f>
        <v>10</v>
      </c>
      <c r="I7" s="80">
        <f>COUNTIFS(Base[Gestor],$B7,
Base[Mês],I$5,
Base[Ano],$B$2)</f>
        <v>5</v>
      </c>
      <c r="J7" s="80">
        <f>COUNTIFS(Base[Gestor],$B7,
Base[Mês],J$5,
Base[Ano],$B$2)</f>
        <v>11</v>
      </c>
      <c r="K7" s="80">
        <f>COUNTIFS(Base[Gestor],$B7,
Base[Mês],K$5,
Base[Ano],$B$2)</f>
        <v>11</v>
      </c>
      <c r="L7" s="80">
        <f>COUNTIFS(Base[Gestor],$B7,
Base[Mês],L$5,
Base[Ano],$B$2)</f>
        <v>6</v>
      </c>
      <c r="M7" s="80">
        <f>COUNTIFS(Base[Gestor],$B7,
Base[Mês],M$5,
Base[Ano],$B$2)</f>
        <v>13</v>
      </c>
      <c r="N7" s="80">
        <f>COUNTIFS(Base[Gestor],$B7,
Base[Mês],N$5,
Base[Ano],$B$2)</f>
        <v>8</v>
      </c>
      <c r="O7" s="88">
        <f>SUM(C7:N7)</f>
        <v>138</v>
      </c>
    </row>
    <row r="8" spans="2:15" x14ac:dyDescent="0.25">
      <c r="B8" s="80" t="s">
        <v>177</v>
      </c>
      <c r="C8" s="80">
        <f>COUNTIFS(Base[Gestor],$B8,
Base[Mês],C$5,
Base[Ano],$B$2)</f>
        <v>10</v>
      </c>
      <c r="D8" s="80">
        <f>COUNTIFS(Base[Gestor],$B8,
Base[Mês],D$5,
Base[Ano],$B$2)</f>
        <v>7</v>
      </c>
      <c r="E8" s="80">
        <f>COUNTIFS(Base[Gestor],$B8,
Base[Mês],E$5,
Base[Ano],$B$2)</f>
        <v>13</v>
      </c>
      <c r="F8" s="80">
        <f>COUNTIFS(Base[Gestor],$B8,
Base[Mês],F$5,
Base[Ano],$B$2)</f>
        <v>17</v>
      </c>
      <c r="G8" s="80">
        <f>COUNTIFS(Base[Gestor],$B8,
Base[Mês],G$5,
Base[Ano],$B$2)</f>
        <v>10</v>
      </c>
      <c r="H8" s="80">
        <f>COUNTIFS(Base[Gestor],$B8,
Base[Mês],H$5,
Base[Ano],$B$2)</f>
        <v>9</v>
      </c>
      <c r="I8" s="80">
        <f>COUNTIFS(Base[Gestor],$B8,
Base[Mês],I$5,
Base[Ano],$B$2)</f>
        <v>10</v>
      </c>
      <c r="J8" s="80">
        <f>COUNTIFS(Base[Gestor],$B8,
Base[Mês],J$5,
Base[Ano],$B$2)</f>
        <v>12</v>
      </c>
      <c r="K8" s="80">
        <f>COUNTIFS(Base[Gestor],$B8,
Base[Mês],K$5,
Base[Ano],$B$2)</f>
        <v>9</v>
      </c>
      <c r="L8" s="80">
        <f>COUNTIFS(Base[Gestor],$B8,
Base[Mês],L$5,
Base[Ano],$B$2)</f>
        <v>13</v>
      </c>
      <c r="M8" s="80">
        <f>COUNTIFS(Base[Gestor],$B8,
Base[Mês],M$5,
Base[Ano],$B$2)</f>
        <v>9</v>
      </c>
      <c r="N8" s="80">
        <f>COUNTIFS(Base[Gestor],$B8,
Base[Mês],N$5,
Base[Ano],$B$2)</f>
        <v>11</v>
      </c>
      <c r="O8" s="88">
        <f>SUM(C8:N8)</f>
        <v>130</v>
      </c>
    </row>
    <row r="9" spans="2:15" x14ac:dyDescent="0.25">
      <c r="B9" s="87" t="s">
        <v>163</v>
      </c>
      <c r="C9" s="88">
        <f t="shared" ref="C9:N9" si="0">SUM(C6:C8)</f>
        <v>35</v>
      </c>
      <c r="D9" s="88">
        <f t="shared" si="0"/>
        <v>39</v>
      </c>
      <c r="E9" s="88">
        <f t="shared" si="0"/>
        <v>41</v>
      </c>
      <c r="F9" s="88">
        <f t="shared" si="0"/>
        <v>53</v>
      </c>
      <c r="G9" s="88">
        <f t="shared" si="0"/>
        <v>36</v>
      </c>
      <c r="H9" s="88">
        <f t="shared" si="0"/>
        <v>30</v>
      </c>
      <c r="I9" s="88">
        <f t="shared" si="0"/>
        <v>30</v>
      </c>
      <c r="J9" s="88">
        <f t="shared" si="0"/>
        <v>32</v>
      </c>
      <c r="K9" s="88">
        <f t="shared" si="0"/>
        <v>30</v>
      </c>
      <c r="L9" s="88">
        <f t="shared" si="0"/>
        <v>31</v>
      </c>
      <c r="M9" s="88">
        <f t="shared" si="0"/>
        <v>30</v>
      </c>
      <c r="N9" s="88">
        <f t="shared" si="0"/>
        <v>31</v>
      </c>
      <c r="O9" s="88">
        <f>SUM(C9:N9)</f>
        <v>418</v>
      </c>
    </row>
    <row r="11" spans="2:15" x14ac:dyDescent="0.25">
      <c r="B11" s="79" t="s">
        <v>882</v>
      </c>
      <c r="C11" s="79" t="s">
        <v>523</v>
      </c>
      <c r="D11" s="79" t="s">
        <v>528</v>
      </c>
      <c r="E11" s="79" t="s">
        <v>529</v>
      </c>
      <c r="F11" s="79" t="s">
        <v>530</v>
      </c>
      <c r="G11" s="79" t="s">
        <v>531</v>
      </c>
      <c r="H11" s="79" t="s">
        <v>532</v>
      </c>
      <c r="I11" s="79" t="s">
        <v>533</v>
      </c>
      <c r="J11" s="79" t="s">
        <v>534</v>
      </c>
      <c r="K11" s="79" t="s">
        <v>535</v>
      </c>
      <c r="L11" s="79" t="s">
        <v>536</v>
      </c>
      <c r="M11" s="79" t="s">
        <v>537</v>
      </c>
      <c r="N11" s="79" t="s">
        <v>538</v>
      </c>
      <c r="O11" s="79" t="s">
        <v>523</v>
      </c>
    </row>
    <row r="12" spans="2:15" x14ac:dyDescent="0.25">
      <c r="B12" s="80" t="s">
        <v>175</v>
      </c>
      <c r="C12" s="80">
        <f>SUMIFS(Base[Total],
Base[Gestor],$B12,
Base[Mês],C$11,
Base[Ano],$B$2)</f>
        <v>6025</v>
      </c>
      <c r="D12" s="80">
        <f>SUMIFS(Base[Total],
Base[Gestor],$B12,
Base[Mês],D$11,
Base[Ano],$B$2)</f>
        <v>7934</v>
      </c>
      <c r="E12" s="80">
        <f>SUMIFS(Base[Total],
Base[Gestor],$B12,
Base[Mês],E$11,
Base[Ano],$B$2)</f>
        <v>6324</v>
      </c>
      <c r="F12" s="80">
        <f>SUMIFS(Base[Total],
Base[Gestor],$B12,
Base[Mês],F$11,
Base[Ano],$B$2)</f>
        <v>9589</v>
      </c>
      <c r="G12" s="80">
        <f>SUMIFS(Base[Total],
Base[Gestor],$B12,
Base[Mês],G$11,
Base[Ano],$B$2)</f>
        <v>7739</v>
      </c>
      <c r="H12" s="80">
        <f>SUMIFS(Base[Total],
Base[Gestor],$B12,
Base[Mês],H$11,
Base[Ano],$B$2)</f>
        <v>5667</v>
      </c>
      <c r="I12" s="80">
        <f>SUMIFS(Base[Total],
Base[Gestor],$B12,
Base[Mês],I$11,
Base[Ano],$B$2)</f>
        <v>7084</v>
      </c>
      <c r="J12" s="80">
        <f>SUMIFS(Base[Total],
Base[Gestor],$B12,
Base[Mês],J$11,
Base[Ano],$B$2)</f>
        <v>4219</v>
      </c>
      <c r="K12" s="80">
        <f>SUMIFS(Base[Total],
Base[Gestor],$B12,
Base[Mês],K$11,
Base[Ano],$B$2)</f>
        <v>4748</v>
      </c>
      <c r="L12" s="80">
        <f>SUMIFS(Base[Total],
Base[Gestor],$B12,
Base[Mês],L$11,
Base[Ano],$B$2)</f>
        <v>5517</v>
      </c>
      <c r="M12" s="80">
        <f>SUMIFS(Base[Total],
Base[Gestor],$B12,
Base[Mês],M$11,
Base[Ano],$B$2)</f>
        <v>4078</v>
      </c>
      <c r="N12" s="80">
        <f>SUMIFS(Base[Total],
Base[Gestor],$B12,
Base[Mês],N$11,
Base[Ano],$B$2)</f>
        <v>5835</v>
      </c>
      <c r="O12" s="88">
        <f>SUM(C12:N12)</f>
        <v>74759</v>
      </c>
    </row>
    <row r="13" spans="2:15" x14ac:dyDescent="0.25">
      <c r="B13" s="80" t="s">
        <v>176</v>
      </c>
      <c r="C13" s="80">
        <f>SUMIFS(Base[Total],
Base[Gestor],$B13,
Base[Mês],C$11,
Base[Ano],$B$2)</f>
        <v>6367</v>
      </c>
      <c r="D13" s="80">
        <f>SUMIFS(Base[Total],
Base[Gestor],$B13,
Base[Mês],D$11,
Base[Ano],$B$2)</f>
        <v>8675</v>
      </c>
      <c r="E13" s="80">
        <f>SUMIFS(Base[Total],
Base[Gestor],$B13,
Base[Mês],E$11,
Base[Ano],$B$2)</f>
        <v>7090</v>
      </c>
      <c r="F13" s="80">
        <f>SUMIFS(Base[Total],
Base[Gestor],$B13,
Base[Mês],F$11,
Base[Ano],$B$2)</f>
        <v>7351</v>
      </c>
      <c r="G13" s="80">
        <f>SUMIFS(Base[Total],
Base[Gestor],$B13,
Base[Mês],G$11,
Base[Ano],$B$2)</f>
        <v>5339</v>
      </c>
      <c r="H13" s="80">
        <f>SUMIFS(Base[Total],
Base[Gestor],$B13,
Base[Mês],H$11,
Base[Ano],$B$2)</f>
        <v>4501</v>
      </c>
      <c r="I13" s="80">
        <f>SUMIFS(Base[Total],
Base[Gestor],$B13,
Base[Mês],I$11,
Base[Ano],$B$2)</f>
        <v>1814</v>
      </c>
      <c r="J13" s="80">
        <f>SUMIFS(Base[Total],
Base[Gestor],$B13,
Base[Mês],J$11,
Base[Ano],$B$2)</f>
        <v>4918</v>
      </c>
      <c r="K13" s="80">
        <f>SUMIFS(Base[Total],
Base[Gestor],$B13,
Base[Mês],K$11,
Base[Ano],$B$2)</f>
        <v>5590</v>
      </c>
      <c r="L13" s="80">
        <f>SUMIFS(Base[Total],
Base[Gestor],$B13,
Base[Mês],L$11,
Base[Ano],$B$2)</f>
        <v>3145</v>
      </c>
      <c r="M13" s="80">
        <f>SUMIFS(Base[Total],
Base[Gestor],$B13,
Base[Mês],M$11,
Base[Ano],$B$2)</f>
        <v>5847</v>
      </c>
      <c r="N13" s="80">
        <f>SUMIFS(Base[Total],
Base[Gestor],$B13,
Base[Mês],N$11,
Base[Ano],$B$2)</f>
        <v>3939</v>
      </c>
      <c r="O13" s="88">
        <f>SUM(C13:N13)</f>
        <v>64576</v>
      </c>
    </row>
    <row r="14" spans="2:15" x14ac:dyDescent="0.25">
      <c r="B14" s="80" t="s">
        <v>177</v>
      </c>
      <c r="C14" s="80">
        <f>SUMIFS(Base[Total],
Base[Gestor],$B14,
Base[Mês],C$11,
Base[Ano],$B$2)</f>
        <v>4636</v>
      </c>
      <c r="D14" s="80">
        <f>SUMIFS(Base[Total],
Base[Gestor],$B14,
Base[Mês],D$11,
Base[Ano],$B$2)</f>
        <v>3275</v>
      </c>
      <c r="E14" s="80">
        <f>SUMIFS(Base[Total],
Base[Gestor],$B14,
Base[Mês],E$11,
Base[Ano],$B$2)</f>
        <v>5996</v>
      </c>
      <c r="F14" s="80">
        <f>SUMIFS(Base[Total],
Base[Gestor],$B14,
Base[Mês],F$11,
Base[Ano],$B$2)</f>
        <v>8078</v>
      </c>
      <c r="G14" s="80">
        <f>SUMIFS(Base[Total],
Base[Gestor],$B14,
Base[Mês],G$11,
Base[Ano],$B$2)</f>
        <v>5593</v>
      </c>
      <c r="H14" s="80">
        <f>SUMIFS(Base[Total],
Base[Gestor],$B14,
Base[Mês],H$11,
Base[Ano],$B$2)</f>
        <v>4328</v>
      </c>
      <c r="I14" s="80">
        <f>SUMIFS(Base[Total],
Base[Gestor],$B14,
Base[Mês],I$11,
Base[Ano],$B$2)</f>
        <v>4937</v>
      </c>
      <c r="J14" s="80">
        <f>SUMIFS(Base[Total],
Base[Gestor],$B14,
Base[Mês],J$11,
Base[Ano],$B$2)</f>
        <v>5091</v>
      </c>
      <c r="K14" s="80">
        <f>SUMIFS(Base[Total],
Base[Gestor],$B14,
Base[Mês],K$11,
Base[Ano],$B$2)</f>
        <v>3782</v>
      </c>
      <c r="L14" s="80">
        <f>SUMIFS(Base[Total],
Base[Gestor],$B14,
Base[Mês],L$11,
Base[Ano],$B$2)</f>
        <v>6496</v>
      </c>
      <c r="M14" s="80">
        <f>SUMIFS(Base[Total],
Base[Gestor],$B14,
Base[Mês],M$11,
Base[Ano],$B$2)</f>
        <v>4045</v>
      </c>
      <c r="N14" s="80">
        <f>SUMIFS(Base[Total],
Base[Gestor],$B14,
Base[Mês],N$11,
Base[Ano],$B$2)</f>
        <v>5468</v>
      </c>
      <c r="O14" s="88">
        <f>SUM(C14:N14)</f>
        <v>61725</v>
      </c>
    </row>
    <row r="15" spans="2:15" x14ac:dyDescent="0.25">
      <c r="B15" s="87" t="s">
        <v>163</v>
      </c>
      <c r="C15" s="88">
        <f t="shared" ref="C15:N15" si="1">SUM(C12:C14)</f>
        <v>17028</v>
      </c>
      <c r="D15" s="88">
        <f t="shared" si="1"/>
        <v>19884</v>
      </c>
      <c r="E15" s="88">
        <f t="shared" si="1"/>
        <v>19410</v>
      </c>
      <c r="F15" s="88">
        <f t="shared" si="1"/>
        <v>25018</v>
      </c>
      <c r="G15" s="88">
        <f t="shared" si="1"/>
        <v>18671</v>
      </c>
      <c r="H15" s="88">
        <f t="shared" si="1"/>
        <v>14496</v>
      </c>
      <c r="I15" s="88">
        <f t="shared" si="1"/>
        <v>13835</v>
      </c>
      <c r="J15" s="88">
        <f t="shared" si="1"/>
        <v>14228</v>
      </c>
      <c r="K15" s="88">
        <f t="shared" si="1"/>
        <v>14120</v>
      </c>
      <c r="L15" s="88">
        <f t="shared" si="1"/>
        <v>15158</v>
      </c>
      <c r="M15" s="88">
        <f t="shared" si="1"/>
        <v>13970</v>
      </c>
      <c r="N15" s="88">
        <f t="shared" si="1"/>
        <v>15242</v>
      </c>
      <c r="O15" s="88">
        <f>SUM(C15:N15)</f>
        <v>201060</v>
      </c>
    </row>
    <row r="17" spans="2:14" x14ac:dyDescent="0.25">
      <c r="B17" s="79" t="s">
        <v>886</v>
      </c>
      <c r="C17" s="79" t="s">
        <v>523</v>
      </c>
      <c r="D17" s="79" t="s">
        <v>528</v>
      </c>
      <c r="E17" s="79" t="s">
        <v>529</v>
      </c>
      <c r="F17" s="79" t="s">
        <v>530</v>
      </c>
      <c r="G17" s="79" t="s">
        <v>531</v>
      </c>
      <c r="H17" s="79" t="s">
        <v>532</v>
      </c>
      <c r="I17" s="79" t="s">
        <v>533</v>
      </c>
      <c r="J17" s="79" t="s">
        <v>534</v>
      </c>
      <c r="K17" s="79" t="s">
        <v>535</v>
      </c>
      <c r="L17" s="79" t="s">
        <v>536</v>
      </c>
      <c r="M17" s="79" t="s">
        <v>537</v>
      </c>
      <c r="N17" s="79" t="s">
        <v>538</v>
      </c>
    </row>
    <row r="18" spans="2:14" x14ac:dyDescent="0.25">
      <c r="B18" s="80" t="s">
        <v>175</v>
      </c>
      <c r="C18" s="86">
        <f t="shared" ref="C18:N18" si="2">C6/$O$9</f>
        <v>3.1100478468899521E-2</v>
      </c>
      <c r="D18" s="86">
        <f t="shared" si="2"/>
        <v>3.3492822966507178E-2</v>
      </c>
      <c r="E18" s="86">
        <f t="shared" si="2"/>
        <v>3.1100478468899521E-2</v>
      </c>
      <c r="F18" s="86">
        <f t="shared" si="2"/>
        <v>4.3062200956937802E-2</v>
      </c>
      <c r="G18" s="86">
        <f t="shared" si="2"/>
        <v>3.5885167464114832E-2</v>
      </c>
      <c r="H18" s="86">
        <f t="shared" si="2"/>
        <v>2.6315789473684209E-2</v>
      </c>
      <c r="I18" s="86">
        <f t="shared" si="2"/>
        <v>3.5885167464114832E-2</v>
      </c>
      <c r="J18" s="86">
        <f t="shared" si="2"/>
        <v>2.1531100478468901E-2</v>
      </c>
      <c r="K18" s="86">
        <f t="shared" si="2"/>
        <v>2.3923444976076555E-2</v>
      </c>
      <c r="L18" s="86">
        <f t="shared" si="2"/>
        <v>2.8708133971291867E-2</v>
      </c>
      <c r="M18" s="86">
        <f t="shared" si="2"/>
        <v>1.9138755980861243E-2</v>
      </c>
      <c r="N18" s="86">
        <f t="shared" si="2"/>
        <v>2.8708133971291867E-2</v>
      </c>
    </row>
    <row r="19" spans="2:14" x14ac:dyDescent="0.25">
      <c r="B19" s="80" t="s">
        <v>176</v>
      </c>
      <c r="C19" s="86">
        <f t="shared" ref="C19:N19" si="3">C7/$O$9</f>
        <v>2.8708133971291867E-2</v>
      </c>
      <c r="D19" s="86">
        <f t="shared" si="3"/>
        <v>4.3062200956937802E-2</v>
      </c>
      <c r="E19" s="86">
        <f t="shared" si="3"/>
        <v>3.5885167464114832E-2</v>
      </c>
      <c r="F19" s="86">
        <f t="shared" si="3"/>
        <v>4.3062200956937802E-2</v>
      </c>
      <c r="G19" s="86">
        <f t="shared" si="3"/>
        <v>2.6315789473684209E-2</v>
      </c>
      <c r="H19" s="86">
        <f t="shared" si="3"/>
        <v>2.3923444976076555E-2</v>
      </c>
      <c r="I19" s="86">
        <f t="shared" si="3"/>
        <v>1.1961722488038277E-2</v>
      </c>
      <c r="J19" s="86">
        <f t="shared" si="3"/>
        <v>2.6315789473684209E-2</v>
      </c>
      <c r="K19" s="86">
        <f t="shared" si="3"/>
        <v>2.6315789473684209E-2</v>
      </c>
      <c r="L19" s="86">
        <f t="shared" si="3"/>
        <v>1.4354066985645933E-2</v>
      </c>
      <c r="M19" s="86">
        <f t="shared" si="3"/>
        <v>3.1100478468899521E-2</v>
      </c>
      <c r="N19" s="86">
        <f t="shared" si="3"/>
        <v>1.9138755980861243E-2</v>
      </c>
    </row>
    <row r="20" spans="2:14" x14ac:dyDescent="0.25">
      <c r="B20" s="80" t="s">
        <v>177</v>
      </c>
      <c r="C20" s="86">
        <f t="shared" ref="C20:N20" si="4">C8/$O$9</f>
        <v>2.3923444976076555E-2</v>
      </c>
      <c r="D20" s="86">
        <f t="shared" si="4"/>
        <v>1.6746411483253589E-2</v>
      </c>
      <c r="E20" s="86">
        <f t="shared" si="4"/>
        <v>3.1100478468899521E-2</v>
      </c>
      <c r="F20" s="86">
        <f t="shared" si="4"/>
        <v>4.0669856459330141E-2</v>
      </c>
      <c r="G20" s="86">
        <f t="shared" si="4"/>
        <v>2.3923444976076555E-2</v>
      </c>
      <c r="H20" s="86">
        <f t="shared" si="4"/>
        <v>2.1531100478468901E-2</v>
      </c>
      <c r="I20" s="86">
        <f t="shared" si="4"/>
        <v>2.3923444976076555E-2</v>
      </c>
      <c r="J20" s="86">
        <f t="shared" si="4"/>
        <v>2.8708133971291867E-2</v>
      </c>
      <c r="K20" s="86">
        <f t="shared" si="4"/>
        <v>2.1531100478468901E-2</v>
      </c>
      <c r="L20" s="86">
        <f t="shared" si="4"/>
        <v>3.1100478468899521E-2</v>
      </c>
      <c r="M20" s="86">
        <f t="shared" si="4"/>
        <v>2.1531100478468901E-2</v>
      </c>
      <c r="N20" s="86">
        <f t="shared" si="4"/>
        <v>2.6315789473684209E-2</v>
      </c>
    </row>
    <row r="23" spans="2:14" x14ac:dyDescent="0.25">
      <c r="B23" s="79" t="s">
        <v>888</v>
      </c>
      <c r="C23" s="79" t="s">
        <v>523</v>
      </c>
      <c r="D23" s="79" t="s">
        <v>528</v>
      </c>
      <c r="E23" s="79" t="s">
        <v>529</v>
      </c>
      <c r="F23" s="79" t="s">
        <v>530</v>
      </c>
      <c r="G23" s="79" t="s">
        <v>531</v>
      </c>
      <c r="H23" s="79" t="s">
        <v>532</v>
      </c>
      <c r="I23" s="79" t="s">
        <v>533</v>
      </c>
      <c r="J23" s="79" t="s">
        <v>534</v>
      </c>
      <c r="K23" s="79" t="s">
        <v>535</v>
      </c>
      <c r="L23" s="79" t="s">
        <v>536</v>
      </c>
      <c r="M23" s="79" t="s">
        <v>537</v>
      </c>
      <c r="N23" s="79" t="s">
        <v>538</v>
      </c>
    </row>
    <row r="24" spans="2:14" x14ac:dyDescent="0.25">
      <c r="B24" s="80" t="s">
        <v>175</v>
      </c>
      <c r="C24" s="86">
        <f t="shared" ref="C24:N24" si="5">C12/$O$15</f>
        <v>2.9966179249975133E-2</v>
      </c>
      <c r="D24" s="86">
        <f t="shared" si="5"/>
        <v>3.9460857455485922E-2</v>
      </c>
      <c r="E24" s="86">
        <f t="shared" si="5"/>
        <v>3.1453297523127421E-2</v>
      </c>
      <c r="F24" s="86">
        <f t="shared" si="5"/>
        <v>4.7692231174773697E-2</v>
      </c>
      <c r="G24" s="86">
        <f t="shared" si="5"/>
        <v>3.8490997712125732E-2</v>
      </c>
      <c r="H24" s="86">
        <f t="shared" si="5"/>
        <v>2.8185616233960011E-2</v>
      </c>
      <c r="I24" s="86">
        <f t="shared" si="5"/>
        <v>3.52332637023774E-2</v>
      </c>
      <c r="J24" s="86">
        <f t="shared" si="5"/>
        <v>2.0983785934546903E-2</v>
      </c>
      <c r="K24" s="86">
        <f t="shared" si="5"/>
        <v>2.3614841340893266E-2</v>
      </c>
      <c r="L24" s="86">
        <f t="shared" si="5"/>
        <v>2.7439570277529097E-2</v>
      </c>
      <c r="M24" s="86">
        <f t="shared" si="5"/>
        <v>2.0282502735501841E-2</v>
      </c>
      <c r="N24" s="86">
        <f t="shared" si="5"/>
        <v>2.9021187705162637E-2</v>
      </c>
    </row>
    <row r="25" spans="2:14" x14ac:dyDescent="0.25">
      <c r="B25" s="80" t="s">
        <v>176</v>
      </c>
      <c r="C25" s="86">
        <f t="shared" ref="C25:N25" si="6">C13/$O$15</f>
        <v>3.1667164030637622E-2</v>
      </c>
      <c r="D25" s="86">
        <f t="shared" si="6"/>
        <v>4.3146324480254648E-2</v>
      </c>
      <c r="E25" s="86">
        <f t="shared" si="6"/>
        <v>3.5263105540634637E-2</v>
      </c>
      <c r="F25" s="86">
        <f t="shared" si="6"/>
        <v>3.6561225504824428E-2</v>
      </c>
      <c r="G25" s="86">
        <f t="shared" si="6"/>
        <v>2.6554262409231075E-2</v>
      </c>
      <c r="H25" s="86">
        <f t="shared" si="6"/>
        <v>2.2386352332637024E-2</v>
      </c>
      <c r="I25" s="86">
        <f t="shared" si="6"/>
        <v>9.0221824331045454E-3</v>
      </c>
      <c r="J25" s="86">
        <f t="shared" si="6"/>
        <v>2.446036009151497E-2</v>
      </c>
      <c r="K25" s="86">
        <f t="shared" si="6"/>
        <v>2.7802645976325476E-2</v>
      </c>
      <c r="L25" s="86">
        <f t="shared" si="6"/>
        <v>1.5642096886501543E-2</v>
      </c>
      <c r="M25" s="86">
        <f t="shared" si="6"/>
        <v>2.9080871381677111E-2</v>
      </c>
      <c r="N25" s="86">
        <f t="shared" si="6"/>
        <v>1.9591166815875857E-2</v>
      </c>
    </row>
    <row r="26" spans="2:14" x14ac:dyDescent="0.25">
      <c r="B26" s="80" t="s">
        <v>177</v>
      </c>
      <c r="C26" s="86">
        <f t="shared" ref="C26:N26" si="7">C14/$O$15</f>
        <v>2.3057793693424849E-2</v>
      </c>
      <c r="D26" s="86">
        <f t="shared" si="7"/>
        <v>1.6288670048741669E-2</v>
      </c>
      <c r="E26" s="86">
        <f t="shared" si="7"/>
        <v>2.9821943698398488E-2</v>
      </c>
      <c r="F26" s="86">
        <f t="shared" si="7"/>
        <v>4.0177061573659606E-2</v>
      </c>
      <c r="G26" s="86">
        <f t="shared" si="7"/>
        <v>2.7817566895454095E-2</v>
      </c>
      <c r="H26" s="86">
        <f t="shared" si="7"/>
        <v>2.1525912662886702E-2</v>
      </c>
      <c r="I26" s="86">
        <f t="shared" si="7"/>
        <v>2.4554859245996222E-2</v>
      </c>
      <c r="J26" s="86">
        <f t="shared" si="7"/>
        <v>2.5320799761265295E-2</v>
      </c>
      <c r="K26" s="86">
        <f t="shared" si="7"/>
        <v>1.8810305381478164E-2</v>
      </c>
      <c r="L26" s="86">
        <f t="shared" si="7"/>
        <v>3.230876355316821E-2</v>
      </c>
      <c r="M26" s="86">
        <f t="shared" si="7"/>
        <v>2.011837262508704E-2</v>
      </c>
      <c r="N26" s="86">
        <f t="shared" si="7"/>
        <v>2.7195861931761663E-2</v>
      </c>
    </row>
    <row r="29" spans="2:14" x14ac:dyDescent="0.25">
      <c r="B29" s="79" t="s">
        <v>887</v>
      </c>
      <c r="C29" s="79" t="s">
        <v>523</v>
      </c>
      <c r="D29" s="79" t="s">
        <v>528</v>
      </c>
      <c r="E29" s="79" t="s">
        <v>529</v>
      </c>
      <c r="F29" s="79" t="s">
        <v>530</v>
      </c>
      <c r="G29" s="79" t="s">
        <v>531</v>
      </c>
      <c r="H29" s="79" t="s">
        <v>532</v>
      </c>
      <c r="I29" s="79" t="s">
        <v>533</v>
      </c>
      <c r="J29" s="79" t="s">
        <v>534</v>
      </c>
      <c r="K29" s="79" t="s">
        <v>535</v>
      </c>
      <c r="L29" s="79" t="s">
        <v>536</v>
      </c>
      <c r="M29" s="79" t="s">
        <v>537</v>
      </c>
      <c r="N29" s="79" t="s">
        <v>538</v>
      </c>
    </row>
    <row r="30" spans="2:14" x14ac:dyDescent="0.25">
      <c r="B30" s="80" t="s">
        <v>175</v>
      </c>
      <c r="C30" s="86">
        <f t="shared" ref="C30:N30" si="8">C6/$O6</f>
        <v>8.666666666666667E-2</v>
      </c>
      <c r="D30" s="86">
        <f t="shared" si="8"/>
        <v>9.3333333333333338E-2</v>
      </c>
      <c r="E30" s="86">
        <f t="shared" si="8"/>
        <v>8.666666666666667E-2</v>
      </c>
      <c r="F30" s="86">
        <f t="shared" si="8"/>
        <v>0.12</v>
      </c>
      <c r="G30" s="86">
        <f t="shared" si="8"/>
        <v>0.1</v>
      </c>
      <c r="H30" s="86">
        <f t="shared" si="8"/>
        <v>7.3333333333333334E-2</v>
      </c>
      <c r="I30" s="86">
        <f t="shared" si="8"/>
        <v>0.1</v>
      </c>
      <c r="J30" s="86">
        <f t="shared" si="8"/>
        <v>0.06</v>
      </c>
      <c r="K30" s="86">
        <f t="shared" si="8"/>
        <v>6.6666666666666666E-2</v>
      </c>
      <c r="L30" s="86">
        <f t="shared" si="8"/>
        <v>0.08</v>
      </c>
      <c r="M30" s="86">
        <f t="shared" si="8"/>
        <v>5.3333333333333337E-2</v>
      </c>
      <c r="N30" s="86">
        <f t="shared" si="8"/>
        <v>0.08</v>
      </c>
    </row>
    <row r="31" spans="2:14" x14ac:dyDescent="0.25">
      <c r="B31" s="80" t="s">
        <v>176</v>
      </c>
      <c r="C31" s="86">
        <f t="shared" ref="C31:N31" si="9">C7/$O7</f>
        <v>8.6956521739130432E-2</v>
      </c>
      <c r="D31" s="86">
        <f t="shared" si="9"/>
        <v>0.13043478260869565</v>
      </c>
      <c r="E31" s="86">
        <f t="shared" si="9"/>
        <v>0.10869565217391304</v>
      </c>
      <c r="F31" s="86">
        <f t="shared" si="9"/>
        <v>0.13043478260869565</v>
      </c>
      <c r="G31" s="86">
        <f t="shared" si="9"/>
        <v>7.9710144927536225E-2</v>
      </c>
      <c r="H31" s="86">
        <f t="shared" si="9"/>
        <v>7.2463768115942032E-2</v>
      </c>
      <c r="I31" s="86">
        <f t="shared" si="9"/>
        <v>3.6231884057971016E-2</v>
      </c>
      <c r="J31" s="86">
        <f t="shared" si="9"/>
        <v>7.9710144927536225E-2</v>
      </c>
      <c r="K31" s="86">
        <f t="shared" si="9"/>
        <v>7.9710144927536225E-2</v>
      </c>
      <c r="L31" s="86">
        <f t="shared" si="9"/>
        <v>4.3478260869565216E-2</v>
      </c>
      <c r="M31" s="86">
        <f t="shared" si="9"/>
        <v>9.420289855072464E-2</v>
      </c>
      <c r="N31" s="86">
        <f t="shared" si="9"/>
        <v>5.7971014492753624E-2</v>
      </c>
    </row>
    <row r="32" spans="2:14" x14ac:dyDescent="0.25">
      <c r="B32" s="80" t="s">
        <v>177</v>
      </c>
      <c r="C32" s="86">
        <f t="shared" ref="C32:N32" si="10">C8/$O8</f>
        <v>7.6923076923076927E-2</v>
      </c>
      <c r="D32" s="86">
        <f t="shared" si="10"/>
        <v>5.3846153846153849E-2</v>
      </c>
      <c r="E32" s="86">
        <f t="shared" si="10"/>
        <v>0.1</v>
      </c>
      <c r="F32" s="86">
        <f t="shared" si="10"/>
        <v>0.13076923076923078</v>
      </c>
      <c r="G32" s="86">
        <f t="shared" si="10"/>
        <v>7.6923076923076927E-2</v>
      </c>
      <c r="H32" s="86">
        <f t="shared" si="10"/>
        <v>6.9230769230769235E-2</v>
      </c>
      <c r="I32" s="86">
        <f t="shared" si="10"/>
        <v>7.6923076923076927E-2</v>
      </c>
      <c r="J32" s="86">
        <f t="shared" si="10"/>
        <v>9.2307692307692313E-2</v>
      </c>
      <c r="K32" s="86">
        <f t="shared" si="10"/>
        <v>6.9230769230769235E-2</v>
      </c>
      <c r="L32" s="86">
        <f t="shared" si="10"/>
        <v>0.1</v>
      </c>
      <c r="M32" s="86">
        <f t="shared" si="10"/>
        <v>6.9230769230769235E-2</v>
      </c>
      <c r="N32" s="86">
        <f t="shared" si="10"/>
        <v>8.461538461538462E-2</v>
      </c>
    </row>
    <row r="35" spans="2:14" x14ac:dyDescent="0.25">
      <c r="B35" s="79" t="s">
        <v>889</v>
      </c>
      <c r="C35" s="79" t="s">
        <v>523</v>
      </c>
      <c r="D35" s="79" t="s">
        <v>528</v>
      </c>
      <c r="E35" s="79" t="s">
        <v>529</v>
      </c>
      <c r="F35" s="79" t="s">
        <v>530</v>
      </c>
      <c r="G35" s="79" t="s">
        <v>531</v>
      </c>
      <c r="H35" s="79" t="s">
        <v>532</v>
      </c>
      <c r="I35" s="79" t="s">
        <v>533</v>
      </c>
      <c r="J35" s="79" t="s">
        <v>534</v>
      </c>
      <c r="K35" s="79" t="s">
        <v>535</v>
      </c>
      <c r="L35" s="79" t="s">
        <v>536</v>
      </c>
      <c r="M35" s="79" t="s">
        <v>537</v>
      </c>
      <c r="N35" s="79" t="s">
        <v>538</v>
      </c>
    </row>
    <row r="36" spans="2:14" x14ac:dyDescent="0.25">
      <c r="B36" s="80" t="s">
        <v>175</v>
      </c>
      <c r="C36" s="86">
        <f t="shared" ref="C36:N36" si="11">C12/$O12</f>
        <v>8.0592303267833967E-2</v>
      </c>
      <c r="D36" s="86">
        <f t="shared" si="11"/>
        <v>0.10612769031153439</v>
      </c>
      <c r="E36" s="86">
        <f t="shared" si="11"/>
        <v>8.4591821720461757E-2</v>
      </c>
      <c r="F36" s="86">
        <f t="shared" si="11"/>
        <v>0.12826549311788546</v>
      </c>
      <c r="G36" s="86">
        <f t="shared" si="11"/>
        <v>0.10351930871199454</v>
      </c>
      <c r="H36" s="86">
        <f t="shared" si="11"/>
        <v>7.5803582177396703E-2</v>
      </c>
      <c r="I36" s="86">
        <f t="shared" si="11"/>
        <v>9.4757821800719649E-2</v>
      </c>
      <c r="J36" s="86">
        <f t="shared" si="11"/>
        <v>5.6434676761326394E-2</v>
      </c>
      <c r="K36" s="86">
        <f t="shared" si="11"/>
        <v>6.3510747869821693E-2</v>
      </c>
      <c r="L36" s="86">
        <f t="shared" si="11"/>
        <v>7.379713479313528E-2</v>
      </c>
      <c r="M36" s="86">
        <f t="shared" si="11"/>
        <v>5.4548616220120652E-2</v>
      </c>
      <c r="N36" s="86">
        <f t="shared" si="11"/>
        <v>7.8050803247769501E-2</v>
      </c>
    </row>
    <row r="37" spans="2:14" x14ac:dyDescent="0.25">
      <c r="B37" s="80" t="s">
        <v>176</v>
      </c>
      <c r="C37" s="86">
        <f t="shared" ref="C37:N37" si="12">C13/$O13</f>
        <v>9.8597001982160551E-2</v>
      </c>
      <c r="D37" s="86">
        <f t="shared" si="12"/>
        <v>0.13433783448959366</v>
      </c>
      <c r="E37" s="86">
        <f t="shared" si="12"/>
        <v>0.10979311199207135</v>
      </c>
      <c r="F37" s="86">
        <f t="shared" si="12"/>
        <v>0.11383486124876115</v>
      </c>
      <c r="G37" s="86">
        <f t="shared" si="12"/>
        <v>8.2677775024777009E-2</v>
      </c>
      <c r="H37" s="86">
        <f t="shared" si="12"/>
        <v>6.9700817641228943E-2</v>
      </c>
      <c r="I37" s="86">
        <f t="shared" si="12"/>
        <v>2.8090931615460852E-2</v>
      </c>
      <c r="J37" s="86">
        <f t="shared" si="12"/>
        <v>7.6158325074331026E-2</v>
      </c>
      <c r="K37" s="86">
        <f t="shared" si="12"/>
        <v>8.6564667988107039E-2</v>
      </c>
      <c r="L37" s="86">
        <f t="shared" si="12"/>
        <v>4.8702304261645193E-2</v>
      </c>
      <c r="M37" s="86">
        <f t="shared" si="12"/>
        <v>9.0544474727452917E-2</v>
      </c>
      <c r="N37" s="86">
        <f t="shared" si="12"/>
        <v>6.0997893954410305E-2</v>
      </c>
    </row>
    <row r="38" spans="2:14" x14ac:dyDescent="0.25">
      <c r="B38" s="80" t="s">
        <v>177</v>
      </c>
      <c r="C38" s="86">
        <f t="shared" ref="C38:N38" si="13">C14/$O14</f>
        <v>7.5107330903199682E-2</v>
      </c>
      <c r="D38" s="86">
        <f t="shared" si="13"/>
        <v>5.3057918185500201E-2</v>
      </c>
      <c r="E38" s="86">
        <f t="shared" si="13"/>
        <v>9.7140542729850135E-2</v>
      </c>
      <c r="F38" s="86">
        <f t="shared" si="13"/>
        <v>0.13087079789388417</v>
      </c>
      <c r="G38" s="86">
        <f t="shared" si="13"/>
        <v>9.0611583637100035E-2</v>
      </c>
      <c r="H38" s="86">
        <f t="shared" si="13"/>
        <v>7.011745646010531E-2</v>
      </c>
      <c r="I38" s="86">
        <f t="shared" si="13"/>
        <v>7.9983799108950995E-2</v>
      </c>
      <c r="J38" s="86">
        <f t="shared" si="13"/>
        <v>8.2478736330498181E-2</v>
      </c>
      <c r="K38" s="86">
        <f t="shared" si="13"/>
        <v>6.1271769947347107E-2</v>
      </c>
      <c r="L38" s="86">
        <f t="shared" si="13"/>
        <v>0.10524098825435399</v>
      </c>
      <c r="M38" s="86">
        <f t="shared" si="13"/>
        <v>6.5532604293236124E-2</v>
      </c>
      <c r="N38" s="86">
        <f t="shared" si="13"/>
        <v>8.8586472255974075E-2</v>
      </c>
    </row>
    <row r="41" spans="2:14" x14ac:dyDescent="0.25">
      <c r="B41" s="79" t="s">
        <v>890</v>
      </c>
      <c r="C41" s="79" t="s">
        <v>523</v>
      </c>
      <c r="D41" s="79" t="s">
        <v>528</v>
      </c>
      <c r="E41" s="79" t="s">
        <v>529</v>
      </c>
      <c r="F41" s="79" t="s">
        <v>530</v>
      </c>
      <c r="G41" s="79" t="s">
        <v>531</v>
      </c>
      <c r="H41" s="79" t="s">
        <v>532</v>
      </c>
      <c r="I41" s="79" t="s">
        <v>533</v>
      </c>
      <c r="J41" s="79" t="s">
        <v>534</v>
      </c>
      <c r="K41" s="79" t="s">
        <v>535</v>
      </c>
      <c r="L41" s="79" t="s">
        <v>536</v>
      </c>
      <c r="M41" s="79" t="s">
        <v>537</v>
      </c>
      <c r="N41" s="79" t="s">
        <v>538</v>
      </c>
    </row>
    <row r="42" spans="2:14" x14ac:dyDescent="0.25">
      <c r="B42" s="80" t="s">
        <v>175</v>
      </c>
      <c r="C42" s="86">
        <f t="shared" ref="C42:N42" si="14">C6/C$9</f>
        <v>0.37142857142857144</v>
      </c>
      <c r="D42" s="86">
        <f t="shared" si="14"/>
        <v>0.35897435897435898</v>
      </c>
      <c r="E42" s="86">
        <f t="shared" si="14"/>
        <v>0.31707317073170732</v>
      </c>
      <c r="F42" s="86">
        <f t="shared" si="14"/>
        <v>0.33962264150943394</v>
      </c>
      <c r="G42" s="86">
        <f t="shared" si="14"/>
        <v>0.41666666666666669</v>
      </c>
      <c r="H42" s="86">
        <f t="shared" si="14"/>
        <v>0.36666666666666664</v>
      </c>
      <c r="I42" s="86">
        <f t="shared" si="14"/>
        <v>0.5</v>
      </c>
      <c r="J42" s="86">
        <f t="shared" si="14"/>
        <v>0.28125</v>
      </c>
      <c r="K42" s="86">
        <f t="shared" si="14"/>
        <v>0.33333333333333331</v>
      </c>
      <c r="L42" s="86">
        <f t="shared" si="14"/>
        <v>0.38709677419354838</v>
      </c>
      <c r="M42" s="86">
        <f t="shared" si="14"/>
        <v>0.26666666666666666</v>
      </c>
      <c r="N42" s="86">
        <f t="shared" si="14"/>
        <v>0.38709677419354838</v>
      </c>
    </row>
    <row r="43" spans="2:14" x14ac:dyDescent="0.25">
      <c r="B43" s="80" t="s">
        <v>176</v>
      </c>
      <c r="C43" s="86">
        <f t="shared" ref="C43:N43" si="15">C7/C$9</f>
        <v>0.34285714285714286</v>
      </c>
      <c r="D43" s="86">
        <f t="shared" si="15"/>
        <v>0.46153846153846156</v>
      </c>
      <c r="E43" s="86">
        <f t="shared" si="15"/>
        <v>0.36585365853658536</v>
      </c>
      <c r="F43" s="86">
        <f t="shared" si="15"/>
        <v>0.33962264150943394</v>
      </c>
      <c r="G43" s="86">
        <f t="shared" si="15"/>
        <v>0.30555555555555558</v>
      </c>
      <c r="H43" s="86">
        <f t="shared" si="15"/>
        <v>0.33333333333333331</v>
      </c>
      <c r="I43" s="86">
        <f t="shared" si="15"/>
        <v>0.16666666666666666</v>
      </c>
      <c r="J43" s="86">
        <f t="shared" si="15"/>
        <v>0.34375</v>
      </c>
      <c r="K43" s="86">
        <f t="shared" si="15"/>
        <v>0.36666666666666664</v>
      </c>
      <c r="L43" s="86">
        <f t="shared" si="15"/>
        <v>0.19354838709677419</v>
      </c>
      <c r="M43" s="86">
        <f t="shared" si="15"/>
        <v>0.43333333333333335</v>
      </c>
      <c r="N43" s="86">
        <f t="shared" si="15"/>
        <v>0.25806451612903225</v>
      </c>
    </row>
    <row r="44" spans="2:14" x14ac:dyDescent="0.25">
      <c r="B44" s="80" t="s">
        <v>177</v>
      </c>
      <c r="C44" s="86">
        <f t="shared" ref="C44:N44" si="16">C8/C$9</f>
        <v>0.2857142857142857</v>
      </c>
      <c r="D44" s="86">
        <f t="shared" si="16"/>
        <v>0.17948717948717949</v>
      </c>
      <c r="E44" s="86">
        <f t="shared" si="16"/>
        <v>0.31707317073170732</v>
      </c>
      <c r="F44" s="86">
        <f t="shared" si="16"/>
        <v>0.32075471698113206</v>
      </c>
      <c r="G44" s="86">
        <f t="shared" si="16"/>
        <v>0.27777777777777779</v>
      </c>
      <c r="H44" s="86">
        <f t="shared" si="16"/>
        <v>0.3</v>
      </c>
      <c r="I44" s="86">
        <f t="shared" si="16"/>
        <v>0.33333333333333331</v>
      </c>
      <c r="J44" s="86">
        <f t="shared" si="16"/>
        <v>0.375</v>
      </c>
      <c r="K44" s="86">
        <f t="shared" si="16"/>
        <v>0.3</v>
      </c>
      <c r="L44" s="86">
        <f t="shared" si="16"/>
        <v>0.41935483870967744</v>
      </c>
      <c r="M44" s="86">
        <f t="shared" si="16"/>
        <v>0.3</v>
      </c>
      <c r="N44" s="86">
        <f t="shared" si="16"/>
        <v>0.35483870967741937</v>
      </c>
    </row>
    <row r="47" spans="2:14" x14ac:dyDescent="0.25">
      <c r="B47" s="79" t="s">
        <v>891</v>
      </c>
      <c r="C47" s="79" t="s">
        <v>523</v>
      </c>
      <c r="D47" s="79" t="s">
        <v>528</v>
      </c>
      <c r="E47" s="79" t="s">
        <v>529</v>
      </c>
      <c r="F47" s="79" t="s">
        <v>530</v>
      </c>
      <c r="G47" s="79" t="s">
        <v>531</v>
      </c>
      <c r="H47" s="79" t="s">
        <v>532</v>
      </c>
      <c r="I47" s="79" t="s">
        <v>533</v>
      </c>
      <c r="J47" s="79" t="s">
        <v>534</v>
      </c>
      <c r="K47" s="79" t="s">
        <v>535</v>
      </c>
      <c r="L47" s="79" t="s">
        <v>536</v>
      </c>
      <c r="M47" s="79" t="s">
        <v>537</v>
      </c>
      <c r="N47" s="79" t="s">
        <v>538</v>
      </c>
    </row>
    <row r="48" spans="2:14" x14ac:dyDescent="0.25">
      <c r="B48" s="80" t="s">
        <v>175</v>
      </c>
      <c r="C48" s="86">
        <f>C12/C$15</f>
        <v>0.35382898754991776</v>
      </c>
      <c r="D48" s="86">
        <f t="shared" ref="D48:N48" si="17">D12/D$15</f>
        <v>0.39901428284047474</v>
      </c>
      <c r="E48" s="86">
        <f t="shared" si="17"/>
        <v>0.32581143740340029</v>
      </c>
      <c r="F48" s="86">
        <f t="shared" si="17"/>
        <v>0.38328403549444401</v>
      </c>
      <c r="G48" s="86">
        <f t="shared" si="17"/>
        <v>0.41449306411011727</v>
      </c>
      <c r="H48" s="86">
        <f t="shared" si="17"/>
        <v>0.39093543046357615</v>
      </c>
      <c r="I48" s="86">
        <f t="shared" si="17"/>
        <v>0.51203469461510664</v>
      </c>
      <c r="J48" s="86">
        <f t="shared" si="17"/>
        <v>0.29652797301096429</v>
      </c>
      <c r="K48" s="86">
        <f t="shared" si="17"/>
        <v>0.33626062322946176</v>
      </c>
      <c r="L48" s="86">
        <f t="shared" si="17"/>
        <v>0.3639662224567885</v>
      </c>
      <c r="M48" s="86">
        <f t="shared" si="17"/>
        <v>0.29191123836793126</v>
      </c>
      <c r="N48" s="86">
        <f t="shared" si="17"/>
        <v>0.38282377640729565</v>
      </c>
    </row>
    <row r="49" spans="2:14" x14ac:dyDescent="0.25">
      <c r="B49" s="80" t="s">
        <v>176</v>
      </c>
      <c r="C49" s="86">
        <f t="shared" ref="C49:N49" si="18">C13/C$15</f>
        <v>0.37391355414611227</v>
      </c>
      <c r="D49" s="86">
        <f t="shared" si="18"/>
        <v>0.43628042647354659</v>
      </c>
      <c r="E49" s="86">
        <f t="shared" si="18"/>
        <v>0.36527563111798045</v>
      </c>
      <c r="F49" s="86">
        <f t="shared" si="18"/>
        <v>0.29382844352066512</v>
      </c>
      <c r="G49" s="86">
        <f t="shared" si="18"/>
        <v>0.28595147555031869</v>
      </c>
      <c r="H49" s="86">
        <f t="shared" si="18"/>
        <v>0.31049944812362029</v>
      </c>
      <c r="I49" s="86">
        <f t="shared" si="18"/>
        <v>0.13111673292374412</v>
      </c>
      <c r="J49" s="86">
        <f t="shared" si="18"/>
        <v>0.34565645206634804</v>
      </c>
      <c r="K49" s="86">
        <f t="shared" si="18"/>
        <v>0.39589235127478756</v>
      </c>
      <c r="L49" s="86">
        <f t="shared" si="18"/>
        <v>0.20748119804723578</v>
      </c>
      <c r="M49" s="86">
        <f t="shared" si="18"/>
        <v>0.41853972798854688</v>
      </c>
      <c r="N49" s="86">
        <f t="shared" si="18"/>
        <v>0.25843065214538774</v>
      </c>
    </row>
    <row r="50" spans="2:14" x14ac:dyDescent="0.25">
      <c r="B50" s="80" t="s">
        <v>177</v>
      </c>
      <c r="C50" s="86">
        <f t="shared" ref="C50:N50" si="19">C14/C$15</f>
        <v>0.27225745830396991</v>
      </c>
      <c r="D50" s="86">
        <f t="shared" si="19"/>
        <v>0.16470529068597867</v>
      </c>
      <c r="E50" s="86">
        <f t="shared" si="19"/>
        <v>0.30891293147861926</v>
      </c>
      <c r="F50" s="86">
        <f t="shared" si="19"/>
        <v>0.32288752098489087</v>
      </c>
      <c r="G50" s="86">
        <f t="shared" si="19"/>
        <v>0.29955546033956404</v>
      </c>
      <c r="H50" s="86">
        <f t="shared" si="19"/>
        <v>0.29856512141280356</v>
      </c>
      <c r="I50" s="86">
        <f t="shared" si="19"/>
        <v>0.35684857246114926</v>
      </c>
      <c r="J50" s="86">
        <f t="shared" si="19"/>
        <v>0.35781557492268767</v>
      </c>
      <c r="K50" s="86">
        <f t="shared" si="19"/>
        <v>0.26784702549575073</v>
      </c>
      <c r="L50" s="86">
        <f t="shared" si="19"/>
        <v>0.42855257949597575</v>
      </c>
      <c r="M50" s="86">
        <f t="shared" si="19"/>
        <v>0.28954903364352186</v>
      </c>
      <c r="N50" s="86">
        <f t="shared" si="19"/>
        <v>0.35874557144731661</v>
      </c>
    </row>
  </sheetData>
  <dataValidations count="1">
    <dataValidation type="list" allowBlank="1" showInputMessage="1" showErrorMessage="1" sqref="B2" xr:uid="{00000000-0002-0000-0600-000000000000}">
      <formula1>"2016,2017,2018"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3"/>
  <dimension ref="A1:A10"/>
  <sheetViews>
    <sheetView workbookViewId="0">
      <selection activeCell="A11" sqref="A11"/>
    </sheetView>
  </sheetViews>
  <sheetFormatPr defaultRowHeight="15.75" x14ac:dyDescent="0.25"/>
  <sheetData>
    <row r="1" spans="1:1" x14ac:dyDescent="0.25">
      <c r="A1" t="s">
        <v>544</v>
      </c>
    </row>
    <row r="2" spans="1:1" x14ac:dyDescent="0.25">
      <c r="A2" t="s">
        <v>545</v>
      </c>
    </row>
    <row r="3" spans="1:1" x14ac:dyDescent="0.25">
      <c r="A3" t="s">
        <v>546</v>
      </c>
    </row>
    <row r="4" spans="1:1" x14ac:dyDescent="0.25">
      <c r="A4" t="s">
        <v>547</v>
      </c>
    </row>
    <row r="5" spans="1:1" x14ac:dyDescent="0.25">
      <c r="A5" t="s">
        <v>548</v>
      </c>
    </row>
    <row r="6" spans="1:1" x14ac:dyDescent="0.25">
      <c r="A6" t="s">
        <v>549</v>
      </c>
    </row>
    <row r="7" spans="1:1" x14ac:dyDescent="0.25">
      <c r="A7" t="s">
        <v>546</v>
      </c>
    </row>
    <row r="8" spans="1:1" x14ac:dyDescent="0.25">
      <c r="A8" t="s">
        <v>550</v>
      </c>
    </row>
    <row r="9" spans="1:1" x14ac:dyDescent="0.25">
      <c r="A9" t="s">
        <v>551</v>
      </c>
    </row>
    <row r="10" spans="1:1" x14ac:dyDescent="0.25">
      <c r="A10" t="s">
        <v>552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V1716"/>
  <sheetViews>
    <sheetView topLeftCell="K1" workbookViewId="0">
      <selection activeCell="V1" sqref="V1:V1048576"/>
    </sheetView>
  </sheetViews>
  <sheetFormatPr defaultRowHeight="15.75" x14ac:dyDescent="0.25"/>
  <cols>
    <col min="1" max="1" width="10.875" style="49" bestFit="1" customWidth="1"/>
    <col min="2" max="2" width="13.75" style="49" bestFit="1" customWidth="1"/>
    <col min="3" max="3" width="18.25" style="49" bestFit="1" customWidth="1"/>
    <col min="4" max="4" width="22.125" style="49" bestFit="1" customWidth="1"/>
    <col min="5" max="5" width="11.875" style="49" bestFit="1" customWidth="1"/>
    <col min="6" max="6" width="11.25" style="49" bestFit="1" customWidth="1"/>
    <col min="7" max="7" width="15.5" style="49" bestFit="1" customWidth="1"/>
    <col min="8" max="8" width="17.75" style="49" bestFit="1" customWidth="1"/>
    <col min="9" max="9" width="11.875" style="49" bestFit="1" customWidth="1"/>
    <col min="10" max="10" width="12.625" style="49" bestFit="1" customWidth="1"/>
    <col min="11" max="11" width="15.125" style="49" bestFit="1" customWidth="1"/>
    <col min="12" max="12" width="17.875" style="49" bestFit="1" customWidth="1"/>
    <col min="13" max="13" width="12" style="49" bestFit="1" customWidth="1"/>
    <col min="14" max="14" width="8.75" style="49" bestFit="1" customWidth="1"/>
    <col min="15" max="15" width="8.375" style="49" bestFit="1" customWidth="1"/>
    <col min="16" max="16" width="13.25" style="49" bestFit="1" customWidth="1"/>
    <col min="17" max="17" width="13" style="49" bestFit="1" customWidth="1"/>
    <col min="18" max="18" width="11" style="49" bestFit="1" customWidth="1"/>
    <col min="19" max="19" width="13.5" style="49" bestFit="1" customWidth="1"/>
    <col min="20" max="20" width="11" style="49" bestFit="1" customWidth="1"/>
    <col min="21" max="21" width="9.875" style="49" bestFit="1" customWidth="1"/>
    <col min="22" max="22" width="16" style="63" bestFit="1" customWidth="1"/>
    <col min="23" max="16384" width="9" style="49"/>
  </cols>
  <sheetData>
    <row r="1" spans="1:22" x14ac:dyDescent="0.25">
      <c r="A1" s="49" t="s">
        <v>0</v>
      </c>
      <c r="B1" s="49" t="s">
        <v>1</v>
      </c>
      <c r="C1" s="49" t="s">
        <v>166</v>
      </c>
      <c r="D1" s="49" t="s">
        <v>2</v>
      </c>
      <c r="E1" s="49" t="s">
        <v>167</v>
      </c>
      <c r="F1" s="49" t="s">
        <v>517</v>
      </c>
      <c r="G1" s="49" t="s">
        <v>183</v>
      </c>
      <c r="H1" s="49" t="s">
        <v>184</v>
      </c>
      <c r="I1" s="49" t="s">
        <v>518</v>
      </c>
      <c r="J1" s="49" t="s">
        <v>519</v>
      </c>
      <c r="K1" s="51" t="s">
        <v>520</v>
      </c>
      <c r="L1" s="51" t="s">
        <v>521</v>
      </c>
      <c r="M1" s="51" t="s">
        <v>4</v>
      </c>
      <c r="N1" s="51" t="s">
        <v>181</v>
      </c>
      <c r="O1" s="51" t="s">
        <v>182</v>
      </c>
      <c r="P1" s="49" t="s">
        <v>185</v>
      </c>
      <c r="Q1" s="49" t="s">
        <v>3</v>
      </c>
      <c r="R1" s="49" t="s">
        <v>106</v>
      </c>
      <c r="S1" s="49" t="s">
        <v>5</v>
      </c>
      <c r="T1" s="49" t="s">
        <v>6</v>
      </c>
      <c r="U1" s="49" t="s">
        <v>161</v>
      </c>
      <c r="V1" s="63" t="s">
        <v>163</v>
      </c>
    </row>
    <row r="2" spans="1:22" x14ac:dyDescent="0.25">
      <c r="A2" s="49">
        <v>4355</v>
      </c>
      <c r="B2" s="49" t="s">
        <v>14</v>
      </c>
      <c r="C2" s="49" t="s">
        <v>175</v>
      </c>
      <c r="D2" s="49" t="s">
        <v>71</v>
      </c>
      <c r="E2" s="49" t="s">
        <v>170</v>
      </c>
      <c r="F2" s="49">
        <v>2013</v>
      </c>
      <c r="G2" s="50">
        <v>42370.333333333336</v>
      </c>
      <c r="H2" s="50">
        <v>42383.5</v>
      </c>
      <c r="I2" s="54">
        <v>42370</v>
      </c>
      <c r="J2" s="54">
        <v>42383</v>
      </c>
      <c r="K2" s="51" t="s">
        <v>522</v>
      </c>
      <c r="L2" s="51">
        <v>0.5</v>
      </c>
      <c r="M2" s="51" t="s">
        <v>539</v>
      </c>
      <c r="N2" s="51" t="s">
        <v>523</v>
      </c>
      <c r="O2" s="51" t="s">
        <v>524</v>
      </c>
      <c r="P2" s="49" t="s">
        <v>23</v>
      </c>
      <c r="Q2" s="49" t="s">
        <v>44</v>
      </c>
      <c r="R2" s="49" t="s">
        <v>113</v>
      </c>
      <c r="S2" s="49">
        <v>4</v>
      </c>
      <c r="T2" s="49">
        <v>9</v>
      </c>
      <c r="U2" s="63">
        <v>41</v>
      </c>
      <c r="V2" s="63">
        <v>369</v>
      </c>
    </row>
    <row r="3" spans="1:22" x14ac:dyDescent="0.25">
      <c r="A3" s="49">
        <v>4356</v>
      </c>
      <c r="B3" s="49" t="s">
        <v>45</v>
      </c>
      <c r="C3" s="49" t="s">
        <v>177</v>
      </c>
      <c r="D3" s="49" t="s">
        <v>70</v>
      </c>
      <c r="E3" s="49" t="s">
        <v>174</v>
      </c>
      <c r="F3" s="49">
        <v>2013</v>
      </c>
      <c r="G3" s="50">
        <v>42370.333333333336</v>
      </c>
      <c r="H3" s="50">
        <v>42383.5</v>
      </c>
      <c r="I3" s="54">
        <v>42370</v>
      </c>
      <c r="J3" s="54">
        <v>42383</v>
      </c>
      <c r="K3" s="51" t="s">
        <v>522</v>
      </c>
      <c r="L3" s="51">
        <v>0.5</v>
      </c>
      <c r="M3" s="51" t="s">
        <v>539</v>
      </c>
      <c r="N3" s="51" t="s">
        <v>523</v>
      </c>
      <c r="O3" s="51" t="s">
        <v>524</v>
      </c>
      <c r="P3" s="49" t="s">
        <v>23</v>
      </c>
      <c r="Q3" s="49" t="s">
        <v>22</v>
      </c>
      <c r="R3" s="49" t="s">
        <v>109</v>
      </c>
      <c r="S3" s="49">
        <v>2</v>
      </c>
      <c r="T3" s="49">
        <v>11</v>
      </c>
      <c r="U3" s="63">
        <v>62</v>
      </c>
      <c r="V3" s="63">
        <v>682</v>
      </c>
    </row>
    <row r="4" spans="1:22" x14ac:dyDescent="0.25">
      <c r="A4" s="49">
        <v>4357</v>
      </c>
      <c r="B4" s="49" t="s">
        <v>11</v>
      </c>
      <c r="C4" s="49" t="s">
        <v>175</v>
      </c>
      <c r="D4" s="49" t="s">
        <v>72</v>
      </c>
      <c r="E4" s="49" t="s">
        <v>172</v>
      </c>
      <c r="F4" s="49">
        <v>2013</v>
      </c>
      <c r="G4" s="50">
        <v>42371.375</v>
      </c>
      <c r="H4" s="50">
        <v>42376.75</v>
      </c>
      <c r="I4" s="54">
        <v>42371</v>
      </c>
      <c r="J4" s="54">
        <v>42376</v>
      </c>
      <c r="K4" s="51" t="s">
        <v>525</v>
      </c>
      <c r="L4" s="51">
        <v>0.75</v>
      </c>
      <c r="M4" s="51" t="s">
        <v>540</v>
      </c>
      <c r="N4" s="51" t="s">
        <v>523</v>
      </c>
      <c r="O4" s="51" t="s">
        <v>524</v>
      </c>
      <c r="P4" s="49" t="s">
        <v>23</v>
      </c>
      <c r="Q4" s="49" t="s">
        <v>190</v>
      </c>
      <c r="R4" s="49" t="s">
        <v>109</v>
      </c>
      <c r="S4" s="49">
        <v>2</v>
      </c>
      <c r="T4" s="49">
        <v>11</v>
      </c>
      <c r="U4" s="63">
        <v>33</v>
      </c>
      <c r="V4" s="63">
        <v>363</v>
      </c>
    </row>
    <row r="5" spans="1:22" x14ac:dyDescent="0.25">
      <c r="A5" s="49">
        <v>4358</v>
      </c>
      <c r="B5" s="49" t="s">
        <v>22</v>
      </c>
      <c r="C5" s="49" t="s">
        <v>176</v>
      </c>
      <c r="D5" s="49" t="s">
        <v>74</v>
      </c>
      <c r="E5" s="49" t="s">
        <v>168</v>
      </c>
      <c r="F5" s="49">
        <v>2013</v>
      </c>
      <c r="G5" s="50">
        <v>42373.791666666664</v>
      </c>
      <c r="H5" s="50">
        <v>42384.958333333336</v>
      </c>
      <c r="I5" s="54">
        <v>42373</v>
      </c>
      <c r="J5" s="54">
        <v>42384</v>
      </c>
      <c r="K5" s="51" t="s">
        <v>526</v>
      </c>
      <c r="L5" s="51">
        <v>0.95833333333333337</v>
      </c>
      <c r="M5" s="51" t="s">
        <v>541</v>
      </c>
      <c r="N5" s="51" t="s">
        <v>523</v>
      </c>
      <c r="O5" s="51" t="s">
        <v>524</v>
      </c>
      <c r="P5" s="49" t="s">
        <v>9</v>
      </c>
      <c r="Q5" s="49" t="s">
        <v>12</v>
      </c>
      <c r="R5" s="49" t="s">
        <v>113</v>
      </c>
      <c r="S5" s="49">
        <v>3</v>
      </c>
      <c r="T5" s="49">
        <v>12</v>
      </c>
      <c r="U5" s="63">
        <v>47</v>
      </c>
      <c r="V5" s="63">
        <v>564</v>
      </c>
    </row>
    <row r="6" spans="1:22" x14ac:dyDescent="0.25">
      <c r="A6" s="49">
        <v>4359</v>
      </c>
      <c r="B6" s="49" t="s">
        <v>11</v>
      </c>
      <c r="C6" s="49" t="s">
        <v>175</v>
      </c>
      <c r="D6" s="49" t="s">
        <v>67</v>
      </c>
      <c r="E6" s="49" t="s">
        <v>170</v>
      </c>
      <c r="F6" s="49">
        <v>2013</v>
      </c>
      <c r="G6" s="50">
        <v>42373.791666666664</v>
      </c>
      <c r="H6" s="50">
        <v>42384.958333333336</v>
      </c>
      <c r="I6" s="54">
        <v>42373</v>
      </c>
      <c r="J6" s="54">
        <v>42384</v>
      </c>
      <c r="K6" s="51" t="s">
        <v>526</v>
      </c>
      <c r="L6" s="51">
        <v>0.95833333333333337</v>
      </c>
      <c r="M6" s="51" t="s">
        <v>541</v>
      </c>
      <c r="N6" s="51" t="s">
        <v>523</v>
      </c>
      <c r="O6" s="51" t="s">
        <v>524</v>
      </c>
      <c r="P6" s="49" t="s">
        <v>23</v>
      </c>
      <c r="Q6" s="49" t="s">
        <v>16</v>
      </c>
      <c r="R6" s="49" t="s">
        <v>109</v>
      </c>
      <c r="S6" s="49">
        <v>2</v>
      </c>
      <c r="T6" s="49">
        <v>11</v>
      </c>
      <c r="U6" s="63">
        <v>47</v>
      </c>
      <c r="V6" s="63">
        <v>517</v>
      </c>
    </row>
    <row r="7" spans="1:22" x14ac:dyDescent="0.25">
      <c r="A7" s="49">
        <v>4360</v>
      </c>
      <c r="B7" s="49" t="s">
        <v>19</v>
      </c>
      <c r="C7" s="49" t="s">
        <v>176</v>
      </c>
      <c r="D7" s="49" t="s">
        <v>64</v>
      </c>
      <c r="E7" s="49" t="s">
        <v>172</v>
      </c>
      <c r="F7" s="49">
        <v>2013</v>
      </c>
      <c r="G7" s="50">
        <v>42374.791666666664</v>
      </c>
      <c r="H7" s="50">
        <v>42387.958333333336</v>
      </c>
      <c r="I7" s="54">
        <v>42374</v>
      </c>
      <c r="J7" s="54">
        <v>42387</v>
      </c>
      <c r="K7" s="51" t="s">
        <v>526</v>
      </c>
      <c r="L7" s="51">
        <v>0.95833333333333337</v>
      </c>
      <c r="M7" s="51" t="s">
        <v>541</v>
      </c>
      <c r="N7" s="51" t="s">
        <v>523</v>
      </c>
      <c r="O7" s="51" t="s">
        <v>524</v>
      </c>
      <c r="P7" s="49" t="s">
        <v>23</v>
      </c>
      <c r="Q7" s="49" t="s">
        <v>24</v>
      </c>
      <c r="R7" s="49" t="s">
        <v>113</v>
      </c>
      <c r="S7" s="49">
        <v>5</v>
      </c>
      <c r="T7" s="49">
        <v>11</v>
      </c>
      <c r="U7" s="63">
        <v>73</v>
      </c>
      <c r="V7" s="63">
        <v>803</v>
      </c>
    </row>
    <row r="8" spans="1:22" x14ac:dyDescent="0.25">
      <c r="A8" s="49">
        <v>4361</v>
      </c>
      <c r="B8" s="49" t="s">
        <v>29</v>
      </c>
      <c r="C8" s="49" t="s">
        <v>177</v>
      </c>
      <c r="D8" s="49" t="s">
        <v>68</v>
      </c>
      <c r="E8" s="49" t="s">
        <v>172</v>
      </c>
      <c r="F8" s="49">
        <v>2013</v>
      </c>
      <c r="G8" s="50">
        <v>42375.583333333336</v>
      </c>
      <c r="H8" s="50">
        <v>42388.75</v>
      </c>
      <c r="I8" s="54">
        <v>42375</v>
      </c>
      <c r="J8" s="54">
        <v>42388</v>
      </c>
      <c r="K8" s="51" t="s">
        <v>527</v>
      </c>
      <c r="L8" s="51">
        <v>0.75</v>
      </c>
      <c r="M8" s="51" t="s">
        <v>542</v>
      </c>
      <c r="N8" s="51" t="s">
        <v>523</v>
      </c>
      <c r="O8" s="51" t="s">
        <v>524</v>
      </c>
      <c r="P8" s="49" t="s">
        <v>23</v>
      </c>
      <c r="Q8" s="49" t="s">
        <v>190</v>
      </c>
      <c r="R8" s="49" t="s">
        <v>109</v>
      </c>
      <c r="S8" s="49">
        <v>5</v>
      </c>
      <c r="T8" s="49">
        <v>10</v>
      </c>
      <c r="U8" s="63">
        <v>42</v>
      </c>
      <c r="V8" s="63">
        <v>420</v>
      </c>
    </row>
    <row r="9" spans="1:22" x14ac:dyDescent="0.25">
      <c r="A9" s="49">
        <v>4362</v>
      </c>
      <c r="B9" s="49" t="s">
        <v>7</v>
      </c>
      <c r="C9" s="49" t="s">
        <v>175</v>
      </c>
      <c r="D9" s="49" t="s">
        <v>62</v>
      </c>
      <c r="E9" s="49" t="s">
        <v>172</v>
      </c>
      <c r="F9" s="49">
        <v>2013</v>
      </c>
      <c r="G9" s="50">
        <v>42375.583333333336</v>
      </c>
      <c r="H9" s="50">
        <v>42388.75</v>
      </c>
      <c r="I9" s="54">
        <v>42375</v>
      </c>
      <c r="J9" s="54">
        <v>42388</v>
      </c>
      <c r="K9" s="51" t="s">
        <v>527</v>
      </c>
      <c r="L9" s="51">
        <v>0.75</v>
      </c>
      <c r="M9" s="51" t="s">
        <v>542</v>
      </c>
      <c r="N9" s="51" t="s">
        <v>523</v>
      </c>
      <c r="O9" s="51" t="s">
        <v>524</v>
      </c>
      <c r="P9" s="49" t="s">
        <v>23</v>
      </c>
      <c r="Q9" s="49" t="s">
        <v>28</v>
      </c>
      <c r="R9" s="49" t="s">
        <v>109</v>
      </c>
      <c r="S9" s="49">
        <v>4</v>
      </c>
      <c r="T9" s="49">
        <v>10</v>
      </c>
      <c r="U9" s="63">
        <v>61</v>
      </c>
      <c r="V9" s="63">
        <v>610</v>
      </c>
    </row>
    <row r="10" spans="1:22" x14ac:dyDescent="0.25">
      <c r="A10" s="49">
        <v>4363</v>
      </c>
      <c r="B10" s="49" t="s">
        <v>14</v>
      </c>
      <c r="C10" s="49" t="s">
        <v>175</v>
      </c>
      <c r="D10" s="49" t="s">
        <v>67</v>
      </c>
      <c r="E10" s="49" t="s">
        <v>170</v>
      </c>
      <c r="F10" s="49">
        <v>2013</v>
      </c>
      <c r="G10" s="50">
        <v>42375.583333333336</v>
      </c>
      <c r="H10" s="50">
        <v>42388.75</v>
      </c>
      <c r="I10" s="54">
        <v>42375</v>
      </c>
      <c r="J10" s="54">
        <v>42388</v>
      </c>
      <c r="K10" s="51" t="s">
        <v>527</v>
      </c>
      <c r="L10" s="51">
        <v>0.75</v>
      </c>
      <c r="M10" s="51" t="s">
        <v>542</v>
      </c>
      <c r="N10" s="51" t="s">
        <v>523</v>
      </c>
      <c r="O10" s="51" t="s">
        <v>524</v>
      </c>
      <c r="P10" s="49" t="s">
        <v>23</v>
      </c>
      <c r="Q10" s="49" t="s">
        <v>18</v>
      </c>
      <c r="R10" s="49" t="s">
        <v>113</v>
      </c>
      <c r="S10" s="49">
        <v>4</v>
      </c>
      <c r="T10" s="49">
        <v>9</v>
      </c>
      <c r="U10" s="63">
        <v>47</v>
      </c>
      <c r="V10" s="63">
        <v>423</v>
      </c>
    </row>
    <row r="11" spans="1:22" x14ac:dyDescent="0.25">
      <c r="A11" s="49">
        <v>4364</v>
      </c>
      <c r="B11" s="49" t="s">
        <v>45</v>
      </c>
      <c r="C11" s="49" t="s">
        <v>177</v>
      </c>
      <c r="D11" s="49" t="s">
        <v>74</v>
      </c>
      <c r="E11" s="49" t="s">
        <v>168</v>
      </c>
      <c r="F11" s="49">
        <v>2013</v>
      </c>
      <c r="G11" s="50">
        <v>42377.333333333336</v>
      </c>
      <c r="H11" s="50">
        <v>42390.5</v>
      </c>
      <c r="I11" s="54">
        <v>42377</v>
      </c>
      <c r="J11" s="54">
        <v>42390</v>
      </c>
      <c r="K11" s="51" t="s">
        <v>522</v>
      </c>
      <c r="L11" s="51">
        <v>0.5</v>
      </c>
      <c r="M11" s="51" t="s">
        <v>539</v>
      </c>
      <c r="N11" s="51" t="s">
        <v>523</v>
      </c>
      <c r="O11" s="51" t="s">
        <v>524</v>
      </c>
      <c r="P11" s="49" t="s">
        <v>23</v>
      </c>
      <c r="Q11" s="49" t="s">
        <v>12</v>
      </c>
      <c r="R11" s="49" t="s">
        <v>113</v>
      </c>
      <c r="S11" s="49">
        <v>5</v>
      </c>
      <c r="T11" s="49">
        <v>9</v>
      </c>
      <c r="U11" s="63">
        <v>47</v>
      </c>
      <c r="V11" s="63">
        <v>423</v>
      </c>
    </row>
    <row r="12" spans="1:22" x14ac:dyDescent="0.25">
      <c r="A12" s="49">
        <v>4365</v>
      </c>
      <c r="B12" s="49" t="s">
        <v>11</v>
      </c>
      <c r="C12" s="49" t="s">
        <v>175</v>
      </c>
      <c r="D12" s="49" t="s">
        <v>68</v>
      </c>
      <c r="E12" s="49" t="s">
        <v>172</v>
      </c>
      <c r="F12" s="49">
        <v>2013</v>
      </c>
      <c r="G12" s="50">
        <v>42378.375</v>
      </c>
      <c r="H12" s="50">
        <v>42383.75</v>
      </c>
      <c r="I12" s="54">
        <v>42378</v>
      </c>
      <c r="J12" s="54">
        <v>42383</v>
      </c>
      <c r="K12" s="51" t="s">
        <v>525</v>
      </c>
      <c r="L12" s="51">
        <v>0.75</v>
      </c>
      <c r="M12" s="51" t="s">
        <v>540</v>
      </c>
      <c r="N12" s="51" t="s">
        <v>523</v>
      </c>
      <c r="O12" s="51" t="s">
        <v>524</v>
      </c>
      <c r="P12" s="49" t="s">
        <v>9</v>
      </c>
      <c r="Q12" s="49" t="s">
        <v>38</v>
      </c>
      <c r="R12" s="49" t="s">
        <v>113</v>
      </c>
      <c r="S12" s="49">
        <v>5</v>
      </c>
      <c r="T12" s="49">
        <v>10</v>
      </c>
      <c r="U12" s="63">
        <v>42</v>
      </c>
      <c r="V12" s="63">
        <v>420</v>
      </c>
    </row>
    <row r="13" spans="1:22" x14ac:dyDescent="0.25">
      <c r="A13" s="49">
        <v>4366</v>
      </c>
      <c r="B13" s="49" t="s">
        <v>7</v>
      </c>
      <c r="C13" s="49" t="s">
        <v>175</v>
      </c>
      <c r="D13" s="49" t="s">
        <v>66</v>
      </c>
      <c r="E13" s="49" t="s">
        <v>169</v>
      </c>
      <c r="F13" s="49">
        <v>2013</v>
      </c>
      <c r="G13" s="50">
        <v>42378.375</v>
      </c>
      <c r="H13" s="50">
        <v>42383.75</v>
      </c>
      <c r="I13" s="54">
        <v>42378</v>
      </c>
      <c r="J13" s="54">
        <v>42383</v>
      </c>
      <c r="K13" s="51" t="s">
        <v>525</v>
      </c>
      <c r="L13" s="51">
        <v>0.75</v>
      </c>
      <c r="M13" s="51" t="s">
        <v>540</v>
      </c>
      <c r="N13" s="51" t="s">
        <v>523</v>
      </c>
      <c r="O13" s="51" t="s">
        <v>524</v>
      </c>
      <c r="P13" s="49" t="s">
        <v>9</v>
      </c>
      <c r="Q13" s="49" t="s">
        <v>22</v>
      </c>
      <c r="R13" s="49" t="s">
        <v>109</v>
      </c>
      <c r="S13" s="49">
        <v>3</v>
      </c>
      <c r="T13" s="49">
        <v>10</v>
      </c>
      <c r="U13" s="63">
        <v>47</v>
      </c>
      <c r="V13" s="63">
        <v>470</v>
      </c>
    </row>
    <row r="14" spans="1:22" x14ac:dyDescent="0.25">
      <c r="A14" s="49">
        <v>4367</v>
      </c>
      <c r="B14" s="49" t="s">
        <v>19</v>
      </c>
      <c r="C14" s="49" t="s">
        <v>176</v>
      </c>
      <c r="D14" s="49" t="s">
        <v>67</v>
      </c>
      <c r="E14" s="49" t="s">
        <v>170</v>
      </c>
      <c r="F14" s="49">
        <v>2013</v>
      </c>
      <c r="G14" s="50">
        <v>42378.375</v>
      </c>
      <c r="H14" s="50">
        <v>42383.75</v>
      </c>
      <c r="I14" s="54">
        <v>42378</v>
      </c>
      <c r="J14" s="54">
        <v>42383</v>
      </c>
      <c r="K14" s="51" t="s">
        <v>525</v>
      </c>
      <c r="L14" s="51">
        <v>0.75</v>
      </c>
      <c r="M14" s="51" t="s">
        <v>540</v>
      </c>
      <c r="N14" s="51" t="s">
        <v>523</v>
      </c>
      <c r="O14" s="51" t="s">
        <v>524</v>
      </c>
      <c r="P14" s="49" t="s">
        <v>23</v>
      </c>
      <c r="Q14" s="49" t="s">
        <v>37</v>
      </c>
      <c r="R14" s="49" t="s">
        <v>113</v>
      </c>
      <c r="S14" s="49">
        <v>3</v>
      </c>
      <c r="T14" s="49">
        <v>12</v>
      </c>
      <c r="U14" s="63">
        <v>47</v>
      </c>
      <c r="V14" s="63">
        <v>564</v>
      </c>
    </row>
    <row r="15" spans="1:22" x14ac:dyDescent="0.25">
      <c r="A15" s="49">
        <v>4368</v>
      </c>
      <c r="B15" s="49" t="s">
        <v>17</v>
      </c>
      <c r="C15" s="49" t="s">
        <v>176</v>
      </c>
      <c r="D15" s="49" t="s">
        <v>67</v>
      </c>
      <c r="E15" s="49" t="s">
        <v>170</v>
      </c>
      <c r="F15" s="49">
        <v>2013</v>
      </c>
      <c r="G15" s="50">
        <v>42380.791666666664</v>
      </c>
      <c r="H15" s="50">
        <v>42391.958333333336</v>
      </c>
      <c r="I15" s="54">
        <v>42380</v>
      </c>
      <c r="J15" s="54">
        <v>42391</v>
      </c>
      <c r="K15" s="51" t="s">
        <v>526</v>
      </c>
      <c r="L15" s="51">
        <v>0.95833333333333337</v>
      </c>
      <c r="M15" s="51" t="s">
        <v>541</v>
      </c>
      <c r="N15" s="51" t="s">
        <v>523</v>
      </c>
      <c r="O15" s="51" t="s">
        <v>524</v>
      </c>
      <c r="P15" s="49" t="s">
        <v>23</v>
      </c>
      <c r="Q15" s="49" t="s">
        <v>37</v>
      </c>
      <c r="R15" s="49" t="s">
        <v>113</v>
      </c>
      <c r="S15" s="49">
        <v>5</v>
      </c>
      <c r="T15" s="49">
        <v>9</v>
      </c>
      <c r="U15" s="63">
        <v>47</v>
      </c>
      <c r="V15" s="63">
        <v>423</v>
      </c>
    </row>
    <row r="16" spans="1:22" x14ac:dyDescent="0.25">
      <c r="A16" s="49">
        <v>4369</v>
      </c>
      <c r="B16" s="49" t="s">
        <v>17</v>
      </c>
      <c r="C16" s="49" t="s">
        <v>176</v>
      </c>
      <c r="D16" s="49" t="s">
        <v>68</v>
      </c>
      <c r="E16" s="49" t="s">
        <v>172</v>
      </c>
      <c r="F16" s="49">
        <v>2013</v>
      </c>
      <c r="G16" s="50">
        <v>42382.583333333336</v>
      </c>
      <c r="H16" s="50">
        <v>42395.75</v>
      </c>
      <c r="I16" s="54">
        <v>42382</v>
      </c>
      <c r="J16" s="54">
        <v>42395</v>
      </c>
      <c r="K16" s="51" t="s">
        <v>527</v>
      </c>
      <c r="L16" s="51">
        <v>0.75</v>
      </c>
      <c r="M16" s="51" t="s">
        <v>542</v>
      </c>
      <c r="N16" s="51" t="s">
        <v>523</v>
      </c>
      <c r="O16" s="51" t="s">
        <v>524</v>
      </c>
      <c r="P16" s="49" t="s">
        <v>23</v>
      </c>
      <c r="Q16" s="49" t="s">
        <v>24</v>
      </c>
      <c r="R16" s="49" t="s">
        <v>113</v>
      </c>
      <c r="S16" s="49">
        <v>5</v>
      </c>
      <c r="T16" s="49">
        <v>12</v>
      </c>
      <c r="U16" s="63">
        <v>42</v>
      </c>
      <c r="V16" s="63">
        <v>504</v>
      </c>
    </row>
    <row r="17" spans="1:22" x14ac:dyDescent="0.25">
      <c r="A17" s="49">
        <v>4370</v>
      </c>
      <c r="B17" s="49" t="s">
        <v>17</v>
      </c>
      <c r="C17" s="49" t="s">
        <v>176</v>
      </c>
      <c r="D17" s="49" t="s">
        <v>66</v>
      </c>
      <c r="E17" s="49" t="s">
        <v>169</v>
      </c>
      <c r="F17" s="49">
        <v>2013</v>
      </c>
      <c r="G17" s="50">
        <v>42382.583333333336</v>
      </c>
      <c r="H17" s="50">
        <v>42395.75</v>
      </c>
      <c r="I17" s="54">
        <v>42382</v>
      </c>
      <c r="J17" s="54">
        <v>42395</v>
      </c>
      <c r="K17" s="51" t="s">
        <v>527</v>
      </c>
      <c r="L17" s="51">
        <v>0.75</v>
      </c>
      <c r="M17" s="51" t="s">
        <v>542</v>
      </c>
      <c r="N17" s="51" t="s">
        <v>523</v>
      </c>
      <c r="O17" s="51" t="s">
        <v>524</v>
      </c>
      <c r="P17" s="49" t="s">
        <v>9</v>
      </c>
      <c r="Q17" s="49" t="s">
        <v>28</v>
      </c>
      <c r="R17" s="49" t="s">
        <v>109</v>
      </c>
      <c r="S17" s="49">
        <v>2</v>
      </c>
      <c r="T17" s="49">
        <v>8</v>
      </c>
      <c r="U17" s="63">
        <v>47</v>
      </c>
      <c r="V17" s="63">
        <v>376</v>
      </c>
    </row>
    <row r="18" spans="1:22" x14ac:dyDescent="0.25">
      <c r="A18" s="49">
        <v>4371</v>
      </c>
      <c r="B18" s="49" t="s">
        <v>29</v>
      </c>
      <c r="C18" s="49" t="s">
        <v>177</v>
      </c>
      <c r="D18" s="49" t="s">
        <v>74</v>
      </c>
      <c r="E18" s="49" t="s">
        <v>168</v>
      </c>
      <c r="F18" s="49">
        <v>2013</v>
      </c>
      <c r="G18" s="50">
        <v>42383.375</v>
      </c>
      <c r="H18" s="50">
        <v>42389.75</v>
      </c>
      <c r="I18" s="54">
        <v>42383</v>
      </c>
      <c r="J18" s="54">
        <v>42389</v>
      </c>
      <c r="K18" s="51" t="s">
        <v>525</v>
      </c>
      <c r="L18" s="51">
        <v>0.75</v>
      </c>
      <c r="M18" s="51" t="s">
        <v>540</v>
      </c>
      <c r="N18" s="51" t="s">
        <v>523</v>
      </c>
      <c r="O18" s="51" t="s">
        <v>524</v>
      </c>
      <c r="P18" s="49" t="s">
        <v>23</v>
      </c>
      <c r="Q18" s="49" t="s">
        <v>190</v>
      </c>
      <c r="R18" s="49" t="s">
        <v>109</v>
      </c>
      <c r="S18" s="49">
        <v>5</v>
      </c>
      <c r="T18" s="49">
        <v>8</v>
      </c>
      <c r="U18" s="63">
        <v>47</v>
      </c>
      <c r="V18" s="63">
        <v>376</v>
      </c>
    </row>
    <row r="19" spans="1:22" x14ac:dyDescent="0.25">
      <c r="A19" s="49">
        <v>4372</v>
      </c>
      <c r="B19" s="49" t="s">
        <v>7</v>
      </c>
      <c r="C19" s="49" t="s">
        <v>175</v>
      </c>
      <c r="D19" s="49" t="s">
        <v>74</v>
      </c>
      <c r="E19" s="49" t="s">
        <v>168</v>
      </c>
      <c r="F19" s="49">
        <v>2013</v>
      </c>
      <c r="G19" s="50">
        <v>42387.791666666664</v>
      </c>
      <c r="H19" s="50">
        <v>42398.958333333336</v>
      </c>
      <c r="I19" s="54">
        <v>42387</v>
      </c>
      <c r="J19" s="54">
        <v>42398</v>
      </c>
      <c r="K19" s="51" t="s">
        <v>526</v>
      </c>
      <c r="L19" s="51">
        <v>0.95833333333333337</v>
      </c>
      <c r="M19" s="51" t="s">
        <v>541</v>
      </c>
      <c r="N19" s="51" t="s">
        <v>523</v>
      </c>
      <c r="O19" s="51" t="s">
        <v>524</v>
      </c>
      <c r="P19" s="49" t="s">
        <v>23</v>
      </c>
      <c r="Q19" s="49" t="s">
        <v>41</v>
      </c>
      <c r="R19" s="49" t="s">
        <v>113</v>
      </c>
      <c r="S19" s="49">
        <v>5</v>
      </c>
      <c r="T19" s="49">
        <v>12</v>
      </c>
      <c r="U19" s="63">
        <v>47</v>
      </c>
      <c r="V19" s="63">
        <v>564</v>
      </c>
    </row>
    <row r="20" spans="1:22" x14ac:dyDescent="0.25">
      <c r="A20" s="49">
        <v>4373</v>
      </c>
      <c r="B20" s="49" t="s">
        <v>19</v>
      </c>
      <c r="C20" s="49" t="s">
        <v>176</v>
      </c>
      <c r="D20" s="49" t="s">
        <v>70</v>
      </c>
      <c r="E20" s="49" t="s">
        <v>174</v>
      </c>
      <c r="F20" s="49">
        <v>2013</v>
      </c>
      <c r="G20" s="50">
        <v>42387.791666666664</v>
      </c>
      <c r="H20" s="50">
        <v>42398.958333333336</v>
      </c>
      <c r="I20" s="54">
        <v>42387</v>
      </c>
      <c r="J20" s="54">
        <v>42398</v>
      </c>
      <c r="K20" s="51" t="s">
        <v>526</v>
      </c>
      <c r="L20" s="51">
        <v>0.95833333333333337</v>
      </c>
      <c r="M20" s="51" t="s">
        <v>541</v>
      </c>
      <c r="N20" s="51" t="s">
        <v>523</v>
      </c>
      <c r="O20" s="51" t="s">
        <v>524</v>
      </c>
      <c r="P20" s="49" t="s">
        <v>23</v>
      </c>
      <c r="Q20" s="49" t="s">
        <v>44</v>
      </c>
      <c r="R20" s="49" t="s">
        <v>113</v>
      </c>
      <c r="S20" s="49">
        <v>3</v>
      </c>
      <c r="T20" s="49">
        <v>12</v>
      </c>
      <c r="U20" s="63">
        <v>62</v>
      </c>
      <c r="V20" s="63">
        <v>744</v>
      </c>
    </row>
    <row r="21" spans="1:22" x14ac:dyDescent="0.25">
      <c r="A21" s="49">
        <v>4374</v>
      </c>
      <c r="B21" s="49" t="s">
        <v>22</v>
      </c>
      <c r="C21" s="49" t="s">
        <v>176</v>
      </c>
      <c r="D21" s="49" t="s">
        <v>64</v>
      </c>
      <c r="E21" s="49" t="s">
        <v>172</v>
      </c>
      <c r="F21" s="49">
        <v>2013</v>
      </c>
      <c r="G21" s="50">
        <v>42387.791666666664</v>
      </c>
      <c r="H21" s="50">
        <v>42398.958333333336</v>
      </c>
      <c r="I21" s="54">
        <v>42387</v>
      </c>
      <c r="J21" s="54">
        <v>42398</v>
      </c>
      <c r="K21" s="51" t="s">
        <v>526</v>
      </c>
      <c r="L21" s="51">
        <v>0.95833333333333337</v>
      </c>
      <c r="M21" s="51" t="s">
        <v>541</v>
      </c>
      <c r="N21" s="51" t="s">
        <v>523</v>
      </c>
      <c r="O21" s="51" t="s">
        <v>524</v>
      </c>
      <c r="P21" s="49" t="s">
        <v>9</v>
      </c>
      <c r="Q21" s="49" t="s">
        <v>18</v>
      </c>
      <c r="R21" s="49" t="s">
        <v>113</v>
      </c>
      <c r="S21" s="49">
        <v>3</v>
      </c>
      <c r="T21" s="49">
        <v>8</v>
      </c>
      <c r="U21" s="63">
        <v>73</v>
      </c>
      <c r="V21" s="63">
        <v>584</v>
      </c>
    </row>
    <row r="22" spans="1:22" x14ac:dyDescent="0.25">
      <c r="A22" s="49">
        <v>4375</v>
      </c>
      <c r="B22" s="49" t="s">
        <v>11</v>
      </c>
      <c r="C22" s="49" t="s">
        <v>175</v>
      </c>
      <c r="D22" s="49" t="s">
        <v>73</v>
      </c>
      <c r="E22" s="49" t="s">
        <v>169</v>
      </c>
      <c r="F22" s="49">
        <v>2013</v>
      </c>
      <c r="G22" s="50">
        <v>42387.791666666664</v>
      </c>
      <c r="H22" s="50">
        <v>42398.958333333336</v>
      </c>
      <c r="I22" s="54">
        <v>42387</v>
      </c>
      <c r="J22" s="54">
        <v>42398</v>
      </c>
      <c r="K22" s="51" t="s">
        <v>526</v>
      </c>
      <c r="L22" s="51">
        <v>0.95833333333333337</v>
      </c>
      <c r="M22" s="51" t="s">
        <v>541</v>
      </c>
      <c r="N22" s="51" t="s">
        <v>523</v>
      </c>
      <c r="O22" s="51" t="s">
        <v>524</v>
      </c>
      <c r="P22" s="49" t="s">
        <v>23</v>
      </c>
      <c r="Q22" s="49" t="s">
        <v>22</v>
      </c>
      <c r="R22" s="49" t="s">
        <v>109</v>
      </c>
      <c r="S22" s="49">
        <v>2</v>
      </c>
      <c r="T22" s="49">
        <v>12</v>
      </c>
      <c r="U22" s="63">
        <v>61</v>
      </c>
      <c r="V22" s="63">
        <v>732</v>
      </c>
    </row>
    <row r="23" spans="1:22" x14ac:dyDescent="0.25">
      <c r="A23" s="49">
        <v>4376</v>
      </c>
      <c r="B23" s="49" t="s">
        <v>7</v>
      </c>
      <c r="C23" s="49" t="s">
        <v>175</v>
      </c>
      <c r="D23" s="49" t="s">
        <v>63</v>
      </c>
      <c r="E23" s="49" t="s">
        <v>172</v>
      </c>
      <c r="F23" s="49">
        <v>2013</v>
      </c>
      <c r="G23" s="50">
        <v>42390.375</v>
      </c>
      <c r="H23" s="50">
        <v>42396.75</v>
      </c>
      <c r="I23" s="54">
        <v>42390</v>
      </c>
      <c r="J23" s="54">
        <v>42396</v>
      </c>
      <c r="K23" s="51" t="s">
        <v>525</v>
      </c>
      <c r="L23" s="51">
        <v>0.75</v>
      </c>
      <c r="M23" s="51" t="s">
        <v>540</v>
      </c>
      <c r="N23" s="51" t="s">
        <v>523</v>
      </c>
      <c r="O23" s="51" t="s">
        <v>524</v>
      </c>
      <c r="P23" s="49" t="s">
        <v>9</v>
      </c>
      <c r="Q23" s="49" t="s">
        <v>190</v>
      </c>
      <c r="R23" s="49" t="s">
        <v>109</v>
      </c>
      <c r="S23" s="49">
        <v>5</v>
      </c>
      <c r="T23" s="49">
        <v>10</v>
      </c>
      <c r="U23" s="63">
        <v>51</v>
      </c>
      <c r="V23" s="63">
        <v>510</v>
      </c>
    </row>
    <row r="24" spans="1:22" x14ac:dyDescent="0.25">
      <c r="A24" s="49">
        <v>4377</v>
      </c>
      <c r="B24" s="49" t="s">
        <v>39</v>
      </c>
      <c r="C24" s="49" t="s">
        <v>177</v>
      </c>
      <c r="D24" s="49" t="s">
        <v>71</v>
      </c>
      <c r="E24" s="49" t="s">
        <v>170</v>
      </c>
      <c r="F24" s="49">
        <v>2013</v>
      </c>
      <c r="G24" s="50">
        <v>42390.375</v>
      </c>
      <c r="H24" s="50">
        <v>42396.75</v>
      </c>
      <c r="I24" s="54">
        <v>42390</v>
      </c>
      <c r="J24" s="54">
        <v>42396</v>
      </c>
      <c r="K24" s="51" t="s">
        <v>525</v>
      </c>
      <c r="L24" s="51">
        <v>0.75</v>
      </c>
      <c r="M24" s="51" t="s">
        <v>540</v>
      </c>
      <c r="N24" s="51" t="s">
        <v>523</v>
      </c>
      <c r="O24" s="51" t="s">
        <v>524</v>
      </c>
      <c r="P24" s="49" t="s">
        <v>9</v>
      </c>
      <c r="Q24" s="49" t="s">
        <v>35</v>
      </c>
      <c r="R24" s="49" t="s">
        <v>109</v>
      </c>
      <c r="S24" s="49">
        <v>3</v>
      </c>
      <c r="T24" s="49">
        <v>12</v>
      </c>
      <c r="U24" s="63">
        <v>41</v>
      </c>
      <c r="V24" s="63">
        <v>492</v>
      </c>
    </row>
    <row r="25" spans="1:22" x14ac:dyDescent="0.25">
      <c r="A25" s="49">
        <v>4378</v>
      </c>
      <c r="B25" s="49" t="s">
        <v>19</v>
      </c>
      <c r="C25" s="49" t="s">
        <v>176</v>
      </c>
      <c r="D25" s="49" t="s">
        <v>65</v>
      </c>
      <c r="E25" s="49" t="s">
        <v>173</v>
      </c>
      <c r="F25" s="49">
        <v>2013</v>
      </c>
      <c r="G25" s="50">
        <v>42391.333333333336</v>
      </c>
      <c r="H25" s="50">
        <v>42404.5</v>
      </c>
      <c r="I25" s="54">
        <v>42391</v>
      </c>
      <c r="J25" s="54">
        <v>42404</v>
      </c>
      <c r="K25" s="51" t="s">
        <v>522</v>
      </c>
      <c r="L25" s="51">
        <v>0.5</v>
      </c>
      <c r="M25" s="51" t="s">
        <v>539</v>
      </c>
      <c r="N25" s="51" t="s">
        <v>523</v>
      </c>
      <c r="O25" s="51" t="s">
        <v>524</v>
      </c>
      <c r="P25" s="49" t="s">
        <v>23</v>
      </c>
      <c r="Q25" s="49" t="s">
        <v>44</v>
      </c>
      <c r="R25" s="49" t="s">
        <v>113</v>
      </c>
      <c r="S25" s="49">
        <v>3</v>
      </c>
      <c r="T25" s="49">
        <v>8</v>
      </c>
      <c r="U25" s="63">
        <v>31</v>
      </c>
      <c r="V25" s="63">
        <v>248</v>
      </c>
    </row>
    <row r="26" spans="1:22" x14ac:dyDescent="0.25">
      <c r="A26" s="49">
        <v>4379</v>
      </c>
      <c r="B26" s="49" t="s">
        <v>7</v>
      </c>
      <c r="C26" s="49" t="s">
        <v>175</v>
      </c>
      <c r="D26" s="49" t="s">
        <v>65</v>
      </c>
      <c r="E26" s="49" t="s">
        <v>173</v>
      </c>
      <c r="F26" s="49">
        <v>2013</v>
      </c>
      <c r="G26" s="50">
        <v>42391.333333333336</v>
      </c>
      <c r="H26" s="50">
        <v>42404.5</v>
      </c>
      <c r="I26" s="54">
        <v>42391</v>
      </c>
      <c r="J26" s="54">
        <v>42404</v>
      </c>
      <c r="K26" s="51" t="s">
        <v>522</v>
      </c>
      <c r="L26" s="51">
        <v>0.5</v>
      </c>
      <c r="M26" s="51" t="s">
        <v>539</v>
      </c>
      <c r="N26" s="51" t="s">
        <v>523</v>
      </c>
      <c r="O26" s="51" t="s">
        <v>524</v>
      </c>
      <c r="P26" s="49" t="s">
        <v>23</v>
      </c>
      <c r="Q26" s="49" t="s">
        <v>38</v>
      </c>
      <c r="R26" s="49" t="s">
        <v>113</v>
      </c>
      <c r="S26" s="49">
        <v>2</v>
      </c>
      <c r="T26" s="49">
        <v>8</v>
      </c>
      <c r="U26" s="63">
        <v>31</v>
      </c>
      <c r="V26" s="63">
        <v>248</v>
      </c>
    </row>
    <row r="27" spans="1:22" x14ac:dyDescent="0.25">
      <c r="A27" s="49">
        <v>4380</v>
      </c>
      <c r="B27" s="49" t="s">
        <v>39</v>
      </c>
      <c r="C27" s="49" t="s">
        <v>177</v>
      </c>
      <c r="D27" s="49" t="s">
        <v>67</v>
      </c>
      <c r="E27" s="49" t="s">
        <v>170</v>
      </c>
      <c r="F27" s="49">
        <v>2013</v>
      </c>
      <c r="G27" s="50">
        <v>42394.791666666664</v>
      </c>
      <c r="H27" s="50">
        <v>42405.958333333336</v>
      </c>
      <c r="I27" s="54">
        <v>42394</v>
      </c>
      <c r="J27" s="54">
        <v>42405</v>
      </c>
      <c r="K27" s="51" t="s">
        <v>526</v>
      </c>
      <c r="L27" s="51">
        <v>0.95833333333333337</v>
      </c>
      <c r="M27" s="51" t="s">
        <v>541</v>
      </c>
      <c r="N27" s="51" t="s">
        <v>523</v>
      </c>
      <c r="O27" s="51" t="s">
        <v>524</v>
      </c>
      <c r="P27" s="49" t="s">
        <v>23</v>
      </c>
      <c r="Q27" s="49" t="s">
        <v>190</v>
      </c>
      <c r="R27" s="49" t="s">
        <v>109</v>
      </c>
      <c r="S27" s="49">
        <v>3</v>
      </c>
      <c r="T27" s="49">
        <v>12</v>
      </c>
      <c r="U27" s="63">
        <v>47</v>
      </c>
      <c r="V27" s="63">
        <v>564</v>
      </c>
    </row>
    <row r="28" spans="1:22" x14ac:dyDescent="0.25">
      <c r="A28" s="49">
        <v>4381</v>
      </c>
      <c r="B28" s="49" t="s">
        <v>39</v>
      </c>
      <c r="C28" s="49" t="s">
        <v>177</v>
      </c>
      <c r="D28" s="49" t="s">
        <v>72</v>
      </c>
      <c r="E28" s="49" t="s">
        <v>172</v>
      </c>
      <c r="F28" s="49">
        <v>2013</v>
      </c>
      <c r="G28" s="50">
        <v>42394.791666666664</v>
      </c>
      <c r="H28" s="50">
        <v>42405.958333333336</v>
      </c>
      <c r="I28" s="54">
        <v>42394</v>
      </c>
      <c r="J28" s="54">
        <v>42405</v>
      </c>
      <c r="K28" s="51" t="s">
        <v>526</v>
      </c>
      <c r="L28" s="51">
        <v>0.95833333333333337</v>
      </c>
      <c r="M28" s="51" t="s">
        <v>541</v>
      </c>
      <c r="N28" s="51" t="s">
        <v>523</v>
      </c>
      <c r="O28" s="51" t="s">
        <v>524</v>
      </c>
      <c r="P28" s="49" t="s">
        <v>9</v>
      </c>
      <c r="Q28" s="49" t="s">
        <v>31</v>
      </c>
      <c r="R28" s="49" t="s">
        <v>113</v>
      </c>
      <c r="S28" s="49">
        <v>3</v>
      </c>
      <c r="T28" s="49">
        <v>8</v>
      </c>
      <c r="U28" s="63">
        <v>33</v>
      </c>
      <c r="V28" s="63">
        <v>264</v>
      </c>
    </row>
    <row r="29" spans="1:22" x14ac:dyDescent="0.25">
      <c r="A29" s="49">
        <v>4382</v>
      </c>
      <c r="B29" s="49" t="s">
        <v>7</v>
      </c>
      <c r="C29" s="49" t="s">
        <v>175</v>
      </c>
      <c r="D29" s="49" t="s">
        <v>66</v>
      </c>
      <c r="E29" s="49" t="s">
        <v>169</v>
      </c>
      <c r="F29" s="49">
        <v>2013</v>
      </c>
      <c r="G29" s="50">
        <v>42394.791666666664</v>
      </c>
      <c r="H29" s="50">
        <v>42405.958333333336</v>
      </c>
      <c r="I29" s="54">
        <v>42394</v>
      </c>
      <c r="J29" s="54">
        <v>42405</v>
      </c>
      <c r="K29" s="51" t="s">
        <v>526</v>
      </c>
      <c r="L29" s="51">
        <v>0.95833333333333337</v>
      </c>
      <c r="M29" s="51" t="s">
        <v>541</v>
      </c>
      <c r="N29" s="51" t="s">
        <v>523</v>
      </c>
      <c r="O29" s="51" t="s">
        <v>524</v>
      </c>
      <c r="P29" s="49" t="s">
        <v>9</v>
      </c>
      <c r="Q29" s="49" t="s">
        <v>37</v>
      </c>
      <c r="R29" s="49" t="s">
        <v>113</v>
      </c>
      <c r="S29" s="49">
        <v>2</v>
      </c>
      <c r="T29" s="49">
        <v>9</v>
      </c>
      <c r="U29" s="63">
        <v>47</v>
      </c>
      <c r="V29" s="63">
        <v>423</v>
      </c>
    </row>
    <row r="30" spans="1:22" x14ac:dyDescent="0.25">
      <c r="A30" s="49">
        <v>4383</v>
      </c>
      <c r="B30" s="49" t="s">
        <v>22</v>
      </c>
      <c r="C30" s="49" t="s">
        <v>176</v>
      </c>
      <c r="D30" s="49" t="s">
        <v>75</v>
      </c>
      <c r="E30" s="49" t="s">
        <v>174</v>
      </c>
      <c r="F30" s="49">
        <v>2013</v>
      </c>
      <c r="G30" s="50">
        <v>42395.791666666664</v>
      </c>
      <c r="H30" s="50">
        <v>42408.958333333336</v>
      </c>
      <c r="I30" s="54">
        <v>42395</v>
      </c>
      <c r="J30" s="54">
        <v>42408</v>
      </c>
      <c r="K30" s="51" t="s">
        <v>526</v>
      </c>
      <c r="L30" s="51">
        <v>0.95833333333333337</v>
      </c>
      <c r="M30" s="51" t="s">
        <v>541</v>
      </c>
      <c r="N30" s="51" t="s">
        <v>523</v>
      </c>
      <c r="O30" s="51" t="s">
        <v>524</v>
      </c>
      <c r="P30" s="49" t="s">
        <v>9</v>
      </c>
      <c r="Q30" s="49" t="s">
        <v>18</v>
      </c>
      <c r="R30" s="49" t="s">
        <v>113</v>
      </c>
      <c r="S30" s="49">
        <v>3</v>
      </c>
      <c r="T30" s="49">
        <v>11</v>
      </c>
      <c r="U30" s="63">
        <v>52</v>
      </c>
      <c r="V30" s="63">
        <v>572</v>
      </c>
    </row>
    <row r="31" spans="1:22" x14ac:dyDescent="0.25">
      <c r="A31" s="49">
        <v>4384</v>
      </c>
      <c r="B31" s="49" t="s">
        <v>11</v>
      </c>
      <c r="C31" s="49" t="s">
        <v>175</v>
      </c>
      <c r="D31" s="49" t="s">
        <v>67</v>
      </c>
      <c r="E31" s="49" t="s">
        <v>170</v>
      </c>
      <c r="F31" s="49">
        <v>2013</v>
      </c>
      <c r="G31" s="50">
        <v>42395.791666666664</v>
      </c>
      <c r="H31" s="50">
        <v>42408.958333333336</v>
      </c>
      <c r="I31" s="54">
        <v>42395</v>
      </c>
      <c r="J31" s="54">
        <v>42408</v>
      </c>
      <c r="K31" s="51" t="s">
        <v>526</v>
      </c>
      <c r="L31" s="51">
        <v>0.95833333333333337</v>
      </c>
      <c r="M31" s="51" t="s">
        <v>541</v>
      </c>
      <c r="N31" s="51" t="s">
        <v>523</v>
      </c>
      <c r="O31" s="51" t="s">
        <v>524</v>
      </c>
      <c r="P31" s="49" t="s">
        <v>9</v>
      </c>
      <c r="Q31" s="49" t="s">
        <v>38</v>
      </c>
      <c r="R31" s="49" t="s">
        <v>113</v>
      </c>
      <c r="S31" s="49">
        <v>3</v>
      </c>
      <c r="T31" s="49">
        <v>8</v>
      </c>
      <c r="U31" s="63">
        <v>47</v>
      </c>
      <c r="V31" s="63">
        <v>376</v>
      </c>
    </row>
    <row r="32" spans="1:22" x14ac:dyDescent="0.25">
      <c r="A32" s="49">
        <v>4385</v>
      </c>
      <c r="B32" s="49" t="s">
        <v>22</v>
      </c>
      <c r="C32" s="49" t="s">
        <v>176</v>
      </c>
      <c r="D32" s="49" t="s">
        <v>75</v>
      </c>
      <c r="E32" s="49" t="s">
        <v>174</v>
      </c>
      <c r="F32" s="49">
        <v>2013</v>
      </c>
      <c r="G32" s="50">
        <v>42395.791666666664</v>
      </c>
      <c r="H32" s="50">
        <v>42408.958333333336</v>
      </c>
      <c r="I32" s="54">
        <v>42395</v>
      </c>
      <c r="J32" s="54">
        <v>42408</v>
      </c>
      <c r="K32" s="51" t="s">
        <v>526</v>
      </c>
      <c r="L32" s="51">
        <v>0.95833333333333337</v>
      </c>
      <c r="M32" s="51" t="s">
        <v>541</v>
      </c>
      <c r="N32" s="51" t="s">
        <v>523</v>
      </c>
      <c r="O32" s="51" t="s">
        <v>524</v>
      </c>
      <c r="P32" s="49" t="s">
        <v>9</v>
      </c>
      <c r="Q32" s="49" t="s">
        <v>18</v>
      </c>
      <c r="R32" s="49" t="s">
        <v>113</v>
      </c>
      <c r="S32" s="49">
        <v>4</v>
      </c>
      <c r="T32" s="49">
        <v>9</v>
      </c>
      <c r="U32" s="63">
        <v>52</v>
      </c>
      <c r="V32" s="63">
        <v>468</v>
      </c>
    </row>
    <row r="33" spans="1:22" x14ac:dyDescent="0.25">
      <c r="A33" s="49">
        <v>4386</v>
      </c>
      <c r="B33" s="49" t="s">
        <v>22</v>
      </c>
      <c r="C33" s="49" t="s">
        <v>176</v>
      </c>
      <c r="D33" s="49" t="s">
        <v>67</v>
      </c>
      <c r="E33" s="49" t="s">
        <v>170</v>
      </c>
      <c r="F33" s="49">
        <v>2013</v>
      </c>
      <c r="G33" s="50">
        <v>42396.583333333336</v>
      </c>
      <c r="H33" s="50">
        <v>42409.75</v>
      </c>
      <c r="I33" s="54">
        <v>42396</v>
      </c>
      <c r="J33" s="54">
        <v>42409</v>
      </c>
      <c r="K33" s="51" t="s">
        <v>527</v>
      </c>
      <c r="L33" s="51">
        <v>0.75</v>
      </c>
      <c r="M33" s="51" t="s">
        <v>542</v>
      </c>
      <c r="N33" s="51" t="s">
        <v>523</v>
      </c>
      <c r="O33" s="51" t="s">
        <v>524</v>
      </c>
      <c r="P33" s="49" t="s">
        <v>23</v>
      </c>
      <c r="Q33" s="49" t="s">
        <v>35</v>
      </c>
      <c r="R33" s="49" t="s">
        <v>109</v>
      </c>
      <c r="S33" s="49">
        <v>2</v>
      </c>
      <c r="T33" s="49">
        <v>11</v>
      </c>
      <c r="U33" s="63">
        <v>47</v>
      </c>
      <c r="V33" s="63">
        <v>517</v>
      </c>
    </row>
    <row r="34" spans="1:22" x14ac:dyDescent="0.25">
      <c r="A34" s="49">
        <v>4387</v>
      </c>
      <c r="B34" s="49" t="s">
        <v>29</v>
      </c>
      <c r="C34" s="49" t="s">
        <v>177</v>
      </c>
      <c r="D34" s="49" t="s">
        <v>70</v>
      </c>
      <c r="E34" s="49" t="s">
        <v>174</v>
      </c>
      <c r="F34" s="49">
        <v>2013</v>
      </c>
      <c r="G34" s="50">
        <v>42397.375</v>
      </c>
      <c r="H34" s="50">
        <v>42403.75</v>
      </c>
      <c r="I34" s="54">
        <v>42397</v>
      </c>
      <c r="J34" s="54">
        <v>42403</v>
      </c>
      <c r="K34" s="51" t="s">
        <v>525</v>
      </c>
      <c r="L34" s="51">
        <v>0.75</v>
      </c>
      <c r="M34" s="51" t="s">
        <v>540</v>
      </c>
      <c r="N34" s="51" t="s">
        <v>523</v>
      </c>
      <c r="O34" s="51" t="s">
        <v>524</v>
      </c>
      <c r="P34" s="49" t="s">
        <v>9</v>
      </c>
      <c r="Q34" s="49" t="s">
        <v>31</v>
      </c>
      <c r="R34" s="49" t="s">
        <v>113</v>
      </c>
      <c r="S34" s="49">
        <v>4</v>
      </c>
      <c r="T34" s="49">
        <v>11</v>
      </c>
      <c r="U34" s="63">
        <v>62</v>
      </c>
      <c r="V34" s="63">
        <v>682</v>
      </c>
    </row>
    <row r="35" spans="1:22" x14ac:dyDescent="0.25">
      <c r="A35" s="49">
        <v>4388</v>
      </c>
      <c r="B35" s="49" t="s">
        <v>45</v>
      </c>
      <c r="C35" s="49" t="s">
        <v>177</v>
      </c>
      <c r="D35" s="49" t="s">
        <v>65</v>
      </c>
      <c r="E35" s="49" t="s">
        <v>173</v>
      </c>
      <c r="F35" s="49">
        <v>2013</v>
      </c>
      <c r="G35" s="50">
        <v>42399.375</v>
      </c>
      <c r="H35" s="50">
        <v>42404.75</v>
      </c>
      <c r="I35" s="54">
        <v>42399</v>
      </c>
      <c r="J35" s="54">
        <v>42404</v>
      </c>
      <c r="K35" s="51" t="s">
        <v>525</v>
      </c>
      <c r="L35" s="51">
        <v>0.75</v>
      </c>
      <c r="M35" s="51" t="s">
        <v>540</v>
      </c>
      <c r="N35" s="51" t="s">
        <v>523</v>
      </c>
      <c r="O35" s="51" t="s">
        <v>524</v>
      </c>
      <c r="P35" s="49" t="s">
        <v>23</v>
      </c>
      <c r="Q35" s="49" t="s">
        <v>26</v>
      </c>
      <c r="R35" s="49" t="s">
        <v>113</v>
      </c>
      <c r="S35" s="49">
        <v>4</v>
      </c>
      <c r="T35" s="49">
        <v>10</v>
      </c>
      <c r="U35" s="63">
        <v>31</v>
      </c>
      <c r="V35" s="63">
        <v>310</v>
      </c>
    </row>
    <row r="36" spans="1:22" x14ac:dyDescent="0.25">
      <c r="A36" s="49">
        <v>4389</v>
      </c>
      <c r="B36" s="49" t="s">
        <v>29</v>
      </c>
      <c r="C36" s="49" t="s">
        <v>177</v>
      </c>
      <c r="D36" s="49" t="s">
        <v>67</v>
      </c>
      <c r="E36" s="49" t="s">
        <v>170</v>
      </c>
      <c r="F36" s="49">
        <v>2013</v>
      </c>
      <c r="G36" s="50">
        <v>42399.375</v>
      </c>
      <c r="H36" s="50">
        <v>42404.75</v>
      </c>
      <c r="I36" s="54">
        <v>42399</v>
      </c>
      <c r="J36" s="54">
        <v>42404</v>
      </c>
      <c r="K36" s="51" t="s">
        <v>525</v>
      </c>
      <c r="L36" s="51">
        <v>0.75</v>
      </c>
      <c r="M36" s="51" t="s">
        <v>540</v>
      </c>
      <c r="N36" s="51" t="s">
        <v>523</v>
      </c>
      <c r="O36" s="51" t="s">
        <v>524</v>
      </c>
      <c r="P36" s="49" t="s">
        <v>23</v>
      </c>
      <c r="Q36" s="49" t="s">
        <v>190</v>
      </c>
      <c r="R36" s="49" t="s">
        <v>109</v>
      </c>
      <c r="S36" s="49">
        <v>5</v>
      </c>
      <c r="T36" s="49">
        <v>9</v>
      </c>
      <c r="U36" s="63">
        <v>47</v>
      </c>
      <c r="V36" s="63">
        <v>423</v>
      </c>
    </row>
    <row r="37" spans="1:22" x14ac:dyDescent="0.25">
      <c r="A37" s="49">
        <v>4390</v>
      </c>
      <c r="B37" s="49" t="s">
        <v>14</v>
      </c>
      <c r="C37" s="49" t="s">
        <v>175</v>
      </c>
      <c r="D37" s="49" t="s">
        <v>64</v>
      </c>
      <c r="E37" s="49" t="s">
        <v>172</v>
      </c>
      <c r="F37" s="49">
        <v>2013</v>
      </c>
      <c r="G37" s="50">
        <v>42401.791666666664</v>
      </c>
      <c r="H37" s="50">
        <v>42412.958333333336</v>
      </c>
      <c r="I37" s="54">
        <v>42401</v>
      </c>
      <c r="J37" s="54">
        <v>42412</v>
      </c>
      <c r="K37" s="51" t="s">
        <v>526</v>
      </c>
      <c r="L37" s="51">
        <v>0.95833333333333337</v>
      </c>
      <c r="M37" s="51" t="s">
        <v>541</v>
      </c>
      <c r="N37" s="51" t="s">
        <v>528</v>
      </c>
      <c r="O37" s="51" t="s">
        <v>524</v>
      </c>
      <c r="P37" s="49" t="s">
        <v>9</v>
      </c>
      <c r="Q37" s="49" t="s">
        <v>21</v>
      </c>
      <c r="R37" s="49" t="s">
        <v>113</v>
      </c>
      <c r="S37" s="49">
        <v>3</v>
      </c>
      <c r="T37" s="49">
        <v>11</v>
      </c>
      <c r="U37" s="63">
        <v>73</v>
      </c>
      <c r="V37" s="63">
        <v>803</v>
      </c>
    </row>
    <row r="38" spans="1:22" x14ac:dyDescent="0.25">
      <c r="A38" s="49">
        <v>4391</v>
      </c>
      <c r="B38" s="49" t="s">
        <v>17</v>
      </c>
      <c r="C38" s="49" t="s">
        <v>176</v>
      </c>
      <c r="D38" s="49" t="s">
        <v>66</v>
      </c>
      <c r="E38" s="49" t="s">
        <v>169</v>
      </c>
      <c r="F38" s="49">
        <v>2013</v>
      </c>
      <c r="G38" s="50">
        <v>42401.791666666664</v>
      </c>
      <c r="H38" s="50">
        <v>42412.958333333336</v>
      </c>
      <c r="I38" s="54">
        <v>42401</v>
      </c>
      <c r="J38" s="54">
        <v>42412</v>
      </c>
      <c r="K38" s="51" t="s">
        <v>526</v>
      </c>
      <c r="L38" s="51">
        <v>0.95833333333333337</v>
      </c>
      <c r="M38" s="51" t="s">
        <v>541</v>
      </c>
      <c r="N38" s="51" t="s">
        <v>528</v>
      </c>
      <c r="O38" s="51" t="s">
        <v>524</v>
      </c>
      <c r="P38" s="49" t="s">
        <v>9</v>
      </c>
      <c r="Q38" s="49" t="s">
        <v>31</v>
      </c>
      <c r="R38" s="49" t="s">
        <v>113</v>
      </c>
      <c r="S38" s="49">
        <v>3</v>
      </c>
      <c r="T38" s="49">
        <v>11</v>
      </c>
      <c r="U38" s="63">
        <v>47</v>
      </c>
      <c r="V38" s="63">
        <v>517</v>
      </c>
    </row>
    <row r="39" spans="1:22" x14ac:dyDescent="0.25">
      <c r="A39" s="49">
        <v>4392</v>
      </c>
      <c r="B39" s="49" t="s">
        <v>45</v>
      </c>
      <c r="C39" s="49" t="s">
        <v>177</v>
      </c>
      <c r="D39" s="49" t="s">
        <v>70</v>
      </c>
      <c r="E39" s="49" t="s">
        <v>174</v>
      </c>
      <c r="F39" s="49">
        <v>2013</v>
      </c>
      <c r="G39" s="50">
        <v>42401.791666666664</v>
      </c>
      <c r="H39" s="50">
        <v>42412.958333333336</v>
      </c>
      <c r="I39" s="54">
        <v>42401</v>
      </c>
      <c r="J39" s="54">
        <v>42412</v>
      </c>
      <c r="K39" s="51" t="s">
        <v>526</v>
      </c>
      <c r="L39" s="51">
        <v>0.95833333333333337</v>
      </c>
      <c r="M39" s="51" t="s">
        <v>541</v>
      </c>
      <c r="N39" s="51" t="s">
        <v>528</v>
      </c>
      <c r="O39" s="51" t="s">
        <v>524</v>
      </c>
      <c r="P39" s="49" t="s">
        <v>9</v>
      </c>
      <c r="Q39" s="49" t="s">
        <v>12</v>
      </c>
      <c r="R39" s="49" t="s">
        <v>113</v>
      </c>
      <c r="S39" s="49">
        <v>4</v>
      </c>
      <c r="T39" s="49">
        <v>8</v>
      </c>
      <c r="U39" s="63">
        <v>62</v>
      </c>
      <c r="V39" s="63">
        <v>496</v>
      </c>
    </row>
    <row r="40" spans="1:22" x14ac:dyDescent="0.25">
      <c r="A40" s="49">
        <v>4393</v>
      </c>
      <c r="B40" s="49" t="s">
        <v>17</v>
      </c>
      <c r="C40" s="49" t="s">
        <v>176</v>
      </c>
      <c r="D40" s="49" t="s">
        <v>65</v>
      </c>
      <c r="E40" s="49" t="s">
        <v>173</v>
      </c>
      <c r="F40" s="49">
        <v>2013</v>
      </c>
      <c r="G40" s="50">
        <v>42401.791666666664</v>
      </c>
      <c r="H40" s="50">
        <v>42412.958333333336</v>
      </c>
      <c r="I40" s="54">
        <v>42401</v>
      </c>
      <c r="J40" s="54">
        <v>42412</v>
      </c>
      <c r="K40" s="51" t="s">
        <v>526</v>
      </c>
      <c r="L40" s="51">
        <v>0.95833333333333337</v>
      </c>
      <c r="M40" s="51" t="s">
        <v>541</v>
      </c>
      <c r="N40" s="51" t="s">
        <v>528</v>
      </c>
      <c r="O40" s="51" t="s">
        <v>524</v>
      </c>
      <c r="P40" s="49" t="s">
        <v>23</v>
      </c>
      <c r="Q40" s="49" t="s">
        <v>38</v>
      </c>
      <c r="R40" s="49" t="s">
        <v>113</v>
      </c>
      <c r="S40" s="49">
        <v>2</v>
      </c>
      <c r="T40" s="49">
        <v>8</v>
      </c>
      <c r="U40" s="63">
        <v>31</v>
      </c>
      <c r="V40" s="63">
        <v>248</v>
      </c>
    </row>
    <row r="41" spans="1:22" x14ac:dyDescent="0.25">
      <c r="A41" s="49">
        <v>4394</v>
      </c>
      <c r="B41" s="49" t="s">
        <v>45</v>
      </c>
      <c r="C41" s="49" t="s">
        <v>177</v>
      </c>
      <c r="D41" s="49" t="s">
        <v>70</v>
      </c>
      <c r="E41" s="49" t="s">
        <v>174</v>
      </c>
      <c r="F41" s="49">
        <v>2013</v>
      </c>
      <c r="G41" s="50">
        <v>42401.791666666664</v>
      </c>
      <c r="H41" s="50">
        <v>42412.958333333336</v>
      </c>
      <c r="I41" s="54">
        <v>42401</v>
      </c>
      <c r="J41" s="54">
        <v>42412</v>
      </c>
      <c r="K41" s="51" t="s">
        <v>526</v>
      </c>
      <c r="L41" s="51">
        <v>0.95833333333333337</v>
      </c>
      <c r="M41" s="51" t="s">
        <v>541</v>
      </c>
      <c r="N41" s="51" t="s">
        <v>528</v>
      </c>
      <c r="O41" s="51" t="s">
        <v>524</v>
      </c>
      <c r="P41" s="49" t="s">
        <v>9</v>
      </c>
      <c r="Q41" s="49" t="s">
        <v>38</v>
      </c>
      <c r="R41" s="49" t="s">
        <v>113</v>
      </c>
      <c r="S41" s="49">
        <v>2</v>
      </c>
      <c r="T41" s="49">
        <v>8</v>
      </c>
      <c r="U41" s="63">
        <v>62</v>
      </c>
      <c r="V41" s="63">
        <v>496</v>
      </c>
    </row>
    <row r="42" spans="1:22" x14ac:dyDescent="0.25">
      <c r="A42" s="49">
        <v>4395</v>
      </c>
      <c r="B42" s="49" t="s">
        <v>22</v>
      </c>
      <c r="C42" s="49" t="s">
        <v>176</v>
      </c>
      <c r="D42" s="49" t="s">
        <v>62</v>
      </c>
      <c r="E42" s="49" t="s">
        <v>172</v>
      </c>
      <c r="F42" s="49">
        <v>2013</v>
      </c>
      <c r="G42" s="50">
        <v>42401.791666666664</v>
      </c>
      <c r="H42" s="50">
        <v>42412.958333333336</v>
      </c>
      <c r="I42" s="54">
        <v>42401</v>
      </c>
      <c r="J42" s="54">
        <v>42412</v>
      </c>
      <c r="K42" s="51" t="s">
        <v>526</v>
      </c>
      <c r="L42" s="51">
        <v>0.95833333333333337</v>
      </c>
      <c r="M42" s="51" t="s">
        <v>541</v>
      </c>
      <c r="N42" s="51" t="s">
        <v>528</v>
      </c>
      <c r="O42" s="51" t="s">
        <v>524</v>
      </c>
      <c r="P42" s="49" t="s">
        <v>23</v>
      </c>
      <c r="Q42" s="49" t="s">
        <v>38</v>
      </c>
      <c r="R42" s="49" t="s">
        <v>113</v>
      </c>
      <c r="S42" s="49">
        <v>3</v>
      </c>
      <c r="T42" s="49">
        <v>8</v>
      </c>
      <c r="U42" s="63">
        <v>61</v>
      </c>
      <c r="V42" s="63">
        <v>488</v>
      </c>
    </row>
    <row r="43" spans="1:22" x14ac:dyDescent="0.25">
      <c r="A43" s="49">
        <v>4396</v>
      </c>
      <c r="B43" s="49" t="s">
        <v>19</v>
      </c>
      <c r="C43" s="49" t="s">
        <v>176</v>
      </c>
      <c r="D43" s="49" t="s">
        <v>68</v>
      </c>
      <c r="E43" s="49" t="s">
        <v>172</v>
      </c>
      <c r="F43" s="49">
        <v>2013</v>
      </c>
      <c r="G43" s="50">
        <v>42401.791666666664</v>
      </c>
      <c r="H43" s="50">
        <v>42412.958333333336</v>
      </c>
      <c r="I43" s="54">
        <v>42401</v>
      </c>
      <c r="J43" s="54">
        <v>42412</v>
      </c>
      <c r="K43" s="51" t="s">
        <v>526</v>
      </c>
      <c r="L43" s="51">
        <v>0.95833333333333337</v>
      </c>
      <c r="M43" s="51" t="s">
        <v>541</v>
      </c>
      <c r="N43" s="51" t="s">
        <v>528</v>
      </c>
      <c r="O43" s="51" t="s">
        <v>524</v>
      </c>
      <c r="P43" s="49" t="s">
        <v>9</v>
      </c>
      <c r="Q43" s="49" t="s">
        <v>18</v>
      </c>
      <c r="R43" s="49" t="s">
        <v>113</v>
      </c>
      <c r="S43" s="49">
        <v>3</v>
      </c>
      <c r="T43" s="49">
        <v>10</v>
      </c>
      <c r="U43" s="63">
        <v>42</v>
      </c>
      <c r="V43" s="63">
        <v>420</v>
      </c>
    </row>
    <row r="44" spans="1:22" x14ac:dyDescent="0.25">
      <c r="A44" s="49">
        <v>4397</v>
      </c>
      <c r="B44" s="49" t="s">
        <v>19</v>
      </c>
      <c r="C44" s="49" t="s">
        <v>176</v>
      </c>
      <c r="D44" s="49" t="s">
        <v>71</v>
      </c>
      <c r="E44" s="49" t="s">
        <v>170</v>
      </c>
      <c r="F44" s="49">
        <v>2013</v>
      </c>
      <c r="G44" s="50">
        <v>42401.791666666664</v>
      </c>
      <c r="H44" s="50">
        <v>42412.958333333336</v>
      </c>
      <c r="I44" s="54">
        <v>42401</v>
      </c>
      <c r="J44" s="54">
        <v>42412</v>
      </c>
      <c r="K44" s="51" t="s">
        <v>526</v>
      </c>
      <c r="L44" s="51">
        <v>0.95833333333333337</v>
      </c>
      <c r="M44" s="51" t="s">
        <v>541</v>
      </c>
      <c r="N44" s="51" t="s">
        <v>528</v>
      </c>
      <c r="O44" s="51" t="s">
        <v>524</v>
      </c>
      <c r="P44" s="49" t="s">
        <v>9</v>
      </c>
      <c r="Q44" s="49" t="s">
        <v>16</v>
      </c>
      <c r="R44" s="49" t="s">
        <v>109</v>
      </c>
      <c r="S44" s="49">
        <v>3</v>
      </c>
      <c r="T44" s="49">
        <v>11</v>
      </c>
      <c r="U44" s="63">
        <v>41</v>
      </c>
      <c r="V44" s="63">
        <v>451</v>
      </c>
    </row>
    <row r="45" spans="1:22" x14ac:dyDescent="0.25">
      <c r="A45" s="49">
        <v>4398</v>
      </c>
      <c r="B45" s="49" t="s">
        <v>39</v>
      </c>
      <c r="C45" s="49" t="s">
        <v>177</v>
      </c>
      <c r="D45" s="49" t="s">
        <v>65</v>
      </c>
      <c r="E45" s="49" t="s">
        <v>173</v>
      </c>
      <c r="F45" s="49">
        <v>2013</v>
      </c>
      <c r="G45" s="50">
        <v>42404.375</v>
      </c>
      <c r="H45" s="50">
        <v>42410.75</v>
      </c>
      <c r="I45" s="54">
        <v>42404</v>
      </c>
      <c r="J45" s="54">
        <v>42410</v>
      </c>
      <c r="K45" s="51" t="s">
        <v>525</v>
      </c>
      <c r="L45" s="51">
        <v>0.75</v>
      </c>
      <c r="M45" s="51" t="s">
        <v>540</v>
      </c>
      <c r="N45" s="51" t="s">
        <v>528</v>
      </c>
      <c r="O45" s="51" t="s">
        <v>524</v>
      </c>
      <c r="P45" s="49" t="s">
        <v>9</v>
      </c>
      <c r="Q45" s="49" t="s">
        <v>24</v>
      </c>
      <c r="R45" s="49" t="s">
        <v>113</v>
      </c>
      <c r="S45" s="49">
        <v>3</v>
      </c>
      <c r="T45" s="49">
        <v>9</v>
      </c>
      <c r="U45" s="63">
        <v>31</v>
      </c>
      <c r="V45" s="63">
        <v>279</v>
      </c>
    </row>
    <row r="46" spans="1:22" x14ac:dyDescent="0.25">
      <c r="A46" s="49">
        <v>4399</v>
      </c>
      <c r="B46" s="49" t="s">
        <v>11</v>
      </c>
      <c r="C46" s="49" t="s">
        <v>175</v>
      </c>
      <c r="D46" s="49" t="s">
        <v>65</v>
      </c>
      <c r="E46" s="49" t="s">
        <v>173</v>
      </c>
      <c r="F46" s="49">
        <v>2013</v>
      </c>
      <c r="G46" s="50">
        <v>42404.375</v>
      </c>
      <c r="H46" s="50">
        <v>42410.75</v>
      </c>
      <c r="I46" s="54">
        <v>42404</v>
      </c>
      <c r="J46" s="54">
        <v>42410</v>
      </c>
      <c r="K46" s="51" t="s">
        <v>525</v>
      </c>
      <c r="L46" s="51">
        <v>0.75</v>
      </c>
      <c r="M46" s="51" t="s">
        <v>540</v>
      </c>
      <c r="N46" s="51" t="s">
        <v>528</v>
      </c>
      <c r="O46" s="51" t="s">
        <v>524</v>
      </c>
      <c r="P46" s="49" t="s">
        <v>23</v>
      </c>
      <c r="Q46" s="49" t="s">
        <v>26</v>
      </c>
      <c r="R46" s="49" t="s">
        <v>113</v>
      </c>
      <c r="S46" s="49">
        <v>5</v>
      </c>
      <c r="T46" s="49">
        <v>11</v>
      </c>
      <c r="U46" s="63">
        <v>31</v>
      </c>
      <c r="V46" s="63">
        <v>341</v>
      </c>
    </row>
    <row r="47" spans="1:22" x14ac:dyDescent="0.25">
      <c r="A47" s="49">
        <v>4400</v>
      </c>
      <c r="B47" s="49" t="s">
        <v>22</v>
      </c>
      <c r="C47" s="49" t="s">
        <v>176</v>
      </c>
      <c r="D47" s="49" t="s">
        <v>74</v>
      </c>
      <c r="E47" s="49" t="s">
        <v>168</v>
      </c>
      <c r="F47" s="49">
        <v>2013</v>
      </c>
      <c r="G47" s="50">
        <v>42405.333333333336</v>
      </c>
      <c r="H47" s="50">
        <v>42418.5</v>
      </c>
      <c r="I47" s="54">
        <v>42405</v>
      </c>
      <c r="J47" s="54">
        <v>42418</v>
      </c>
      <c r="K47" s="51" t="s">
        <v>522</v>
      </c>
      <c r="L47" s="51">
        <v>0.5</v>
      </c>
      <c r="M47" s="51" t="s">
        <v>539</v>
      </c>
      <c r="N47" s="51" t="s">
        <v>528</v>
      </c>
      <c r="O47" s="51" t="s">
        <v>524</v>
      </c>
      <c r="P47" s="49" t="s">
        <v>23</v>
      </c>
      <c r="Q47" s="49" t="s">
        <v>41</v>
      </c>
      <c r="R47" s="49" t="s">
        <v>113</v>
      </c>
      <c r="S47" s="49">
        <v>4</v>
      </c>
      <c r="T47" s="49">
        <v>12</v>
      </c>
      <c r="U47" s="63">
        <v>47</v>
      </c>
      <c r="V47" s="63">
        <v>564</v>
      </c>
    </row>
    <row r="48" spans="1:22" x14ac:dyDescent="0.25">
      <c r="A48" s="49">
        <v>4401</v>
      </c>
      <c r="B48" s="49" t="s">
        <v>17</v>
      </c>
      <c r="C48" s="49" t="s">
        <v>176</v>
      </c>
      <c r="D48" s="49" t="s">
        <v>71</v>
      </c>
      <c r="E48" s="49" t="s">
        <v>170</v>
      </c>
      <c r="F48" s="49">
        <v>2013</v>
      </c>
      <c r="G48" s="50">
        <v>42405.333333333336</v>
      </c>
      <c r="H48" s="50">
        <v>42418.5</v>
      </c>
      <c r="I48" s="54">
        <v>42405</v>
      </c>
      <c r="J48" s="54">
        <v>42418</v>
      </c>
      <c r="K48" s="51" t="s">
        <v>522</v>
      </c>
      <c r="L48" s="51">
        <v>0.5</v>
      </c>
      <c r="M48" s="51" t="s">
        <v>539</v>
      </c>
      <c r="N48" s="51" t="s">
        <v>528</v>
      </c>
      <c r="O48" s="51" t="s">
        <v>524</v>
      </c>
      <c r="P48" s="49" t="s">
        <v>9</v>
      </c>
      <c r="Q48" s="49" t="s">
        <v>16</v>
      </c>
      <c r="R48" s="49" t="s">
        <v>109</v>
      </c>
      <c r="S48" s="49">
        <v>3</v>
      </c>
      <c r="T48" s="49">
        <v>12</v>
      </c>
      <c r="U48" s="63">
        <v>41</v>
      </c>
      <c r="V48" s="63">
        <v>492</v>
      </c>
    </row>
    <row r="49" spans="1:22" x14ac:dyDescent="0.25">
      <c r="A49" s="49">
        <v>4402</v>
      </c>
      <c r="B49" s="49" t="s">
        <v>14</v>
      </c>
      <c r="C49" s="49" t="s">
        <v>175</v>
      </c>
      <c r="D49" s="49" t="s">
        <v>62</v>
      </c>
      <c r="E49" s="49" t="s">
        <v>172</v>
      </c>
      <c r="F49" s="49">
        <v>2013</v>
      </c>
      <c r="G49" s="50">
        <v>42406.375</v>
      </c>
      <c r="H49" s="50">
        <v>42411.75</v>
      </c>
      <c r="I49" s="54">
        <v>42406</v>
      </c>
      <c r="J49" s="54">
        <v>42411</v>
      </c>
      <c r="K49" s="51" t="s">
        <v>525</v>
      </c>
      <c r="L49" s="51">
        <v>0.75</v>
      </c>
      <c r="M49" s="51" t="s">
        <v>540</v>
      </c>
      <c r="N49" s="51" t="s">
        <v>528</v>
      </c>
      <c r="O49" s="51" t="s">
        <v>524</v>
      </c>
      <c r="P49" s="49" t="s">
        <v>23</v>
      </c>
      <c r="Q49" s="49" t="s">
        <v>24</v>
      </c>
      <c r="R49" s="49" t="s">
        <v>113</v>
      </c>
      <c r="S49" s="49">
        <v>5</v>
      </c>
      <c r="T49" s="49">
        <v>8</v>
      </c>
      <c r="U49" s="63">
        <v>61</v>
      </c>
      <c r="V49" s="63">
        <v>488</v>
      </c>
    </row>
    <row r="50" spans="1:22" x14ac:dyDescent="0.25">
      <c r="A50" s="49">
        <v>4403</v>
      </c>
      <c r="B50" s="49" t="s">
        <v>29</v>
      </c>
      <c r="C50" s="49" t="s">
        <v>177</v>
      </c>
      <c r="D50" s="49" t="s">
        <v>74</v>
      </c>
      <c r="E50" s="49" t="s">
        <v>168</v>
      </c>
      <c r="F50" s="49">
        <v>2013</v>
      </c>
      <c r="G50" s="50">
        <v>42408.791666666664</v>
      </c>
      <c r="H50" s="50">
        <v>42419.958333333336</v>
      </c>
      <c r="I50" s="54">
        <v>42408</v>
      </c>
      <c r="J50" s="54">
        <v>42419</v>
      </c>
      <c r="K50" s="51" t="s">
        <v>526</v>
      </c>
      <c r="L50" s="51">
        <v>0.95833333333333337</v>
      </c>
      <c r="M50" s="51" t="s">
        <v>541</v>
      </c>
      <c r="N50" s="51" t="s">
        <v>528</v>
      </c>
      <c r="O50" s="51" t="s">
        <v>524</v>
      </c>
      <c r="P50" s="49" t="s">
        <v>23</v>
      </c>
      <c r="Q50" s="49" t="s">
        <v>37</v>
      </c>
      <c r="R50" s="49" t="s">
        <v>113</v>
      </c>
      <c r="S50" s="49">
        <v>5</v>
      </c>
      <c r="T50" s="49">
        <v>12</v>
      </c>
      <c r="U50" s="63">
        <v>47</v>
      </c>
      <c r="V50" s="63">
        <v>564</v>
      </c>
    </row>
    <row r="51" spans="1:22" x14ac:dyDescent="0.25">
      <c r="A51" s="49">
        <v>4404</v>
      </c>
      <c r="B51" s="49" t="s">
        <v>7</v>
      </c>
      <c r="C51" s="49" t="s">
        <v>175</v>
      </c>
      <c r="D51" s="49" t="s">
        <v>65</v>
      </c>
      <c r="E51" s="49" t="s">
        <v>173</v>
      </c>
      <c r="F51" s="49">
        <v>2013</v>
      </c>
      <c r="G51" s="50">
        <v>42409.791666666664</v>
      </c>
      <c r="H51" s="50">
        <v>42422.958333333336</v>
      </c>
      <c r="I51" s="54">
        <v>42409</v>
      </c>
      <c r="J51" s="54">
        <v>42422</v>
      </c>
      <c r="K51" s="51" t="s">
        <v>526</v>
      </c>
      <c r="L51" s="51">
        <v>0.95833333333333337</v>
      </c>
      <c r="M51" s="51" t="s">
        <v>541</v>
      </c>
      <c r="N51" s="51" t="s">
        <v>528</v>
      </c>
      <c r="O51" s="51" t="s">
        <v>524</v>
      </c>
      <c r="P51" s="49" t="s">
        <v>9</v>
      </c>
      <c r="Q51" s="49" t="s">
        <v>190</v>
      </c>
      <c r="R51" s="49" t="s">
        <v>109</v>
      </c>
      <c r="S51" s="49">
        <v>3</v>
      </c>
      <c r="T51" s="49">
        <v>9</v>
      </c>
      <c r="U51" s="63">
        <v>31</v>
      </c>
      <c r="V51" s="63">
        <v>279</v>
      </c>
    </row>
    <row r="52" spans="1:22" x14ac:dyDescent="0.25">
      <c r="A52" s="49">
        <v>4405</v>
      </c>
      <c r="B52" s="49" t="s">
        <v>7</v>
      </c>
      <c r="C52" s="49" t="s">
        <v>175</v>
      </c>
      <c r="D52" s="49" t="s">
        <v>71</v>
      </c>
      <c r="E52" s="49" t="s">
        <v>170</v>
      </c>
      <c r="F52" s="49">
        <v>2013</v>
      </c>
      <c r="G52" s="50">
        <v>42409.791666666664</v>
      </c>
      <c r="H52" s="50">
        <v>42422.958333333336</v>
      </c>
      <c r="I52" s="54">
        <v>42409</v>
      </c>
      <c r="J52" s="54">
        <v>42422</v>
      </c>
      <c r="K52" s="51" t="s">
        <v>526</v>
      </c>
      <c r="L52" s="51">
        <v>0.95833333333333337</v>
      </c>
      <c r="M52" s="51" t="s">
        <v>541</v>
      </c>
      <c r="N52" s="51" t="s">
        <v>528</v>
      </c>
      <c r="O52" s="51" t="s">
        <v>524</v>
      </c>
      <c r="P52" s="49" t="s">
        <v>9</v>
      </c>
      <c r="Q52" s="49" t="s">
        <v>21</v>
      </c>
      <c r="R52" s="49" t="s">
        <v>113</v>
      </c>
      <c r="S52" s="49">
        <v>5</v>
      </c>
      <c r="T52" s="49">
        <v>10</v>
      </c>
      <c r="U52" s="63">
        <v>41</v>
      </c>
      <c r="V52" s="63">
        <v>410</v>
      </c>
    </row>
    <row r="53" spans="1:22" x14ac:dyDescent="0.25">
      <c r="A53" s="49">
        <v>4406</v>
      </c>
      <c r="B53" s="49" t="s">
        <v>14</v>
      </c>
      <c r="C53" s="49" t="s">
        <v>175</v>
      </c>
      <c r="D53" s="49" t="s">
        <v>67</v>
      </c>
      <c r="E53" s="49" t="s">
        <v>170</v>
      </c>
      <c r="F53" s="49">
        <v>2013</v>
      </c>
      <c r="G53" s="50">
        <v>42409.791666666664</v>
      </c>
      <c r="H53" s="50">
        <v>42422.958333333336</v>
      </c>
      <c r="I53" s="54">
        <v>42409</v>
      </c>
      <c r="J53" s="54">
        <v>42422</v>
      </c>
      <c r="K53" s="51" t="s">
        <v>526</v>
      </c>
      <c r="L53" s="51">
        <v>0.95833333333333337</v>
      </c>
      <c r="M53" s="51" t="s">
        <v>541</v>
      </c>
      <c r="N53" s="51" t="s">
        <v>528</v>
      </c>
      <c r="O53" s="51" t="s">
        <v>524</v>
      </c>
      <c r="P53" s="49" t="s">
        <v>23</v>
      </c>
      <c r="Q53" s="49" t="s">
        <v>44</v>
      </c>
      <c r="R53" s="49" t="s">
        <v>113</v>
      </c>
      <c r="S53" s="49">
        <v>4</v>
      </c>
      <c r="T53" s="49">
        <v>10</v>
      </c>
      <c r="U53" s="63">
        <v>47</v>
      </c>
      <c r="V53" s="63">
        <v>470</v>
      </c>
    </row>
    <row r="54" spans="1:22" x14ac:dyDescent="0.25">
      <c r="A54" s="49">
        <v>4407</v>
      </c>
      <c r="B54" s="49" t="s">
        <v>45</v>
      </c>
      <c r="C54" s="49" t="s">
        <v>177</v>
      </c>
      <c r="D54" s="49" t="s">
        <v>73</v>
      </c>
      <c r="E54" s="49" t="s">
        <v>169</v>
      </c>
      <c r="F54" s="49">
        <v>2013</v>
      </c>
      <c r="G54" s="50">
        <v>42409.791666666664</v>
      </c>
      <c r="H54" s="50">
        <v>42422.958333333336</v>
      </c>
      <c r="I54" s="54">
        <v>42409</v>
      </c>
      <c r="J54" s="54">
        <v>42422</v>
      </c>
      <c r="K54" s="51" t="s">
        <v>526</v>
      </c>
      <c r="L54" s="51">
        <v>0.95833333333333337</v>
      </c>
      <c r="M54" s="51" t="s">
        <v>541</v>
      </c>
      <c r="N54" s="51" t="s">
        <v>528</v>
      </c>
      <c r="O54" s="51" t="s">
        <v>524</v>
      </c>
      <c r="P54" s="49" t="s">
        <v>23</v>
      </c>
      <c r="Q54" s="49" t="s">
        <v>28</v>
      </c>
      <c r="R54" s="49" t="s">
        <v>109</v>
      </c>
      <c r="S54" s="49">
        <v>2</v>
      </c>
      <c r="T54" s="49">
        <v>9</v>
      </c>
      <c r="U54" s="63">
        <v>61</v>
      </c>
      <c r="V54" s="63">
        <v>549</v>
      </c>
    </row>
    <row r="55" spans="1:22" x14ac:dyDescent="0.25">
      <c r="A55" s="49">
        <v>4408</v>
      </c>
      <c r="B55" s="49" t="s">
        <v>7</v>
      </c>
      <c r="C55" s="49" t="s">
        <v>175</v>
      </c>
      <c r="D55" s="49" t="s">
        <v>64</v>
      </c>
      <c r="E55" s="49" t="s">
        <v>172</v>
      </c>
      <c r="F55" s="49">
        <v>2013</v>
      </c>
      <c r="G55" s="50">
        <v>42410.583333333336</v>
      </c>
      <c r="H55" s="50">
        <v>42423.75</v>
      </c>
      <c r="I55" s="54">
        <v>42410</v>
      </c>
      <c r="J55" s="54">
        <v>42423</v>
      </c>
      <c r="K55" s="51" t="s">
        <v>527</v>
      </c>
      <c r="L55" s="51">
        <v>0.75</v>
      </c>
      <c r="M55" s="51" t="s">
        <v>542</v>
      </c>
      <c r="N55" s="51" t="s">
        <v>528</v>
      </c>
      <c r="O55" s="51" t="s">
        <v>524</v>
      </c>
      <c r="P55" s="49" t="s">
        <v>9</v>
      </c>
      <c r="Q55" s="49" t="s">
        <v>44</v>
      </c>
      <c r="R55" s="49" t="s">
        <v>113</v>
      </c>
      <c r="S55" s="49">
        <v>4</v>
      </c>
      <c r="T55" s="49">
        <v>12</v>
      </c>
      <c r="U55" s="63">
        <v>73</v>
      </c>
      <c r="V55" s="63">
        <v>876</v>
      </c>
    </row>
    <row r="56" spans="1:22" x14ac:dyDescent="0.25">
      <c r="A56" s="49">
        <v>4409</v>
      </c>
      <c r="B56" s="49" t="s">
        <v>11</v>
      </c>
      <c r="C56" s="49" t="s">
        <v>175</v>
      </c>
      <c r="D56" s="49" t="s">
        <v>71</v>
      </c>
      <c r="E56" s="49" t="s">
        <v>170</v>
      </c>
      <c r="F56" s="49">
        <v>2013</v>
      </c>
      <c r="G56" s="50">
        <v>42410.583333333336</v>
      </c>
      <c r="H56" s="50">
        <v>42423.75</v>
      </c>
      <c r="I56" s="54">
        <v>42410</v>
      </c>
      <c r="J56" s="54">
        <v>42423</v>
      </c>
      <c r="K56" s="51" t="s">
        <v>527</v>
      </c>
      <c r="L56" s="51">
        <v>0.75</v>
      </c>
      <c r="M56" s="51" t="s">
        <v>542</v>
      </c>
      <c r="N56" s="51" t="s">
        <v>528</v>
      </c>
      <c r="O56" s="51" t="s">
        <v>524</v>
      </c>
      <c r="P56" s="49" t="s">
        <v>9</v>
      </c>
      <c r="Q56" s="49" t="s">
        <v>38</v>
      </c>
      <c r="R56" s="49" t="s">
        <v>113</v>
      </c>
      <c r="S56" s="49">
        <v>5</v>
      </c>
      <c r="T56" s="49">
        <v>11</v>
      </c>
      <c r="U56" s="63">
        <v>41</v>
      </c>
      <c r="V56" s="63">
        <v>451</v>
      </c>
    </row>
    <row r="57" spans="1:22" x14ac:dyDescent="0.25">
      <c r="A57" s="49">
        <v>4410</v>
      </c>
      <c r="B57" s="49" t="s">
        <v>17</v>
      </c>
      <c r="C57" s="49" t="s">
        <v>176</v>
      </c>
      <c r="D57" s="49" t="s">
        <v>68</v>
      </c>
      <c r="E57" s="49" t="s">
        <v>172</v>
      </c>
      <c r="F57" s="49">
        <v>2013</v>
      </c>
      <c r="G57" s="50">
        <v>42410.583333333336</v>
      </c>
      <c r="H57" s="50">
        <v>42423.75</v>
      </c>
      <c r="I57" s="54">
        <v>42410</v>
      </c>
      <c r="J57" s="54">
        <v>42423</v>
      </c>
      <c r="K57" s="51" t="s">
        <v>527</v>
      </c>
      <c r="L57" s="51">
        <v>0.75</v>
      </c>
      <c r="M57" s="51" t="s">
        <v>542</v>
      </c>
      <c r="N57" s="51" t="s">
        <v>528</v>
      </c>
      <c r="O57" s="51" t="s">
        <v>524</v>
      </c>
      <c r="P57" s="49" t="s">
        <v>9</v>
      </c>
      <c r="Q57" s="49" t="s">
        <v>44</v>
      </c>
      <c r="R57" s="49" t="s">
        <v>113</v>
      </c>
      <c r="S57" s="49">
        <v>3</v>
      </c>
      <c r="T57" s="49">
        <v>9</v>
      </c>
      <c r="U57" s="63">
        <v>42</v>
      </c>
      <c r="V57" s="63">
        <v>378</v>
      </c>
    </row>
    <row r="58" spans="1:22" x14ac:dyDescent="0.25">
      <c r="A58" s="49">
        <v>4411</v>
      </c>
      <c r="B58" s="49" t="s">
        <v>17</v>
      </c>
      <c r="C58" s="49" t="s">
        <v>176</v>
      </c>
      <c r="D58" s="49" t="s">
        <v>73</v>
      </c>
      <c r="E58" s="49" t="s">
        <v>169</v>
      </c>
      <c r="F58" s="49">
        <v>2013</v>
      </c>
      <c r="G58" s="50">
        <v>42413.375</v>
      </c>
      <c r="H58" s="50">
        <v>42418.75</v>
      </c>
      <c r="I58" s="54">
        <v>42413</v>
      </c>
      <c r="J58" s="54">
        <v>42418</v>
      </c>
      <c r="K58" s="51" t="s">
        <v>525</v>
      </c>
      <c r="L58" s="51">
        <v>0.75</v>
      </c>
      <c r="M58" s="51" t="s">
        <v>540</v>
      </c>
      <c r="N58" s="51" t="s">
        <v>528</v>
      </c>
      <c r="O58" s="51" t="s">
        <v>524</v>
      </c>
      <c r="P58" s="49" t="s">
        <v>23</v>
      </c>
      <c r="Q58" s="49" t="s">
        <v>22</v>
      </c>
      <c r="R58" s="49" t="s">
        <v>109</v>
      </c>
      <c r="S58" s="49">
        <v>5</v>
      </c>
      <c r="T58" s="49">
        <v>9</v>
      </c>
      <c r="U58" s="63">
        <v>61</v>
      </c>
      <c r="V58" s="63">
        <v>549</v>
      </c>
    </row>
    <row r="59" spans="1:22" x14ac:dyDescent="0.25">
      <c r="A59" s="49">
        <v>4412</v>
      </c>
      <c r="B59" s="49" t="s">
        <v>11</v>
      </c>
      <c r="C59" s="49" t="s">
        <v>175</v>
      </c>
      <c r="D59" s="49" t="s">
        <v>70</v>
      </c>
      <c r="E59" s="49" t="s">
        <v>174</v>
      </c>
      <c r="F59" s="49">
        <v>2013</v>
      </c>
      <c r="G59" s="50">
        <v>42413.375</v>
      </c>
      <c r="H59" s="50">
        <v>42418.75</v>
      </c>
      <c r="I59" s="54">
        <v>42413</v>
      </c>
      <c r="J59" s="54">
        <v>42418</v>
      </c>
      <c r="K59" s="51" t="s">
        <v>525</v>
      </c>
      <c r="L59" s="51">
        <v>0.75</v>
      </c>
      <c r="M59" s="51" t="s">
        <v>540</v>
      </c>
      <c r="N59" s="51" t="s">
        <v>528</v>
      </c>
      <c r="O59" s="51" t="s">
        <v>524</v>
      </c>
      <c r="P59" s="49" t="s">
        <v>23</v>
      </c>
      <c r="Q59" s="49" t="s">
        <v>190</v>
      </c>
      <c r="R59" s="49" t="s">
        <v>109</v>
      </c>
      <c r="S59" s="49">
        <v>4</v>
      </c>
      <c r="T59" s="49">
        <v>10</v>
      </c>
      <c r="U59" s="63">
        <v>62</v>
      </c>
      <c r="V59" s="63">
        <v>620</v>
      </c>
    </row>
    <row r="60" spans="1:22" x14ac:dyDescent="0.25">
      <c r="A60" s="49">
        <v>4413</v>
      </c>
      <c r="B60" s="49" t="s">
        <v>19</v>
      </c>
      <c r="C60" s="49" t="s">
        <v>176</v>
      </c>
      <c r="D60" s="49" t="s">
        <v>68</v>
      </c>
      <c r="E60" s="49" t="s">
        <v>172</v>
      </c>
      <c r="F60" s="49">
        <v>2013</v>
      </c>
      <c r="G60" s="50">
        <v>42415.791666666664</v>
      </c>
      <c r="H60" s="50">
        <v>42426.958333333336</v>
      </c>
      <c r="I60" s="54">
        <v>42415</v>
      </c>
      <c r="J60" s="54">
        <v>42426</v>
      </c>
      <c r="K60" s="51" t="s">
        <v>526</v>
      </c>
      <c r="L60" s="51">
        <v>0.95833333333333337</v>
      </c>
      <c r="M60" s="51" t="s">
        <v>541</v>
      </c>
      <c r="N60" s="51" t="s">
        <v>528</v>
      </c>
      <c r="O60" s="51" t="s">
        <v>524</v>
      </c>
      <c r="P60" s="49" t="s">
        <v>9</v>
      </c>
      <c r="Q60" s="49" t="s">
        <v>24</v>
      </c>
      <c r="R60" s="49" t="s">
        <v>113</v>
      </c>
      <c r="S60" s="49">
        <v>5</v>
      </c>
      <c r="T60" s="49">
        <v>11</v>
      </c>
      <c r="U60" s="63">
        <v>42</v>
      </c>
      <c r="V60" s="63">
        <v>462</v>
      </c>
    </row>
    <row r="61" spans="1:22" x14ac:dyDescent="0.25">
      <c r="A61" s="49">
        <v>4414</v>
      </c>
      <c r="B61" s="49" t="s">
        <v>19</v>
      </c>
      <c r="C61" s="49" t="s">
        <v>176</v>
      </c>
      <c r="D61" s="49" t="s">
        <v>66</v>
      </c>
      <c r="E61" s="49" t="s">
        <v>169</v>
      </c>
      <c r="F61" s="49">
        <v>2013</v>
      </c>
      <c r="G61" s="50">
        <v>42416.791666666664</v>
      </c>
      <c r="H61" s="50">
        <v>42429.958333333336</v>
      </c>
      <c r="I61" s="54">
        <v>42416</v>
      </c>
      <c r="J61" s="54">
        <v>42429</v>
      </c>
      <c r="K61" s="51" t="s">
        <v>526</v>
      </c>
      <c r="L61" s="51">
        <v>0.95833333333333337</v>
      </c>
      <c r="M61" s="51" t="s">
        <v>541</v>
      </c>
      <c r="N61" s="51" t="s">
        <v>528</v>
      </c>
      <c r="O61" s="51" t="s">
        <v>524</v>
      </c>
      <c r="P61" s="49" t="s">
        <v>23</v>
      </c>
      <c r="Q61" s="49" t="s">
        <v>31</v>
      </c>
      <c r="R61" s="49" t="s">
        <v>113</v>
      </c>
      <c r="S61" s="49">
        <v>5</v>
      </c>
      <c r="T61" s="49">
        <v>8</v>
      </c>
      <c r="U61" s="63">
        <v>47</v>
      </c>
      <c r="V61" s="63">
        <v>376</v>
      </c>
    </row>
    <row r="62" spans="1:22" x14ac:dyDescent="0.25">
      <c r="A62" s="49">
        <v>4415</v>
      </c>
      <c r="B62" s="49" t="s">
        <v>11</v>
      </c>
      <c r="C62" s="49" t="s">
        <v>175</v>
      </c>
      <c r="D62" s="49" t="s">
        <v>65</v>
      </c>
      <c r="E62" s="49" t="s">
        <v>173</v>
      </c>
      <c r="F62" s="49">
        <v>2013</v>
      </c>
      <c r="G62" s="50">
        <v>42418.375</v>
      </c>
      <c r="H62" s="50">
        <v>42424.75</v>
      </c>
      <c r="I62" s="54">
        <v>42418</v>
      </c>
      <c r="J62" s="54">
        <v>42424</v>
      </c>
      <c r="K62" s="51" t="s">
        <v>525</v>
      </c>
      <c r="L62" s="51">
        <v>0.75</v>
      </c>
      <c r="M62" s="51" t="s">
        <v>540</v>
      </c>
      <c r="N62" s="51" t="s">
        <v>528</v>
      </c>
      <c r="O62" s="51" t="s">
        <v>524</v>
      </c>
      <c r="P62" s="49" t="s">
        <v>23</v>
      </c>
      <c r="Q62" s="49" t="s">
        <v>190</v>
      </c>
      <c r="R62" s="49" t="s">
        <v>109</v>
      </c>
      <c r="S62" s="49">
        <v>5</v>
      </c>
      <c r="T62" s="49">
        <v>11</v>
      </c>
      <c r="U62" s="63">
        <v>31</v>
      </c>
      <c r="V62" s="63">
        <v>341</v>
      </c>
    </row>
    <row r="63" spans="1:22" x14ac:dyDescent="0.25">
      <c r="A63" s="49">
        <v>4416</v>
      </c>
      <c r="B63" s="49" t="s">
        <v>22</v>
      </c>
      <c r="C63" s="49" t="s">
        <v>176</v>
      </c>
      <c r="D63" s="49" t="s">
        <v>64</v>
      </c>
      <c r="E63" s="49" t="s">
        <v>172</v>
      </c>
      <c r="F63" s="49">
        <v>2013</v>
      </c>
      <c r="G63" s="50">
        <v>42419.333333333336</v>
      </c>
      <c r="H63" s="50">
        <v>42432.5</v>
      </c>
      <c r="I63" s="54">
        <v>42419</v>
      </c>
      <c r="J63" s="54">
        <v>42432</v>
      </c>
      <c r="K63" s="51" t="s">
        <v>522</v>
      </c>
      <c r="L63" s="51">
        <v>0.5</v>
      </c>
      <c r="M63" s="51" t="s">
        <v>539</v>
      </c>
      <c r="N63" s="51" t="s">
        <v>528</v>
      </c>
      <c r="O63" s="51" t="s">
        <v>524</v>
      </c>
      <c r="P63" s="49" t="s">
        <v>23</v>
      </c>
      <c r="Q63" s="49" t="s">
        <v>18</v>
      </c>
      <c r="R63" s="49" t="s">
        <v>113</v>
      </c>
      <c r="S63" s="49">
        <v>4</v>
      </c>
      <c r="T63" s="49">
        <v>12</v>
      </c>
      <c r="U63" s="63">
        <v>73</v>
      </c>
      <c r="V63" s="63">
        <v>876</v>
      </c>
    </row>
    <row r="64" spans="1:22" x14ac:dyDescent="0.25">
      <c r="A64" s="49">
        <v>4417</v>
      </c>
      <c r="B64" s="49" t="s">
        <v>19</v>
      </c>
      <c r="C64" s="49" t="s">
        <v>176</v>
      </c>
      <c r="D64" s="49" t="s">
        <v>66</v>
      </c>
      <c r="E64" s="49" t="s">
        <v>169</v>
      </c>
      <c r="F64" s="49">
        <v>2013</v>
      </c>
      <c r="G64" s="50">
        <v>42419.333333333336</v>
      </c>
      <c r="H64" s="50">
        <v>42432.5</v>
      </c>
      <c r="I64" s="54">
        <v>42419</v>
      </c>
      <c r="J64" s="54">
        <v>42432</v>
      </c>
      <c r="K64" s="51" t="s">
        <v>522</v>
      </c>
      <c r="L64" s="51">
        <v>0.5</v>
      </c>
      <c r="M64" s="51" t="s">
        <v>539</v>
      </c>
      <c r="N64" s="51" t="s">
        <v>528</v>
      </c>
      <c r="O64" s="51" t="s">
        <v>524</v>
      </c>
      <c r="P64" s="49" t="s">
        <v>23</v>
      </c>
      <c r="Q64" s="49" t="s">
        <v>190</v>
      </c>
      <c r="R64" s="49" t="s">
        <v>109</v>
      </c>
      <c r="S64" s="49">
        <v>2</v>
      </c>
      <c r="T64" s="49">
        <v>12</v>
      </c>
      <c r="U64" s="63">
        <v>47</v>
      </c>
      <c r="V64" s="63">
        <v>564</v>
      </c>
    </row>
    <row r="65" spans="1:22" x14ac:dyDescent="0.25">
      <c r="A65" s="49">
        <v>4418</v>
      </c>
      <c r="B65" s="49" t="s">
        <v>17</v>
      </c>
      <c r="C65" s="49" t="s">
        <v>176</v>
      </c>
      <c r="D65" s="49" t="s">
        <v>64</v>
      </c>
      <c r="E65" s="49" t="s">
        <v>172</v>
      </c>
      <c r="F65" s="49">
        <v>2013</v>
      </c>
      <c r="G65" s="50">
        <v>42420.375</v>
      </c>
      <c r="H65" s="50">
        <v>42425.75</v>
      </c>
      <c r="I65" s="54">
        <v>42420</v>
      </c>
      <c r="J65" s="54">
        <v>42425</v>
      </c>
      <c r="K65" s="51" t="s">
        <v>525</v>
      </c>
      <c r="L65" s="51">
        <v>0.75</v>
      </c>
      <c r="M65" s="51" t="s">
        <v>540</v>
      </c>
      <c r="N65" s="51" t="s">
        <v>528</v>
      </c>
      <c r="O65" s="51" t="s">
        <v>524</v>
      </c>
      <c r="P65" s="49" t="s">
        <v>9</v>
      </c>
      <c r="Q65" s="49" t="s">
        <v>37</v>
      </c>
      <c r="R65" s="49" t="s">
        <v>113</v>
      </c>
      <c r="S65" s="49">
        <v>4</v>
      </c>
      <c r="T65" s="49">
        <v>9</v>
      </c>
      <c r="U65" s="63">
        <v>73</v>
      </c>
      <c r="V65" s="63">
        <v>657</v>
      </c>
    </row>
    <row r="66" spans="1:22" x14ac:dyDescent="0.25">
      <c r="A66" s="49">
        <v>4419</v>
      </c>
      <c r="B66" s="49" t="s">
        <v>29</v>
      </c>
      <c r="C66" s="49" t="s">
        <v>177</v>
      </c>
      <c r="D66" s="49" t="s">
        <v>65</v>
      </c>
      <c r="E66" s="49" t="s">
        <v>173</v>
      </c>
      <c r="F66" s="49">
        <v>2013</v>
      </c>
      <c r="G66" s="50">
        <v>42422.791666666664</v>
      </c>
      <c r="H66" s="50">
        <v>42433.958333333336</v>
      </c>
      <c r="I66" s="54">
        <v>42422</v>
      </c>
      <c r="J66" s="54">
        <v>42433</v>
      </c>
      <c r="K66" s="51" t="s">
        <v>526</v>
      </c>
      <c r="L66" s="51">
        <v>0.95833333333333337</v>
      </c>
      <c r="M66" s="51" t="s">
        <v>541</v>
      </c>
      <c r="N66" s="51" t="s">
        <v>528</v>
      </c>
      <c r="O66" s="51" t="s">
        <v>524</v>
      </c>
      <c r="P66" s="49" t="s">
        <v>23</v>
      </c>
      <c r="Q66" s="49" t="s">
        <v>16</v>
      </c>
      <c r="R66" s="49" t="s">
        <v>109</v>
      </c>
      <c r="S66" s="49">
        <v>2</v>
      </c>
      <c r="T66" s="49">
        <v>9</v>
      </c>
      <c r="U66" s="63">
        <v>31</v>
      </c>
      <c r="V66" s="63">
        <v>279</v>
      </c>
    </row>
    <row r="67" spans="1:22" x14ac:dyDescent="0.25">
      <c r="A67" s="49">
        <v>4420</v>
      </c>
      <c r="B67" s="49" t="s">
        <v>22</v>
      </c>
      <c r="C67" s="49" t="s">
        <v>176</v>
      </c>
      <c r="D67" s="49" t="s">
        <v>72</v>
      </c>
      <c r="E67" s="49" t="s">
        <v>172</v>
      </c>
      <c r="F67" s="49">
        <v>2013</v>
      </c>
      <c r="G67" s="50">
        <v>42423.791666666664</v>
      </c>
      <c r="H67" s="50">
        <v>42436.958333333336</v>
      </c>
      <c r="I67" s="54">
        <v>42423</v>
      </c>
      <c r="J67" s="54">
        <v>42436</v>
      </c>
      <c r="K67" s="51" t="s">
        <v>526</v>
      </c>
      <c r="L67" s="51">
        <v>0.95833333333333337</v>
      </c>
      <c r="M67" s="51" t="s">
        <v>541</v>
      </c>
      <c r="N67" s="51" t="s">
        <v>528</v>
      </c>
      <c r="O67" s="51" t="s">
        <v>524</v>
      </c>
      <c r="P67" s="49" t="s">
        <v>9</v>
      </c>
      <c r="Q67" s="49" t="s">
        <v>16</v>
      </c>
      <c r="R67" s="49" t="s">
        <v>109</v>
      </c>
      <c r="S67" s="49">
        <v>3</v>
      </c>
      <c r="T67" s="49">
        <v>10</v>
      </c>
      <c r="U67" s="63">
        <v>33</v>
      </c>
      <c r="V67" s="63">
        <v>330</v>
      </c>
    </row>
    <row r="68" spans="1:22" x14ac:dyDescent="0.25">
      <c r="A68" s="49">
        <v>4421</v>
      </c>
      <c r="B68" s="49" t="s">
        <v>17</v>
      </c>
      <c r="C68" s="49" t="s">
        <v>176</v>
      </c>
      <c r="D68" s="49" t="s">
        <v>72</v>
      </c>
      <c r="E68" s="49" t="s">
        <v>172</v>
      </c>
      <c r="F68" s="49">
        <v>2013</v>
      </c>
      <c r="G68" s="50">
        <v>42423.791666666664</v>
      </c>
      <c r="H68" s="50">
        <v>42436.958333333336</v>
      </c>
      <c r="I68" s="54">
        <v>42423</v>
      </c>
      <c r="J68" s="54">
        <v>42436</v>
      </c>
      <c r="K68" s="51" t="s">
        <v>526</v>
      </c>
      <c r="L68" s="51">
        <v>0.95833333333333337</v>
      </c>
      <c r="M68" s="51" t="s">
        <v>541</v>
      </c>
      <c r="N68" s="51" t="s">
        <v>528</v>
      </c>
      <c r="O68" s="51" t="s">
        <v>524</v>
      </c>
      <c r="P68" s="49" t="s">
        <v>23</v>
      </c>
      <c r="Q68" s="49" t="s">
        <v>38</v>
      </c>
      <c r="R68" s="49" t="s">
        <v>113</v>
      </c>
      <c r="S68" s="49">
        <v>5</v>
      </c>
      <c r="T68" s="49">
        <v>11</v>
      </c>
      <c r="U68" s="63">
        <v>33</v>
      </c>
      <c r="V68" s="63">
        <v>363</v>
      </c>
    </row>
    <row r="69" spans="1:22" x14ac:dyDescent="0.25">
      <c r="A69" s="49">
        <v>4422</v>
      </c>
      <c r="B69" s="49" t="s">
        <v>19</v>
      </c>
      <c r="C69" s="49" t="s">
        <v>176</v>
      </c>
      <c r="D69" s="49" t="s">
        <v>66</v>
      </c>
      <c r="E69" s="49" t="s">
        <v>169</v>
      </c>
      <c r="F69" s="49">
        <v>2013</v>
      </c>
      <c r="G69" s="50">
        <v>42424.583333333336</v>
      </c>
      <c r="H69" s="50">
        <v>42437.75</v>
      </c>
      <c r="I69" s="54">
        <v>42424</v>
      </c>
      <c r="J69" s="54">
        <v>42437</v>
      </c>
      <c r="K69" s="51" t="s">
        <v>527</v>
      </c>
      <c r="L69" s="51">
        <v>0.75</v>
      </c>
      <c r="M69" s="51" t="s">
        <v>542</v>
      </c>
      <c r="N69" s="51" t="s">
        <v>528</v>
      </c>
      <c r="O69" s="51" t="s">
        <v>524</v>
      </c>
      <c r="P69" s="49" t="s">
        <v>9</v>
      </c>
      <c r="Q69" s="49" t="s">
        <v>12</v>
      </c>
      <c r="R69" s="49" t="s">
        <v>113</v>
      </c>
      <c r="S69" s="49">
        <v>2</v>
      </c>
      <c r="T69" s="49">
        <v>12</v>
      </c>
      <c r="U69" s="63">
        <v>47</v>
      </c>
      <c r="V69" s="63">
        <v>564</v>
      </c>
    </row>
    <row r="70" spans="1:22" x14ac:dyDescent="0.25">
      <c r="A70" s="49">
        <v>4423</v>
      </c>
      <c r="B70" s="49" t="s">
        <v>11</v>
      </c>
      <c r="C70" s="49" t="s">
        <v>175</v>
      </c>
      <c r="D70" s="49" t="s">
        <v>64</v>
      </c>
      <c r="E70" s="49" t="s">
        <v>172</v>
      </c>
      <c r="F70" s="49">
        <v>2013</v>
      </c>
      <c r="G70" s="50">
        <v>42424.583333333336</v>
      </c>
      <c r="H70" s="50">
        <v>42437.75</v>
      </c>
      <c r="I70" s="54">
        <v>42424</v>
      </c>
      <c r="J70" s="54">
        <v>42437</v>
      </c>
      <c r="K70" s="51" t="s">
        <v>527</v>
      </c>
      <c r="L70" s="51">
        <v>0.75</v>
      </c>
      <c r="M70" s="51" t="s">
        <v>542</v>
      </c>
      <c r="N70" s="51" t="s">
        <v>528</v>
      </c>
      <c r="O70" s="51" t="s">
        <v>524</v>
      </c>
      <c r="P70" s="49" t="s">
        <v>23</v>
      </c>
      <c r="Q70" s="49" t="s">
        <v>16</v>
      </c>
      <c r="R70" s="49" t="s">
        <v>109</v>
      </c>
      <c r="S70" s="49">
        <v>3</v>
      </c>
      <c r="T70" s="49">
        <v>11</v>
      </c>
      <c r="U70" s="63">
        <v>73</v>
      </c>
      <c r="V70" s="63">
        <v>803</v>
      </c>
    </row>
    <row r="71" spans="1:22" x14ac:dyDescent="0.25">
      <c r="A71" s="49">
        <v>4424</v>
      </c>
      <c r="B71" s="49" t="s">
        <v>29</v>
      </c>
      <c r="C71" s="49" t="s">
        <v>177</v>
      </c>
      <c r="D71" s="49" t="s">
        <v>63</v>
      </c>
      <c r="E71" s="49" t="s">
        <v>172</v>
      </c>
      <c r="F71" s="49">
        <v>2013</v>
      </c>
      <c r="G71" s="50">
        <v>42426.333333333336</v>
      </c>
      <c r="H71" s="50">
        <v>42439.5</v>
      </c>
      <c r="I71" s="54">
        <v>42426</v>
      </c>
      <c r="J71" s="54">
        <v>42439</v>
      </c>
      <c r="K71" s="51" t="s">
        <v>522</v>
      </c>
      <c r="L71" s="51">
        <v>0.5</v>
      </c>
      <c r="M71" s="51" t="s">
        <v>539</v>
      </c>
      <c r="N71" s="51" t="s">
        <v>528</v>
      </c>
      <c r="O71" s="51" t="s">
        <v>524</v>
      </c>
      <c r="P71" s="49" t="s">
        <v>23</v>
      </c>
      <c r="Q71" s="49" t="s">
        <v>16</v>
      </c>
      <c r="R71" s="49" t="s">
        <v>109</v>
      </c>
      <c r="S71" s="49">
        <v>4</v>
      </c>
      <c r="T71" s="49">
        <v>12</v>
      </c>
      <c r="U71" s="63">
        <v>51</v>
      </c>
      <c r="V71" s="63">
        <v>612</v>
      </c>
    </row>
    <row r="72" spans="1:22" x14ac:dyDescent="0.25">
      <c r="A72" s="49">
        <v>4425</v>
      </c>
      <c r="B72" s="49" t="s">
        <v>19</v>
      </c>
      <c r="C72" s="49" t="s">
        <v>176</v>
      </c>
      <c r="D72" s="49" t="s">
        <v>67</v>
      </c>
      <c r="E72" s="49" t="s">
        <v>170</v>
      </c>
      <c r="F72" s="49">
        <v>2013</v>
      </c>
      <c r="G72" s="50">
        <v>42426.333333333336</v>
      </c>
      <c r="H72" s="50">
        <v>42439.5</v>
      </c>
      <c r="I72" s="54">
        <v>42426</v>
      </c>
      <c r="J72" s="54">
        <v>42439</v>
      </c>
      <c r="K72" s="51" t="s">
        <v>522</v>
      </c>
      <c r="L72" s="51">
        <v>0.5</v>
      </c>
      <c r="M72" s="51" t="s">
        <v>539</v>
      </c>
      <c r="N72" s="51" t="s">
        <v>528</v>
      </c>
      <c r="O72" s="51" t="s">
        <v>524</v>
      </c>
      <c r="P72" s="49" t="s">
        <v>9</v>
      </c>
      <c r="Q72" s="49" t="s">
        <v>16</v>
      </c>
      <c r="R72" s="49" t="s">
        <v>109</v>
      </c>
      <c r="S72" s="49">
        <v>3</v>
      </c>
      <c r="T72" s="49">
        <v>8</v>
      </c>
      <c r="U72" s="63">
        <v>47</v>
      </c>
      <c r="V72" s="63">
        <v>376</v>
      </c>
    </row>
    <row r="73" spans="1:22" x14ac:dyDescent="0.25">
      <c r="A73" s="49">
        <v>4426</v>
      </c>
      <c r="B73" s="49" t="s">
        <v>11</v>
      </c>
      <c r="C73" s="49" t="s">
        <v>175</v>
      </c>
      <c r="D73" s="49" t="s">
        <v>70</v>
      </c>
      <c r="E73" s="49" t="s">
        <v>174</v>
      </c>
      <c r="F73" s="49">
        <v>2013</v>
      </c>
      <c r="G73" s="50">
        <v>42427.375</v>
      </c>
      <c r="H73" s="50">
        <v>42432.75</v>
      </c>
      <c r="I73" s="54">
        <v>42427</v>
      </c>
      <c r="J73" s="54">
        <v>42432</v>
      </c>
      <c r="K73" s="51" t="s">
        <v>525</v>
      </c>
      <c r="L73" s="51">
        <v>0.75</v>
      </c>
      <c r="M73" s="51" t="s">
        <v>540</v>
      </c>
      <c r="N73" s="51" t="s">
        <v>528</v>
      </c>
      <c r="O73" s="51" t="s">
        <v>524</v>
      </c>
      <c r="P73" s="49" t="s">
        <v>23</v>
      </c>
      <c r="Q73" s="49" t="s">
        <v>33</v>
      </c>
      <c r="R73" s="49" t="s">
        <v>113</v>
      </c>
      <c r="S73" s="49">
        <v>4</v>
      </c>
      <c r="T73" s="49">
        <v>12</v>
      </c>
      <c r="U73" s="63">
        <v>62</v>
      </c>
      <c r="V73" s="63">
        <v>744</v>
      </c>
    </row>
    <row r="74" spans="1:22" x14ac:dyDescent="0.25">
      <c r="A74" s="49">
        <v>4427</v>
      </c>
      <c r="B74" s="49" t="s">
        <v>7</v>
      </c>
      <c r="C74" s="49" t="s">
        <v>175</v>
      </c>
      <c r="D74" s="49" t="s">
        <v>70</v>
      </c>
      <c r="E74" s="49" t="s">
        <v>174</v>
      </c>
      <c r="F74" s="49">
        <v>2013</v>
      </c>
      <c r="G74" s="50">
        <v>42427.375</v>
      </c>
      <c r="H74" s="50">
        <v>42432.75</v>
      </c>
      <c r="I74" s="54">
        <v>42427</v>
      </c>
      <c r="J74" s="54">
        <v>42432</v>
      </c>
      <c r="K74" s="51" t="s">
        <v>525</v>
      </c>
      <c r="L74" s="51">
        <v>0.75</v>
      </c>
      <c r="M74" s="51" t="s">
        <v>540</v>
      </c>
      <c r="N74" s="51" t="s">
        <v>528</v>
      </c>
      <c r="O74" s="51" t="s">
        <v>524</v>
      </c>
      <c r="P74" s="49" t="s">
        <v>9</v>
      </c>
      <c r="Q74" s="49" t="s">
        <v>190</v>
      </c>
      <c r="R74" s="49" t="s">
        <v>109</v>
      </c>
      <c r="S74" s="49">
        <v>2</v>
      </c>
      <c r="T74" s="49">
        <v>12</v>
      </c>
      <c r="U74" s="63">
        <v>62</v>
      </c>
      <c r="V74" s="63">
        <v>744</v>
      </c>
    </row>
    <row r="75" spans="1:22" x14ac:dyDescent="0.25">
      <c r="A75" s="49">
        <v>4428</v>
      </c>
      <c r="B75" s="49" t="s">
        <v>11</v>
      </c>
      <c r="C75" s="49" t="s">
        <v>175</v>
      </c>
      <c r="D75" s="49" t="s">
        <v>74</v>
      </c>
      <c r="E75" s="49" t="s">
        <v>168</v>
      </c>
      <c r="F75" s="49">
        <v>2013</v>
      </c>
      <c r="G75" s="50">
        <v>42429.791666666664</v>
      </c>
      <c r="H75" s="50">
        <v>42440.958333333336</v>
      </c>
      <c r="I75" s="54">
        <v>42429</v>
      </c>
      <c r="J75" s="54">
        <v>42440</v>
      </c>
      <c r="K75" s="51" t="s">
        <v>526</v>
      </c>
      <c r="L75" s="51">
        <v>0.95833333333333337</v>
      </c>
      <c r="M75" s="51" t="s">
        <v>541</v>
      </c>
      <c r="N75" s="51" t="s">
        <v>528</v>
      </c>
      <c r="O75" s="51" t="s">
        <v>524</v>
      </c>
      <c r="P75" s="49" t="s">
        <v>23</v>
      </c>
      <c r="Q75" s="49" t="s">
        <v>28</v>
      </c>
      <c r="R75" s="49" t="s">
        <v>109</v>
      </c>
      <c r="S75" s="49">
        <v>5</v>
      </c>
      <c r="T75" s="49">
        <v>12</v>
      </c>
      <c r="U75" s="63">
        <v>47</v>
      </c>
      <c r="V75" s="63">
        <v>564</v>
      </c>
    </row>
    <row r="76" spans="1:22" x14ac:dyDescent="0.25">
      <c r="A76" s="49">
        <v>4429</v>
      </c>
      <c r="B76" s="49" t="s">
        <v>29</v>
      </c>
      <c r="C76" s="49" t="s">
        <v>177</v>
      </c>
      <c r="D76" s="49" t="s">
        <v>65</v>
      </c>
      <c r="E76" s="49" t="s">
        <v>173</v>
      </c>
      <c r="F76" s="49">
        <v>2013</v>
      </c>
      <c r="G76" s="50">
        <v>42430.791666666664</v>
      </c>
      <c r="H76" s="50">
        <v>42443.958333333336</v>
      </c>
      <c r="I76" s="54">
        <v>42430</v>
      </c>
      <c r="J76" s="54">
        <v>42443</v>
      </c>
      <c r="K76" s="51" t="s">
        <v>526</v>
      </c>
      <c r="L76" s="51">
        <v>0.95833333333333337</v>
      </c>
      <c r="M76" s="51" t="s">
        <v>541</v>
      </c>
      <c r="N76" s="51" t="s">
        <v>529</v>
      </c>
      <c r="O76" s="51" t="s">
        <v>524</v>
      </c>
      <c r="P76" s="49" t="s">
        <v>23</v>
      </c>
      <c r="Q76" s="49" t="s">
        <v>31</v>
      </c>
      <c r="R76" s="49" t="s">
        <v>113</v>
      </c>
      <c r="S76" s="49">
        <v>5</v>
      </c>
      <c r="T76" s="49">
        <v>8</v>
      </c>
      <c r="U76" s="63">
        <v>31</v>
      </c>
      <c r="V76" s="63">
        <v>248</v>
      </c>
    </row>
    <row r="77" spans="1:22" x14ac:dyDescent="0.25">
      <c r="A77" s="49">
        <v>4430</v>
      </c>
      <c r="B77" s="49" t="s">
        <v>11</v>
      </c>
      <c r="C77" s="49" t="s">
        <v>175</v>
      </c>
      <c r="D77" s="49" t="s">
        <v>65</v>
      </c>
      <c r="E77" s="49" t="s">
        <v>173</v>
      </c>
      <c r="F77" s="49">
        <v>2013</v>
      </c>
      <c r="G77" s="50">
        <v>42430.791666666664</v>
      </c>
      <c r="H77" s="50">
        <v>42443.958333333336</v>
      </c>
      <c r="I77" s="54">
        <v>42430</v>
      </c>
      <c r="J77" s="54">
        <v>42443</v>
      </c>
      <c r="K77" s="51" t="s">
        <v>526</v>
      </c>
      <c r="L77" s="51">
        <v>0.95833333333333337</v>
      </c>
      <c r="M77" s="51" t="s">
        <v>541</v>
      </c>
      <c r="N77" s="51" t="s">
        <v>529</v>
      </c>
      <c r="O77" s="51" t="s">
        <v>524</v>
      </c>
      <c r="P77" s="49" t="s">
        <v>23</v>
      </c>
      <c r="Q77" s="49" t="s">
        <v>18</v>
      </c>
      <c r="R77" s="49" t="s">
        <v>113</v>
      </c>
      <c r="S77" s="49">
        <v>3</v>
      </c>
      <c r="T77" s="49">
        <v>11</v>
      </c>
      <c r="U77" s="63">
        <v>31</v>
      </c>
      <c r="V77" s="63">
        <v>341</v>
      </c>
    </row>
    <row r="78" spans="1:22" x14ac:dyDescent="0.25">
      <c r="A78" s="49">
        <v>4431</v>
      </c>
      <c r="B78" s="49" t="s">
        <v>29</v>
      </c>
      <c r="C78" s="49" t="s">
        <v>177</v>
      </c>
      <c r="D78" s="49" t="s">
        <v>72</v>
      </c>
      <c r="E78" s="49" t="s">
        <v>172</v>
      </c>
      <c r="F78" s="49">
        <v>2013</v>
      </c>
      <c r="G78" s="50">
        <v>42430.791666666664</v>
      </c>
      <c r="H78" s="50">
        <v>42443.958333333336</v>
      </c>
      <c r="I78" s="54">
        <v>42430</v>
      </c>
      <c r="J78" s="54">
        <v>42443</v>
      </c>
      <c r="K78" s="51" t="s">
        <v>526</v>
      </c>
      <c r="L78" s="51">
        <v>0.95833333333333337</v>
      </c>
      <c r="M78" s="51" t="s">
        <v>541</v>
      </c>
      <c r="N78" s="51" t="s">
        <v>529</v>
      </c>
      <c r="O78" s="51" t="s">
        <v>524</v>
      </c>
      <c r="P78" s="49" t="s">
        <v>9</v>
      </c>
      <c r="Q78" s="49" t="s">
        <v>33</v>
      </c>
      <c r="R78" s="49" t="s">
        <v>113</v>
      </c>
      <c r="S78" s="49">
        <v>3</v>
      </c>
      <c r="T78" s="49">
        <v>11</v>
      </c>
      <c r="U78" s="63">
        <v>33</v>
      </c>
      <c r="V78" s="63">
        <v>363</v>
      </c>
    </row>
    <row r="79" spans="1:22" x14ac:dyDescent="0.25">
      <c r="A79" s="49">
        <v>4432</v>
      </c>
      <c r="B79" s="49" t="s">
        <v>29</v>
      </c>
      <c r="C79" s="49" t="s">
        <v>177</v>
      </c>
      <c r="D79" s="49" t="s">
        <v>70</v>
      </c>
      <c r="E79" s="49" t="s">
        <v>174</v>
      </c>
      <c r="F79" s="49">
        <v>2013</v>
      </c>
      <c r="G79" s="50">
        <v>42430.791666666664</v>
      </c>
      <c r="H79" s="50">
        <v>42443.958333333336</v>
      </c>
      <c r="I79" s="54">
        <v>42430</v>
      </c>
      <c r="J79" s="54">
        <v>42443</v>
      </c>
      <c r="K79" s="51" t="s">
        <v>526</v>
      </c>
      <c r="L79" s="51">
        <v>0.95833333333333337</v>
      </c>
      <c r="M79" s="51" t="s">
        <v>541</v>
      </c>
      <c r="N79" s="51" t="s">
        <v>529</v>
      </c>
      <c r="O79" s="51" t="s">
        <v>524</v>
      </c>
      <c r="P79" s="49" t="s">
        <v>9</v>
      </c>
      <c r="Q79" s="49" t="s">
        <v>26</v>
      </c>
      <c r="R79" s="49" t="s">
        <v>113</v>
      </c>
      <c r="S79" s="49">
        <v>3</v>
      </c>
      <c r="T79" s="49">
        <v>12</v>
      </c>
      <c r="U79" s="63">
        <v>62</v>
      </c>
      <c r="V79" s="63">
        <v>744</v>
      </c>
    </row>
    <row r="80" spans="1:22" x14ac:dyDescent="0.25">
      <c r="A80" s="49">
        <v>4433</v>
      </c>
      <c r="B80" s="49" t="s">
        <v>17</v>
      </c>
      <c r="C80" s="49" t="s">
        <v>176</v>
      </c>
      <c r="D80" s="49" t="s">
        <v>71</v>
      </c>
      <c r="E80" s="49" t="s">
        <v>170</v>
      </c>
      <c r="F80" s="49">
        <v>2013</v>
      </c>
      <c r="G80" s="50">
        <v>42431.583333333336</v>
      </c>
      <c r="H80" s="50">
        <v>42444.75</v>
      </c>
      <c r="I80" s="54">
        <v>42431</v>
      </c>
      <c r="J80" s="54">
        <v>42444</v>
      </c>
      <c r="K80" s="51" t="s">
        <v>527</v>
      </c>
      <c r="L80" s="51">
        <v>0.75</v>
      </c>
      <c r="M80" s="51" t="s">
        <v>542</v>
      </c>
      <c r="N80" s="51" t="s">
        <v>529</v>
      </c>
      <c r="O80" s="51" t="s">
        <v>524</v>
      </c>
      <c r="P80" s="49" t="s">
        <v>23</v>
      </c>
      <c r="Q80" s="49" t="s">
        <v>38</v>
      </c>
      <c r="R80" s="49" t="s">
        <v>113</v>
      </c>
      <c r="S80" s="49">
        <v>3</v>
      </c>
      <c r="T80" s="49">
        <v>10</v>
      </c>
      <c r="U80" s="63">
        <v>41</v>
      </c>
      <c r="V80" s="63">
        <v>410</v>
      </c>
    </row>
    <row r="81" spans="1:22" x14ac:dyDescent="0.25">
      <c r="A81" s="49">
        <v>4434</v>
      </c>
      <c r="B81" s="49" t="s">
        <v>17</v>
      </c>
      <c r="C81" s="49" t="s">
        <v>176</v>
      </c>
      <c r="D81" s="49" t="s">
        <v>65</v>
      </c>
      <c r="E81" s="49" t="s">
        <v>173</v>
      </c>
      <c r="F81" s="49">
        <v>2013</v>
      </c>
      <c r="G81" s="50">
        <v>42431.583333333336</v>
      </c>
      <c r="H81" s="50">
        <v>42444.75</v>
      </c>
      <c r="I81" s="54">
        <v>42431</v>
      </c>
      <c r="J81" s="54">
        <v>42444</v>
      </c>
      <c r="K81" s="51" t="s">
        <v>527</v>
      </c>
      <c r="L81" s="51">
        <v>0.75</v>
      </c>
      <c r="M81" s="51" t="s">
        <v>542</v>
      </c>
      <c r="N81" s="51" t="s">
        <v>529</v>
      </c>
      <c r="O81" s="51" t="s">
        <v>524</v>
      </c>
      <c r="P81" s="49" t="s">
        <v>23</v>
      </c>
      <c r="Q81" s="49" t="s">
        <v>12</v>
      </c>
      <c r="R81" s="49" t="s">
        <v>113</v>
      </c>
      <c r="S81" s="49">
        <v>5</v>
      </c>
      <c r="T81" s="49">
        <v>12</v>
      </c>
      <c r="U81" s="63">
        <v>31</v>
      </c>
      <c r="V81" s="63">
        <v>372</v>
      </c>
    </row>
    <row r="82" spans="1:22" x14ac:dyDescent="0.25">
      <c r="A82" s="49">
        <v>4435</v>
      </c>
      <c r="B82" s="49" t="s">
        <v>7</v>
      </c>
      <c r="C82" s="49" t="s">
        <v>175</v>
      </c>
      <c r="D82" s="49" t="s">
        <v>71</v>
      </c>
      <c r="E82" s="49" t="s">
        <v>170</v>
      </c>
      <c r="F82" s="49">
        <v>2013</v>
      </c>
      <c r="G82" s="50">
        <v>42431.583333333336</v>
      </c>
      <c r="H82" s="50">
        <v>42444.75</v>
      </c>
      <c r="I82" s="54">
        <v>42431</v>
      </c>
      <c r="J82" s="54">
        <v>42444</v>
      </c>
      <c r="K82" s="51" t="s">
        <v>527</v>
      </c>
      <c r="L82" s="51">
        <v>0.75</v>
      </c>
      <c r="M82" s="51" t="s">
        <v>542</v>
      </c>
      <c r="N82" s="51" t="s">
        <v>529</v>
      </c>
      <c r="O82" s="51" t="s">
        <v>524</v>
      </c>
      <c r="P82" s="49" t="s">
        <v>23</v>
      </c>
      <c r="Q82" s="49" t="s">
        <v>44</v>
      </c>
      <c r="R82" s="49" t="s">
        <v>113</v>
      </c>
      <c r="S82" s="49">
        <v>3</v>
      </c>
      <c r="T82" s="49">
        <v>11</v>
      </c>
      <c r="U82" s="63">
        <v>41</v>
      </c>
      <c r="V82" s="63">
        <v>451</v>
      </c>
    </row>
    <row r="83" spans="1:22" x14ac:dyDescent="0.25">
      <c r="A83" s="49">
        <v>4436</v>
      </c>
      <c r="B83" s="49" t="s">
        <v>7</v>
      </c>
      <c r="C83" s="49" t="s">
        <v>175</v>
      </c>
      <c r="D83" s="49" t="s">
        <v>63</v>
      </c>
      <c r="E83" s="49" t="s">
        <v>172</v>
      </c>
      <c r="F83" s="49">
        <v>2013</v>
      </c>
      <c r="G83" s="50">
        <v>42432.375</v>
      </c>
      <c r="H83" s="50">
        <v>42438.75</v>
      </c>
      <c r="I83" s="54">
        <v>42432</v>
      </c>
      <c r="J83" s="54">
        <v>42438</v>
      </c>
      <c r="K83" s="51" t="s">
        <v>525</v>
      </c>
      <c r="L83" s="51">
        <v>0.75</v>
      </c>
      <c r="M83" s="51" t="s">
        <v>540</v>
      </c>
      <c r="N83" s="51" t="s">
        <v>529</v>
      </c>
      <c r="O83" s="51" t="s">
        <v>524</v>
      </c>
      <c r="P83" s="49" t="s">
        <v>23</v>
      </c>
      <c r="Q83" s="49" t="s">
        <v>37</v>
      </c>
      <c r="R83" s="49" t="s">
        <v>113</v>
      </c>
      <c r="S83" s="49">
        <v>5</v>
      </c>
      <c r="T83" s="49">
        <v>11</v>
      </c>
      <c r="U83" s="63">
        <v>51</v>
      </c>
      <c r="V83" s="63">
        <v>561</v>
      </c>
    </row>
    <row r="84" spans="1:22" x14ac:dyDescent="0.25">
      <c r="A84" s="49">
        <v>4437</v>
      </c>
      <c r="B84" s="49" t="s">
        <v>29</v>
      </c>
      <c r="C84" s="49" t="s">
        <v>177</v>
      </c>
      <c r="D84" s="49" t="s">
        <v>65</v>
      </c>
      <c r="E84" s="49" t="s">
        <v>173</v>
      </c>
      <c r="F84" s="49">
        <v>2013</v>
      </c>
      <c r="G84" s="50">
        <v>42433.333333333336</v>
      </c>
      <c r="H84" s="50">
        <v>42446.5</v>
      </c>
      <c r="I84" s="54">
        <v>42433</v>
      </c>
      <c r="J84" s="54">
        <v>42446</v>
      </c>
      <c r="K84" s="51" t="s">
        <v>522</v>
      </c>
      <c r="L84" s="51">
        <v>0.5</v>
      </c>
      <c r="M84" s="51" t="s">
        <v>539</v>
      </c>
      <c r="N84" s="51" t="s">
        <v>529</v>
      </c>
      <c r="O84" s="51" t="s">
        <v>524</v>
      </c>
      <c r="P84" s="49" t="s">
        <v>23</v>
      </c>
      <c r="Q84" s="49" t="s">
        <v>31</v>
      </c>
      <c r="R84" s="49" t="s">
        <v>113</v>
      </c>
      <c r="S84" s="49">
        <v>5</v>
      </c>
      <c r="T84" s="49">
        <v>9</v>
      </c>
      <c r="U84" s="63">
        <v>31</v>
      </c>
      <c r="V84" s="63">
        <v>279</v>
      </c>
    </row>
    <row r="85" spans="1:22" x14ac:dyDescent="0.25">
      <c r="A85" s="49">
        <v>4438</v>
      </c>
      <c r="B85" s="49" t="s">
        <v>11</v>
      </c>
      <c r="C85" s="49" t="s">
        <v>175</v>
      </c>
      <c r="D85" s="49" t="s">
        <v>73</v>
      </c>
      <c r="E85" s="49" t="s">
        <v>169</v>
      </c>
      <c r="F85" s="49">
        <v>2013</v>
      </c>
      <c r="G85" s="50">
        <v>42433.333333333336</v>
      </c>
      <c r="H85" s="50">
        <v>42446.5</v>
      </c>
      <c r="I85" s="54">
        <v>42433</v>
      </c>
      <c r="J85" s="54">
        <v>42446</v>
      </c>
      <c r="K85" s="51" t="s">
        <v>522</v>
      </c>
      <c r="L85" s="51">
        <v>0.5</v>
      </c>
      <c r="M85" s="51" t="s">
        <v>539</v>
      </c>
      <c r="N85" s="51" t="s">
        <v>529</v>
      </c>
      <c r="O85" s="51" t="s">
        <v>524</v>
      </c>
      <c r="P85" s="49" t="s">
        <v>9</v>
      </c>
      <c r="Q85" s="49" t="s">
        <v>24</v>
      </c>
      <c r="R85" s="49" t="s">
        <v>113</v>
      </c>
      <c r="S85" s="49">
        <v>2</v>
      </c>
      <c r="T85" s="49">
        <v>10</v>
      </c>
      <c r="U85" s="63">
        <v>61</v>
      </c>
      <c r="V85" s="63">
        <v>610</v>
      </c>
    </row>
    <row r="86" spans="1:22" x14ac:dyDescent="0.25">
      <c r="A86" s="49">
        <v>4439</v>
      </c>
      <c r="B86" s="49" t="s">
        <v>17</v>
      </c>
      <c r="C86" s="49" t="s">
        <v>176</v>
      </c>
      <c r="D86" s="49" t="s">
        <v>75</v>
      </c>
      <c r="E86" s="49" t="s">
        <v>174</v>
      </c>
      <c r="F86" s="49">
        <v>2013</v>
      </c>
      <c r="G86" s="50">
        <v>42433.333333333336</v>
      </c>
      <c r="H86" s="50">
        <v>42446.5</v>
      </c>
      <c r="I86" s="54">
        <v>42433</v>
      </c>
      <c r="J86" s="54">
        <v>42446</v>
      </c>
      <c r="K86" s="51" t="s">
        <v>522</v>
      </c>
      <c r="L86" s="51">
        <v>0.5</v>
      </c>
      <c r="M86" s="51" t="s">
        <v>539</v>
      </c>
      <c r="N86" s="51" t="s">
        <v>529</v>
      </c>
      <c r="O86" s="51" t="s">
        <v>524</v>
      </c>
      <c r="P86" s="49" t="s">
        <v>9</v>
      </c>
      <c r="Q86" s="49" t="s">
        <v>12</v>
      </c>
      <c r="R86" s="49" t="s">
        <v>113</v>
      </c>
      <c r="S86" s="49">
        <v>5</v>
      </c>
      <c r="T86" s="49">
        <v>12</v>
      </c>
      <c r="U86" s="63">
        <v>52</v>
      </c>
      <c r="V86" s="63">
        <v>624</v>
      </c>
    </row>
    <row r="87" spans="1:22" x14ac:dyDescent="0.25">
      <c r="A87" s="49">
        <v>4440</v>
      </c>
      <c r="B87" s="49" t="s">
        <v>29</v>
      </c>
      <c r="C87" s="49" t="s">
        <v>177</v>
      </c>
      <c r="D87" s="49" t="s">
        <v>72</v>
      </c>
      <c r="E87" s="49" t="s">
        <v>172</v>
      </c>
      <c r="F87" s="49">
        <v>2013</v>
      </c>
      <c r="G87" s="50">
        <v>42434.375</v>
      </c>
      <c r="H87" s="50">
        <v>42439.75</v>
      </c>
      <c r="I87" s="54">
        <v>42434</v>
      </c>
      <c r="J87" s="54">
        <v>42439</v>
      </c>
      <c r="K87" s="51" t="s">
        <v>525</v>
      </c>
      <c r="L87" s="51">
        <v>0.75</v>
      </c>
      <c r="M87" s="51" t="s">
        <v>540</v>
      </c>
      <c r="N87" s="51" t="s">
        <v>529</v>
      </c>
      <c r="O87" s="51" t="s">
        <v>524</v>
      </c>
      <c r="P87" s="49" t="s">
        <v>23</v>
      </c>
      <c r="Q87" s="49" t="s">
        <v>18</v>
      </c>
      <c r="R87" s="49" t="s">
        <v>113</v>
      </c>
      <c r="S87" s="49">
        <v>5</v>
      </c>
      <c r="T87" s="49">
        <v>8</v>
      </c>
      <c r="U87" s="63">
        <v>33</v>
      </c>
      <c r="V87" s="63">
        <v>264</v>
      </c>
    </row>
    <row r="88" spans="1:22" x14ac:dyDescent="0.25">
      <c r="A88" s="49">
        <v>4441</v>
      </c>
      <c r="B88" s="49" t="s">
        <v>11</v>
      </c>
      <c r="C88" s="49" t="s">
        <v>175</v>
      </c>
      <c r="D88" s="49" t="s">
        <v>71</v>
      </c>
      <c r="E88" s="49" t="s">
        <v>170</v>
      </c>
      <c r="F88" s="49">
        <v>2013</v>
      </c>
      <c r="G88" s="50">
        <v>42434.375</v>
      </c>
      <c r="H88" s="50">
        <v>42439.75</v>
      </c>
      <c r="I88" s="54">
        <v>42434</v>
      </c>
      <c r="J88" s="54">
        <v>42439</v>
      </c>
      <c r="K88" s="51" t="s">
        <v>525</v>
      </c>
      <c r="L88" s="51">
        <v>0.75</v>
      </c>
      <c r="M88" s="51" t="s">
        <v>540</v>
      </c>
      <c r="N88" s="51" t="s">
        <v>529</v>
      </c>
      <c r="O88" s="51" t="s">
        <v>524</v>
      </c>
      <c r="P88" s="49" t="s">
        <v>9</v>
      </c>
      <c r="Q88" s="49" t="s">
        <v>26</v>
      </c>
      <c r="R88" s="49" t="s">
        <v>113</v>
      </c>
      <c r="S88" s="49">
        <v>5</v>
      </c>
      <c r="T88" s="49">
        <v>10</v>
      </c>
      <c r="U88" s="63">
        <v>41</v>
      </c>
      <c r="V88" s="63">
        <v>410</v>
      </c>
    </row>
    <row r="89" spans="1:22" x14ac:dyDescent="0.25">
      <c r="A89" s="49">
        <v>4442</v>
      </c>
      <c r="B89" s="49" t="s">
        <v>29</v>
      </c>
      <c r="C89" s="49" t="s">
        <v>177</v>
      </c>
      <c r="D89" s="49" t="s">
        <v>73</v>
      </c>
      <c r="E89" s="49" t="s">
        <v>169</v>
      </c>
      <c r="F89" s="49">
        <v>2013</v>
      </c>
      <c r="G89" s="50">
        <v>42434.375</v>
      </c>
      <c r="H89" s="50">
        <v>42439.75</v>
      </c>
      <c r="I89" s="54">
        <v>42434</v>
      </c>
      <c r="J89" s="54">
        <v>42439</v>
      </c>
      <c r="K89" s="51" t="s">
        <v>525</v>
      </c>
      <c r="L89" s="51">
        <v>0.75</v>
      </c>
      <c r="M89" s="51" t="s">
        <v>540</v>
      </c>
      <c r="N89" s="51" t="s">
        <v>529</v>
      </c>
      <c r="O89" s="51" t="s">
        <v>524</v>
      </c>
      <c r="P89" s="49" t="s">
        <v>9</v>
      </c>
      <c r="Q89" s="49" t="s">
        <v>190</v>
      </c>
      <c r="R89" s="49" t="s">
        <v>109</v>
      </c>
      <c r="S89" s="49">
        <v>2</v>
      </c>
      <c r="T89" s="49">
        <v>10</v>
      </c>
      <c r="U89" s="63">
        <v>61</v>
      </c>
      <c r="V89" s="63">
        <v>610</v>
      </c>
    </row>
    <row r="90" spans="1:22" x14ac:dyDescent="0.25">
      <c r="A90" s="49">
        <v>4443</v>
      </c>
      <c r="B90" s="49" t="s">
        <v>22</v>
      </c>
      <c r="C90" s="49" t="s">
        <v>176</v>
      </c>
      <c r="D90" s="49" t="s">
        <v>72</v>
      </c>
      <c r="E90" s="49" t="s">
        <v>172</v>
      </c>
      <c r="F90" s="49">
        <v>2013</v>
      </c>
      <c r="G90" s="50">
        <v>42436.791666666664</v>
      </c>
      <c r="H90" s="50">
        <v>42447.958333333336</v>
      </c>
      <c r="I90" s="54">
        <v>42436</v>
      </c>
      <c r="J90" s="54">
        <v>42447</v>
      </c>
      <c r="K90" s="51" t="s">
        <v>526</v>
      </c>
      <c r="L90" s="51">
        <v>0.95833333333333337</v>
      </c>
      <c r="M90" s="51" t="s">
        <v>541</v>
      </c>
      <c r="N90" s="51" t="s">
        <v>529</v>
      </c>
      <c r="O90" s="51" t="s">
        <v>524</v>
      </c>
      <c r="P90" s="49" t="s">
        <v>9</v>
      </c>
      <c r="Q90" s="49" t="s">
        <v>24</v>
      </c>
      <c r="R90" s="49" t="s">
        <v>113</v>
      </c>
      <c r="S90" s="49">
        <v>3</v>
      </c>
      <c r="T90" s="49">
        <v>8</v>
      </c>
      <c r="U90" s="63">
        <v>33</v>
      </c>
      <c r="V90" s="63">
        <v>264</v>
      </c>
    </row>
    <row r="91" spans="1:22" x14ac:dyDescent="0.25">
      <c r="A91" s="49">
        <v>4444</v>
      </c>
      <c r="B91" s="49" t="s">
        <v>19</v>
      </c>
      <c r="C91" s="49" t="s">
        <v>176</v>
      </c>
      <c r="D91" s="49" t="s">
        <v>68</v>
      </c>
      <c r="E91" s="49" t="s">
        <v>172</v>
      </c>
      <c r="F91" s="49">
        <v>2013</v>
      </c>
      <c r="G91" s="50">
        <v>42437.791666666664</v>
      </c>
      <c r="H91" s="50">
        <v>42450.958333333336</v>
      </c>
      <c r="I91" s="54">
        <v>42437</v>
      </c>
      <c r="J91" s="54">
        <v>42450</v>
      </c>
      <c r="K91" s="51" t="s">
        <v>526</v>
      </c>
      <c r="L91" s="51">
        <v>0.95833333333333337</v>
      </c>
      <c r="M91" s="51" t="s">
        <v>541</v>
      </c>
      <c r="N91" s="51" t="s">
        <v>529</v>
      </c>
      <c r="O91" s="51" t="s">
        <v>524</v>
      </c>
      <c r="P91" s="49" t="s">
        <v>9</v>
      </c>
      <c r="Q91" s="49" t="s">
        <v>33</v>
      </c>
      <c r="R91" s="49" t="s">
        <v>113</v>
      </c>
      <c r="S91" s="49">
        <v>3</v>
      </c>
      <c r="T91" s="49">
        <v>12</v>
      </c>
      <c r="U91" s="63">
        <v>42</v>
      </c>
      <c r="V91" s="63">
        <v>504</v>
      </c>
    </row>
    <row r="92" spans="1:22" x14ac:dyDescent="0.25">
      <c r="A92" s="49">
        <v>4445</v>
      </c>
      <c r="B92" s="49" t="s">
        <v>17</v>
      </c>
      <c r="C92" s="49" t="s">
        <v>176</v>
      </c>
      <c r="D92" s="49" t="s">
        <v>71</v>
      </c>
      <c r="E92" s="49" t="s">
        <v>170</v>
      </c>
      <c r="F92" s="49">
        <v>2013</v>
      </c>
      <c r="G92" s="50">
        <v>42438.583333333336</v>
      </c>
      <c r="H92" s="50">
        <v>42451.75</v>
      </c>
      <c r="I92" s="54">
        <v>42438</v>
      </c>
      <c r="J92" s="54">
        <v>42451</v>
      </c>
      <c r="K92" s="51" t="s">
        <v>527</v>
      </c>
      <c r="L92" s="51">
        <v>0.75</v>
      </c>
      <c r="M92" s="51" t="s">
        <v>542</v>
      </c>
      <c r="N92" s="51" t="s">
        <v>529</v>
      </c>
      <c r="O92" s="51" t="s">
        <v>524</v>
      </c>
      <c r="P92" s="49" t="s">
        <v>23</v>
      </c>
      <c r="Q92" s="49" t="s">
        <v>41</v>
      </c>
      <c r="R92" s="49" t="s">
        <v>113</v>
      </c>
      <c r="S92" s="49">
        <v>4</v>
      </c>
      <c r="T92" s="49">
        <v>12</v>
      </c>
      <c r="U92" s="63">
        <v>41</v>
      </c>
      <c r="V92" s="63">
        <v>492</v>
      </c>
    </row>
    <row r="93" spans="1:22" x14ac:dyDescent="0.25">
      <c r="A93" s="49">
        <v>4446</v>
      </c>
      <c r="B93" s="49" t="s">
        <v>14</v>
      </c>
      <c r="C93" s="49" t="s">
        <v>175</v>
      </c>
      <c r="D93" s="49" t="s">
        <v>68</v>
      </c>
      <c r="E93" s="49" t="s">
        <v>172</v>
      </c>
      <c r="F93" s="49">
        <v>2013</v>
      </c>
      <c r="G93" s="50">
        <v>42438.583333333336</v>
      </c>
      <c r="H93" s="50">
        <v>42451.75</v>
      </c>
      <c r="I93" s="54">
        <v>42438</v>
      </c>
      <c r="J93" s="54">
        <v>42451</v>
      </c>
      <c r="K93" s="51" t="s">
        <v>527</v>
      </c>
      <c r="L93" s="51">
        <v>0.75</v>
      </c>
      <c r="M93" s="51" t="s">
        <v>542</v>
      </c>
      <c r="N93" s="51" t="s">
        <v>529</v>
      </c>
      <c r="O93" s="51" t="s">
        <v>524</v>
      </c>
      <c r="P93" s="49" t="s">
        <v>9</v>
      </c>
      <c r="Q93" s="49" t="s">
        <v>37</v>
      </c>
      <c r="R93" s="49" t="s">
        <v>113</v>
      </c>
      <c r="S93" s="49">
        <v>5</v>
      </c>
      <c r="T93" s="49">
        <v>8</v>
      </c>
      <c r="U93" s="63">
        <v>42</v>
      </c>
      <c r="V93" s="63">
        <v>336</v>
      </c>
    </row>
    <row r="94" spans="1:22" x14ac:dyDescent="0.25">
      <c r="A94" s="49">
        <v>4447</v>
      </c>
      <c r="B94" s="49" t="s">
        <v>11</v>
      </c>
      <c r="C94" s="49" t="s">
        <v>175</v>
      </c>
      <c r="D94" s="49" t="s">
        <v>65</v>
      </c>
      <c r="E94" s="49" t="s">
        <v>173</v>
      </c>
      <c r="F94" s="49">
        <v>2013</v>
      </c>
      <c r="G94" s="50">
        <v>42439.375</v>
      </c>
      <c r="H94" s="50">
        <v>42445.75</v>
      </c>
      <c r="I94" s="54">
        <v>42439</v>
      </c>
      <c r="J94" s="54">
        <v>42445</v>
      </c>
      <c r="K94" s="51" t="s">
        <v>525</v>
      </c>
      <c r="L94" s="51">
        <v>0.75</v>
      </c>
      <c r="M94" s="51" t="s">
        <v>540</v>
      </c>
      <c r="N94" s="51" t="s">
        <v>529</v>
      </c>
      <c r="O94" s="51" t="s">
        <v>524</v>
      </c>
      <c r="P94" s="49" t="s">
        <v>9</v>
      </c>
      <c r="Q94" s="49" t="s">
        <v>22</v>
      </c>
      <c r="R94" s="49" t="s">
        <v>109</v>
      </c>
      <c r="S94" s="49">
        <v>5</v>
      </c>
      <c r="T94" s="49">
        <v>10</v>
      </c>
      <c r="U94" s="63">
        <v>31</v>
      </c>
      <c r="V94" s="63">
        <v>310</v>
      </c>
    </row>
    <row r="95" spans="1:22" x14ac:dyDescent="0.25">
      <c r="A95" s="49">
        <v>4448</v>
      </c>
      <c r="B95" s="49" t="s">
        <v>22</v>
      </c>
      <c r="C95" s="49" t="s">
        <v>176</v>
      </c>
      <c r="D95" s="49" t="s">
        <v>70</v>
      </c>
      <c r="E95" s="49" t="s">
        <v>174</v>
      </c>
      <c r="F95" s="49">
        <v>2013</v>
      </c>
      <c r="G95" s="50">
        <v>42444.791666666664</v>
      </c>
      <c r="H95" s="50">
        <v>42457.958333333336</v>
      </c>
      <c r="I95" s="54">
        <v>42444</v>
      </c>
      <c r="J95" s="54">
        <v>42457</v>
      </c>
      <c r="K95" s="51" t="s">
        <v>526</v>
      </c>
      <c r="L95" s="51">
        <v>0.95833333333333337</v>
      </c>
      <c r="M95" s="51" t="s">
        <v>541</v>
      </c>
      <c r="N95" s="51" t="s">
        <v>529</v>
      </c>
      <c r="O95" s="51" t="s">
        <v>524</v>
      </c>
      <c r="P95" s="49" t="s">
        <v>23</v>
      </c>
      <c r="Q95" s="49" t="s">
        <v>16</v>
      </c>
      <c r="R95" s="49" t="s">
        <v>109</v>
      </c>
      <c r="S95" s="49">
        <v>4</v>
      </c>
      <c r="T95" s="49">
        <v>8</v>
      </c>
      <c r="U95" s="63">
        <v>62</v>
      </c>
      <c r="V95" s="63">
        <v>496</v>
      </c>
    </row>
    <row r="96" spans="1:22" x14ac:dyDescent="0.25">
      <c r="A96" s="49">
        <v>4449</v>
      </c>
      <c r="B96" s="49" t="s">
        <v>11</v>
      </c>
      <c r="C96" s="49" t="s">
        <v>175</v>
      </c>
      <c r="D96" s="49" t="s">
        <v>64</v>
      </c>
      <c r="E96" s="49" t="s">
        <v>172</v>
      </c>
      <c r="F96" s="49">
        <v>2013</v>
      </c>
      <c r="G96" s="50">
        <v>42445.583333333336</v>
      </c>
      <c r="H96" s="50">
        <v>42458.75</v>
      </c>
      <c r="I96" s="54">
        <v>42445</v>
      </c>
      <c r="J96" s="54">
        <v>42458</v>
      </c>
      <c r="K96" s="51" t="s">
        <v>527</v>
      </c>
      <c r="L96" s="51">
        <v>0.75</v>
      </c>
      <c r="M96" s="51" t="s">
        <v>542</v>
      </c>
      <c r="N96" s="51" t="s">
        <v>529</v>
      </c>
      <c r="O96" s="51" t="s">
        <v>524</v>
      </c>
      <c r="P96" s="49" t="s">
        <v>23</v>
      </c>
      <c r="Q96" s="49" t="s">
        <v>38</v>
      </c>
      <c r="R96" s="49" t="s">
        <v>113</v>
      </c>
      <c r="S96" s="49">
        <v>5</v>
      </c>
      <c r="T96" s="49">
        <v>12</v>
      </c>
      <c r="U96" s="63">
        <v>73</v>
      </c>
      <c r="V96" s="63">
        <v>876</v>
      </c>
    </row>
    <row r="97" spans="1:22" x14ac:dyDescent="0.25">
      <c r="A97" s="49">
        <v>4450</v>
      </c>
      <c r="B97" s="49" t="s">
        <v>45</v>
      </c>
      <c r="C97" s="49" t="s">
        <v>177</v>
      </c>
      <c r="D97" s="49" t="s">
        <v>74</v>
      </c>
      <c r="E97" s="49" t="s">
        <v>168</v>
      </c>
      <c r="F97" s="49">
        <v>2013</v>
      </c>
      <c r="G97" s="50">
        <v>42447.333333333336</v>
      </c>
      <c r="H97" s="50">
        <v>42460.5</v>
      </c>
      <c r="I97" s="54">
        <v>42447</v>
      </c>
      <c r="J97" s="54">
        <v>42460</v>
      </c>
      <c r="K97" s="51" t="s">
        <v>522</v>
      </c>
      <c r="L97" s="51">
        <v>0.5</v>
      </c>
      <c r="M97" s="51" t="s">
        <v>539</v>
      </c>
      <c r="N97" s="51" t="s">
        <v>529</v>
      </c>
      <c r="O97" s="51" t="s">
        <v>524</v>
      </c>
      <c r="P97" s="49" t="s">
        <v>9</v>
      </c>
      <c r="Q97" s="49" t="s">
        <v>41</v>
      </c>
      <c r="R97" s="49" t="s">
        <v>113</v>
      </c>
      <c r="S97" s="49">
        <v>3</v>
      </c>
      <c r="T97" s="49">
        <v>9</v>
      </c>
      <c r="U97" s="63">
        <v>47</v>
      </c>
      <c r="V97" s="63">
        <v>423</v>
      </c>
    </row>
    <row r="98" spans="1:22" x14ac:dyDescent="0.25">
      <c r="A98" s="49">
        <v>4451</v>
      </c>
      <c r="B98" s="49" t="s">
        <v>17</v>
      </c>
      <c r="C98" s="49" t="s">
        <v>176</v>
      </c>
      <c r="D98" s="49" t="s">
        <v>71</v>
      </c>
      <c r="E98" s="49" t="s">
        <v>170</v>
      </c>
      <c r="F98" s="49">
        <v>2013</v>
      </c>
      <c r="G98" s="50">
        <v>42448.375</v>
      </c>
      <c r="H98" s="50">
        <v>42453.75</v>
      </c>
      <c r="I98" s="54">
        <v>42448</v>
      </c>
      <c r="J98" s="54">
        <v>42453</v>
      </c>
      <c r="K98" s="51" t="s">
        <v>525</v>
      </c>
      <c r="L98" s="51">
        <v>0.75</v>
      </c>
      <c r="M98" s="51" t="s">
        <v>540</v>
      </c>
      <c r="N98" s="51" t="s">
        <v>529</v>
      </c>
      <c r="O98" s="51" t="s">
        <v>524</v>
      </c>
      <c r="P98" s="49" t="s">
        <v>23</v>
      </c>
      <c r="Q98" s="49" t="s">
        <v>31</v>
      </c>
      <c r="R98" s="49" t="s">
        <v>113</v>
      </c>
      <c r="S98" s="49">
        <v>5</v>
      </c>
      <c r="T98" s="49">
        <v>9</v>
      </c>
      <c r="U98" s="63">
        <v>41</v>
      </c>
      <c r="V98" s="63">
        <v>369</v>
      </c>
    </row>
    <row r="99" spans="1:22" x14ac:dyDescent="0.25">
      <c r="A99" s="49">
        <v>4452</v>
      </c>
      <c r="B99" s="49" t="s">
        <v>14</v>
      </c>
      <c r="C99" s="49" t="s">
        <v>175</v>
      </c>
      <c r="D99" s="49" t="s">
        <v>72</v>
      </c>
      <c r="E99" s="49" t="s">
        <v>172</v>
      </c>
      <c r="F99" s="49">
        <v>2013</v>
      </c>
      <c r="G99" s="50">
        <v>42448.375</v>
      </c>
      <c r="H99" s="50">
        <v>42453.75</v>
      </c>
      <c r="I99" s="54">
        <v>42448</v>
      </c>
      <c r="J99" s="54">
        <v>42453</v>
      </c>
      <c r="K99" s="51" t="s">
        <v>525</v>
      </c>
      <c r="L99" s="51">
        <v>0.75</v>
      </c>
      <c r="M99" s="51" t="s">
        <v>540</v>
      </c>
      <c r="N99" s="51" t="s">
        <v>529</v>
      </c>
      <c r="O99" s="51" t="s">
        <v>524</v>
      </c>
      <c r="P99" s="49" t="s">
        <v>9</v>
      </c>
      <c r="Q99" s="49" t="s">
        <v>190</v>
      </c>
      <c r="R99" s="49" t="s">
        <v>109</v>
      </c>
      <c r="S99" s="49">
        <v>5</v>
      </c>
      <c r="T99" s="49">
        <v>8</v>
      </c>
      <c r="U99" s="63">
        <v>33</v>
      </c>
      <c r="V99" s="63">
        <v>264</v>
      </c>
    </row>
    <row r="100" spans="1:22" x14ac:dyDescent="0.25">
      <c r="A100" s="49">
        <v>4453</v>
      </c>
      <c r="B100" s="49" t="s">
        <v>39</v>
      </c>
      <c r="C100" s="49" t="s">
        <v>177</v>
      </c>
      <c r="D100" s="49" t="s">
        <v>73</v>
      </c>
      <c r="E100" s="49" t="s">
        <v>169</v>
      </c>
      <c r="F100" s="49">
        <v>2013</v>
      </c>
      <c r="G100" s="50">
        <v>42448.375</v>
      </c>
      <c r="H100" s="50">
        <v>42453.75</v>
      </c>
      <c r="I100" s="54">
        <v>42448</v>
      </c>
      <c r="J100" s="54">
        <v>42453</v>
      </c>
      <c r="K100" s="51" t="s">
        <v>525</v>
      </c>
      <c r="L100" s="51">
        <v>0.75</v>
      </c>
      <c r="M100" s="51" t="s">
        <v>540</v>
      </c>
      <c r="N100" s="51" t="s">
        <v>529</v>
      </c>
      <c r="O100" s="51" t="s">
        <v>524</v>
      </c>
      <c r="P100" s="49" t="s">
        <v>23</v>
      </c>
      <c r="Q100" s="49" t="s">
        <v>28</v>
      </c>
      <c r="R100" s="49" t="s">
        <v>109</v>
      </c>
      <c r="S100" s="49">
        <v>4</v>
      </c>
      <c r="T100" s="49">
        <v>12</v>
      </c>
      <c r="U100" s="63">
        <v>61</v>
      </c>
      <c r="V100" s="63">
        <v>732</v>
      </c>
    </row>
    <row r="101" spans="1:22" x14ac:dyDescent="0.25">
      <c r="A101" s="49">
        <v>4454</v>
      </c>
      <c r="B101" s="49" t="s">
        <v>39</v>
      </c>
      <c r="C101" s="49" t="s">
        <v>177</v>
      </c>
      <c r="D101" s="49" t="s">
        <v>72</v>
      </c>
      <c r="E101" s="49" t="s">
        <v>172</v>
      </c>
      <c r="F101" s="49">
        <v>2013</v>
      </c>
      <c r="G101" s="50">
        <v>42448.375</v>
      </c>
      <c r="H101" s="50">
        <v>42453.75</v>
      </c>
      <c r="I101" s="54">
        <v>42448</v>
      </c>
      <c r="J101" s="54">
        <v>42453</v>
      </c>
      <c r="K101" s="51" t="s">
        <v>525</v>
      </c>
      <c r="L101" s="51">
        <v>0.75</v>
      </c>
      <c r="M101" s="51" t="s">
        <v>540</v>
      </c>
      <c r="N101" s="51" t="s">
        <v>529</v>
      </c>
      <c r="O101" s="51" t="s">
        <v>524</v>
      </c>
      <c r="P101" s="49" t="s">
        <v>9</v>
      </c>
      <c r="Q101" s="49" t="s">
        <v>12</v>
      </c>
      <c r="R101" s="49" t="s">
        <v>113</v>
      </c>
      <c r="S101" s="49">
        <v>3</v>
      </c>
      <c r="T101" s="49">
        <v>11</v>
      </c>
      <c r="U101" s="63">
        <v>33</v>
      </c>
      <c r="V101" s="63">
        <v>363</v>
      </c>
    </row>
    <row r="102" spans="1:22" x14ac:dyDescent="0.25">
      <c r="A102" s="49">
        <v>4455</v>
      </c>
      <c r="B102" s="49" t="s">
        <v>45</v>
      </c>
      <c r="C102" s="49" t="s">
        <v>177</v>
      </c>
      <c r="D102" s="49" t="s">
        <v>73</v>
      </c>
      <c r="E102" s="49" t="s">
        <v>169</v>
      </c>
      <c r="F102" s="49">
        <v>2013</v>
      </c>
      <c r="G102" s="50">
        <v>42450.791666666664</v>
      </c>
      <c r="H102" s="50">
        <v>42461.958333333336</v>
      </c>
      <c r="I102" s="54">
        <v>42450</v>
      </c>
      <c r="J102" s="54">
        <v>42461</v>
      </c>
      <c r="K102" s="51" t="s">
        <v>526</v>
      </c>
      <c r="L102" s="51">
        <v>0.95833333333333337</v>
      </c>
      <c r="M102" s="51" t="s">
        <v>541</v>
      </c>
      <c r="N102" s="51" t="s">
        <v>529</v>
      </c>
      <c r="O102" s="51" t="s">
        <v>524</v>
      </c>
      <c r="P102" s="49" t="s">
        <v>23</v>
      </c>
      <c r="Q102" s="49" t="s">
        <v>24</v>
      </c>
      <c r="R102" s="49" t="s">
        <v>113</v>
      </c>
      <c r="S102" s="49">
        <v>3</v>
      </c>
      <c r="T102" s="49">
        <v>10</v>
      </c>
      <c r="U102" s="63">
        <v>61</v>
      </c>
      <c r="V102" s="63">
        <v>610</v>
      </c>
    </row>
    <row r="103" spans="1:22" x14ac:dyDescent="0.25">
      <c r="A103" s="49">
        <v>4456</v>
      </c>
      <c r="B103" s="49" t="s">
        <v>7</v>
      </c>
      <c r="C103" s="49" t="s">
        <v>175</v>
      </c>
      <c r="D103" s="49" t="s">
        <v>75</v>
      </c>
      <c r="E103" s="49" t="s">
        <v>174</v>
      </c>
      <c r="F103" s="49">
        <v>2013</v>
      </c>
      <c r="G103" s="50">
        <v>42450.791666666664</v>
      </c>
      <c r="H103" s="50">
        <v>42461.958333333336</v>
      </c>
      <c r="I103" s="54">
        <v>42450</v>
      </c>
      <c r="J103" s="54">
        <v>42461</v>
      </c>
      <c r="K103" s="51" t="s">
        <v>526</v>
      </c>
      <c r="L103" s="51">
        <v>0.95833333333333337</v>
      </c>
      <c r="M103" s="51" t="s">
        <v>541</v>
      </c>
      <c r="N103" s="51" t="s">
        <v>529</v>
      </c>
      <c r="O103" s="51" t="s">
        <v>524</v>
      </c>
      <c r="P103" s="49" t="s">
        <v>9</v>
      </c>
      <c r="Q103" s="49" t="s">
        <v>35</v>
      </c>
      <c r="R103" s="49" t="s">
        <v>109</v>
      </c>
      <c r="S103" s="49">
        <v>2</v>
      </c>
      <c r="T103" s="49">
        <v>9</v>
      </c>
      <c r="U103" s="63">
        <v>52</v>
      </c>
      <c r="V103" s="63">
        <v>468</v>
      </c>
    </row>
    <row r="104" spans="1:22" x14ac:dyDescent="0.25">
      <c r="A104" s="49">
        <v>4457</v>
      </c>
      <c r="B104" s="49" t="s">
        <v>29</v>
      </c>
      <c r="C104" s="49" t="s">
        <v>177</v>
      </c>
      <c r="D104" s="49" t="s">
        <v>71</v>
      </c>
      <c r="E104" s="49" t="s">
        <v>170</v>
      </c>
      <c r="F104" s="49">
        <v>2013</v>
      </c>
      <c r="G104" s="50">
        <v>42450.791666666664</v>
      </c>
      <c r="H104" s="50">
        <v>42461.958333333336</v>
      </c>
      <c r="I104" s="54">
        <v>42450</v>
      </c>
      <c r="J104" s="54">
        <v>42461</v>
      </c>
      <c r="K104" s="51" t="s">
        <v>526</v>
      </c>
      <c r="L104" s="51">
        <v>0.95833333333333337</v>
      </c>
      <c r="M104" s="51" t="s">
        <v>541</v>
      </c>
      <c r="N104" s="51" t="s">
        <v>529</v>
      </c>
      <c r="O104" s="51" t="s">
        <v>524</v>
      </c>
      <c r="P104" s="49" t="s">
        <v>9</v>
      </c>
      <c r="Q104" s="49" t="s">
        <v>190</v>
      </c>
      <c r="R104" s="49" t="s">
        <v>109</v>
      </c>
      <c r="S104" s="49">
        <v>5</v>
      </c>
      <c r="T104" s="49">
        <v>10</v>
      </c>
      <c r="U104" s="63">
        <v>41</v>
      </c>
      <c r="V104" s="63">
        <v>410</v>
      </c>
    </row>
    <row r="105" spans="1:22" x14ac:dyDescent="0.25">
      <c r="A105" s="49">
        <v>4458</v>
      </c>
      <c r="B105" s="49" t="s">
        <v>17</v>
      </c>
      <c r="C105" s="49" t="s">
        <v>176</v>
      </c>
      <c r="D105" s="49" t="s">
        <v>66</v>
      </c>
      <c r="E105" s="49" t="s">
        <v>169</v>
      </c>
      <c r="F105" s="49">
        <v>2013</v>
      </c>
      <c r="G105" s="50">
        <v>42453.375</v>
      </c>
      <c r="H105" s="50">
        <v>42459.75</v>
      </c>
      <c r="I105" s="54">
        <v>42453</v>
      </c>
      <c r="J105" s="54">
        <v>42459</v>
      </c>
      <c r="K105" s="51" t="s">
        <v>525</v>
      </c>
      <c r="L105" s="51">
        <v>0.75</v>
      </c>
      <c r="M105" s="51" t="s">
        <v>540</v>
      </c>
      <c r="N105" s="51" t="s">
        <v>529</v>
      </c>
      <c r="O105" s="51" t="s">
        <v>524</v>
      </c>
      <c r="P105" s="49" t="s">
        <v>23</v>
      </c>
      <c r="Q105" s="49" t="s">
        <v>16</v>
      </c>
      <c r="R105" s="49" t="s">
        <v>109</v>
      </c>
      <c r="S105" s="49">
        <v>2</v>
      </c>
      <c r="T105" s="49">
        <v>12</v>
      </c>
      <c r="U105" s="63">
        <v>47</v>
      </c>
      <c r="V105" s="63">
        <v>564</v>
      </c>
    </row>
    <row r="106" spans="1:22" x14ac:dyDescent="0.25">
      <c r="A106" s="49">
        <v>4459</v>
      </c>
      <c r="B106" s="49" t="s">
        <v>19</v>
      </c>
      <c r="C106" s="49" t="s">
        <v>176</v>
      </c>
      <c r="D106" s="49" t="s">
        <v>63</v>
      </c>
      <c r="E106" s="49" t="s">
        <v>172</v>
      </c>
      <c r="F106" s="49">
        <v>2013</v>
      </c>
      <c r="G106" s="50">
        <v>42453.375</v>
      </c>
      <c r="H106" s="50">
        <v>42459.75</v>
      </c>
      <c r="I106" s="54">
        <v>42453</v>
      </c>
      <c r="J106" s="54">
        <v>42459</v>
      </c>
      <c r="K106" s="51" t="s">
        <v>525</v>
      </c>
      <c r="L106" s="51">
        <v>0.75</v>
      </c>
      <c r="M106" s="51" t="s">
        <v>540</v>
      </c>
      <c r="N106" s="51" t="s">
        <v>529</v>
      </c>
      <c r="O106" s="51" t="s">
        <v>524</v>
      </c>
      <c r="P106" s="49" t="s">
        <v>23</v>
      </c>
      <c r="Q106" s="49" t="s">
        <v>28</v>
      </c>
      <c r="R106" s="49" t="s">
        <v>109</v>
      </c>
      <c r="S106" s="49">
        <v>4</v>
      </c>
      <c r="T106" s="49">
        <v>12</v>
      </c>
      <c r="U106" s="63">
        <v>51</v>
      </c>
      <c r="V106" s="63">
        <v>612</v>
      </c>
    </row>
    <row r="107" spans="1:22" x14ac:dyDescent="0.25">
      <c r="A107" s="49">
        <v>4460</v>
      </c>
      <c r="B107" s="49" t="s">
        <v>22</v>
      </c>
      <c r="C107" s="49" t="s">
        <v>176</v>
      </c>
      <c r="D107" s="49" t="s">
        <v>68</v>
      </c>
      <c r="E107" s="49" t="s">
        <v>172</v>
      </c>
      <c r="F107" s="49">
        <v>2013</v>
      </c>
      <c r="G107" s="50">
        <v>42454.333333333336</v>
      </c>
      <c r="H107" s="50">
        <v>42467.5</v>
      </c>
      <c r="I107" s="54">
        <v>42454</v>
      </c>
      <c r="J107" s="54">
        <v>42467</v>
      </c>
      <c r="K107" s="51" t="s">
        <v>522</v>
      </c>
      <c r="L107" s="51">
        <v>0.5</v>
      </c>
      <c r="M107" s="51" t="s">
        <v>539</v>
      </c>
      <c r="N107" s="51" t="s">
        <v>529</v>
      </c>
      <c r="O107" s="51" t="s">
        <v>524</v>
      </c>
      <c r="P107" s="49" t="s">
        <v>9</v>
      </c>
      <c r="Q107" s="49" t="s">
        <v>38</v>
      </c>
      <c r="R107" s="49" t="s">
        <v>113</v>
      </c>
      <c r="S107" s="49">
        <v>2</v>
      </c>
      <c r="T107" s="49">
        <v>9</v>
      </c>
      <c r="U107" s="63">
        <v>42</v>
      </c>
      <c r="V107" s="63">
        <v>378</v>
      </c>
    </row>
    <row r="108" spans="1:22" x14ac:dyDescent="0.25">
      <c r="A108" s="49">
        <v>4461</v>
      </c>
      <c r="B108" s="49" t="s">
        <v>29</v>
      </c>
      <c r="C108" s="49" t="s">
        <v>177</v>
      </c>
      <c r="D108" s="49" t="s">
        <v>62</v>
      </c>
      <c r="E108" s="49" t="s">
        <v>172</v>
      </c>
      <c r="F108" s="49">
        <v>2013</v>
      </c>
      <c r="G108" s="50">
        <v>42454.333333333336</v>
      </c>
      <c r="H108" s="50">
        <v>42467.5</v>
      </c>
      <c r="I108" s="54">
        <v>42454</v>
      </c>
      <c r="J108" s="54">
        <v>42467</v>
      </c>
      <c r="K108" s="51" t="s">
        <v>522</v>
      </c>
      <c r="L108" s="51">
        <v>0.5</v>
      </c>
      <c r="M108" s="51" t="s">
        <v>539</v>
      </c>
      <c r="N108" s="51" t="s">
        <v>529</v>
      </c>
      <c r="O108" s="51" t="s">
        <v>524</v>
      </c>
      <c r="P108" s="49" t="s">
        <v>9</v>
      </c>
      <c r="Q108" s="49" t="s">
        <v>18</v>
      </c>
      <c r="R108" s="49" t="s">
        <v>113</v>
      </c>
      <c r="S108" s="49" t="s">
        <v>191</v>
      </c>
      <c r="T108" s="49">
        <v>11</v>
      </c>
      <c r="U108" s="63">
        <v>61</v>
      </c>
      <c r="V108" s="63">
        <v>671</v>
      </c>
    </row>
    <row r="109" spans="1:22" x14ac:dyDescent="0.25">
      <c r="A109" s="49">
        <v>4462</v>
      </c>
      <c r="B109" s="49" t="s">
        <v>11</v>
      </c>
      <c r="C109" s="49" t="s">
        <v>175</v>
      </c>
      <c r="D109" s="49" t="s">
        <v>75</v>
      </c>
      <c r="E109" s="49" t="s">
        <v>174</v>
      </c>
      <c r="F109" s="49">
        <v>2013</v>
      </c>
      <c r="G109" s="50">
        <v>42454.333333333336</v>
      </c>
      <c r="H109" s="50">
        <v>42467.5</v>
      </c>
      <c r="I109" s="54">
        <v>42454</v>
      </c>
      <c r="J109" s="54">
        <v>42467</v>
      </c>
      <c r="K109" s="51" t="s">
        <v>522</v>
      </c>
      <c r="L109" s="51">
        <v>0.5</v>
      </c>
      <c r="M109" s="51" t="s">
        <v>539</v>
      </c>
      <c r="N109" s="51" t="s">
        <v>529</v>
      </c>
      <c r="O109" s="51" t="s">
        <v>524</v>
      </c>
      <c r="P109" s="49" t="s">
        <v>9</v>
      </c>
      <c r="Q109" s="49" t="s">
        <v>38</v>
      </c>
      <c r="R109" s="49" t="s">
        <v>113</v>
      </c>
      <c r="S109" s="49">
        <v>2</v>
      </c>
      <c r="T109" s="49">
        <v>9</v>
      </c>
      <c r="U109" s="63">
        <v>52</v>
      </c>
      <c r="V109" s="63">
        <v>468</v>
      </c>
    </row>
    <row r="110" spans="1:22" x14ac:dyDescent="0.25">
      <c r="A110" s="49">
        <v>4463</v>
      </c>
      <c r="B110" s="49" t="s">
        <v>19</v>
      </c>
      <c r="C110" s="49" t="s">
        <v>176</v>
      </c>
      <c r="D110" s="49" t="s">
        <v>71</v>
      </c>
      <c r="E110" s="49" t="s">
        <v>170</v>
      </c>
      <c r="F110" s="49">
        <v>2013</v>
      </c>
      <c r="G110" s="50">
        <v>42454.333333333336</v>
      </c>
      <c r="H110" s="50">
        <v>42467.5</v>
      </c>
      <c r="I110" s="54">
        <v>42454</v>
      </c>
      <c r="J110" s="54">
        <v>42467</v>
      </c>
      <c r="K110" s="51" t="s">
        <v>522</v>
      </c>
      <c r="L110" s="51">
        <v>0.5</v>
      </c>
      <c r="M110" s="51" t="s">
        <v>539</v>
      </c>
      <c r="N110" s="51" t="s">
        <v>529</v>
      </c>
      <c r="O110" s="51" t="s">
        <v>524</v>
      </c>
      <c r="P110" s="49" t="s">
        <v>9</v>
      </c>
      <c r="Q110" s="49" t="s">
        <v>12</v>
      </c>
      <c r="R110" s="49" t="s">
        <v>113</v>
      </c>
      <c r="S110" s="49">
        <v>2</v>
      </c>
      <c r="T110" s="49">
        <v>9</v>
      </c>
      <c r="U110" s="63">
        <v>41</v>
      </c>
      <c r="V110" s="63">
        <v>369</v>
      </c>
    </row>
    <row r="111" spans="1:22" x14ac:dyDescent="0.25">
      <c r="A111" s="49">
        <v>4464</v>
      </c>
      <c r="B111" s="49" t="s">
        <v>14</v>
      </c>
      <c r="C111" s="49" t="s">
        <v>175</v>
      </c>
      <c r="D111" s="49" t="s">
        <v>64</v>
      </c>
      <c r="E111" s="49" t="s">
        <v>172</v>
      </c>
      <c r="F111" s="49">
        <v>2013</v>
      </c>
      <c r="G111" s="50">
        <v>42457.791666666664</v>
      </c>
      <c r="H111" s="50">
        <v>42468.958333333336</v>
      </c>
      <c r="I111" s="54">
        <v>42457</v>
      </c>
      <c r="J111" s="54">
        <v>42468</v>
      </c>
      <c r="K111" s="51" t="s">
        <v>526</v>
      </c>
      <c r="L111" s="51">
        <v>0.95833333333333337</v>
      </c>
      <c r="M111" s="51" t="s">
        <v>541</v>
      </c>
      <c r="N111" s="51" t="s">
        <v>529</v>
      </c>
      <c r="O111" s="51" t="s">
        <v>524</v>
      </c>
      <c r="P111" s="49" t="s">
        <v>23</v>
      </c>
      <c r="Q111" s="49" t="s">
        <v>16</v>
      </c>
      <c r="R111" s="49" t="s">
        <v>109</v>
      </c>
      <c r="S111" s="49">
        <v>3</v>
      </c>
      <c r="T111" s="49">
        <v>9</v>
      </c>
      <c r="U111" s="63">
        <v>73</v>
      </c>
      <c r="V111" s="63">
        <v>657</v>
      </c>
    </row>
    <row r="112" spans="1:22" x14ac:dyDescent="0.25">
      <c r="A112" s="49">
        <v>4465</v>
      </c>
      <c r="B112" s="49" t="s">
        <v>22</v>
      </c>
      <c r="C112" s="49" t="s">
        <v>176</v>
      </c>
      <c r="D112" s="49" t="s">
        <v>75</v>
      </c>
      <c r="E112" s="49" t="s">
        <v>174</v>
      </c>
      <c r="F112" s="49">
        <v>2013</v>
      </c>
      <c r="G112" s="50">
        <v>42458.791666666664</v>
      </c>
      <c r="H112" s="50">
        <v>42471.958333333336</v>
      </c>
      <c r="I112" s="54">
        <v>42458</v>
      </c>
      <c r="J112" s="54">
        <v>42471</v>
      </c>
      <c r="K112" s="51" t="s">
        <v>526</v>
      </c>
      <c r="L112" s="51">
        <v>0.95833333333333337</v>
      </c>
      <c r="M112" s="51" t="s">
        <v>541</v>
      </c>
      <c r="N112" s="51" t="s">
        <v>529</v>
      </c>
      <c r="O112" s="51" t="s">
        <v>524</v>
      </c>
      <c r="P112" s="49" t="s">
        <v>9</v>
      </c>
      <c r="Q112" s="49" t="s">
        <v>28</v>
      </c>
      <c r="R112" s="49" t="s">
        <v>109</v>
      </c>
      <c r="S112" s="49">
        <v>5</v>
      </c>
      <c r="T112" s="49">
        <v>8</v>
      </c>
      <c r="U112" s="63">
        <v>52</v>
      </c>
      <c r="V112" s="63">
        <v>416</v>
      </c>
    </row>
    <row r="113" spans="1:22" x14ac:dyDescent="0.25">
      <c r="A113" s="49">
        <v>4466</v>
      </c>
      <c r="B113" s="49" t="s">
        <v>45</v>
      </c>
      <c r="C113" s="49" t="s">
        <v>177</v>
      </c>
      <c r="D113" s="49" t="s">
        <v>65</v>
      </c>
      <c r="E113" s="49" t="s">
        <v>173</v>
      </c>
      <c r="F113" s="49">
        <v>2013</v>
      </c>
      <c r="G113" s="50">
        <v>42459.583333333336</v>
      </c>
      <c r="H113" s="50">
        <v>42472.75</v>
      </c>
      <c r="I113" s="54">
        <v>42459</v>
      </c>
      <c r="J113" s="54">
        <v>42472</v>
      </c>
      <c r="K113" s="51" t="s">
        <v>527</v>
      </c>
      <c r="L113" s="51">
        <v>0.75</v>
      </c>
      <c r="M113" s="51" t="s">
        <v>542</v>
      </c>
      <c r="N113" s="51" t="s">
        <v>529</v>
      </c>
      <c r="O113" s="51" t="s">
        <v>524</v>
      </c>
      <c r="P113" s="49" t="s">
        <v>23</v>
      </c>
      <c r="Q113" s="49" t="s">
        <v>190</v>
      </c>
      <c r="R113" s="49" t="s">
        <v>109</v>
      </c>
      <c r="S113" s="49">
        <v>5</v>
      </c>
      <c r="T113" s="49">
        <v>9</v>
      </c>
      <c r="U113" s="63">
        <v>31</v>
      </c>
      <c r="V113" s="63">
        <v>279</v>
      </c>
    </row>
    <row r="114" spans="1:22" x14ac:dyDescent="0.25">
      <c r="A114" s="49">
        <v>4467</v>
      </c>
      <c r="B114" s="49" t="s">
        <v>17</v>
      </c>
      <c r="C114" s="49" t="s">
        <v>176</v>
      </c>
      <c r="D114" s="49" t="s">
        <v>62</v>
      </c>
      <c r="E114" s="49" t="s">
        <v>172</v>
      </c>
      <c r="F114" s="49">
        <v>2013</v>
      </c>
      <c r="G114" s="50">
        <v>42459.583333333336</v>
      </c>
      <c r="H114" s="50">
        <v>42472.75</v>
      </c>
      <c r="I114" s="54">
        <v>42459</v>
      </c>
      <c r="J114" s="54">
        <v>42472</v>
      </c>
      <c r="K114" s="51" t="s">
        <v>527</v>
      </c>
      <c r="L114" s="51">
        <v>0.75</v>
      </c>
      <c r="M114" s="51" t="s">
        <v>542</v>
      </c>
      <c r="N114" s="51" t="s">
        <v>529</v>
      </c>
      <c r="O114" s="51" t="s">
        <v>524</v>
      </c>
      <c r="P114" s="49" t="s">
        <v>9</v>
      </c>
      <c r="Q114" s="49" t="s">
        <v>24</v>
      </c>
      <c r="R114" s="49" t="s">
        <v>113</v>
      </c>
      <c r="S114" s="49">
        <v>4</v>
      </c>
      <c r="T114" s="49">
        <v>8</v>
      </c>
      <c r="U114" s="63">
        <v>61</v>
      </c>
      <c r="V114" s="63">
        <v>488</v>
      </c>
    </row>
    <row r="115" spans="1:22" x14ac:dyDescent="0.25">
      <c r="A115" s="49">
        <v>4468</v>
      </c>
      <c r="B115" s="49" t="s">
        <v>11</v>
      </c>
      <c r="C115" s="49" t="s">
        <v>175</v>
      </c>
      <c r="D115" s="49" t="s">
        <v>75</v>
      </c>
      <c r="E115" s="49" t="s">
        <v>174</v>
      </c>
      <c r="F115" s="49">
        <v>2013</v>
      </c>
      <c r="G115" s="50">
        <v>42459.583333333336</v>
      </c>
      <c r="H115" s="50">
        <v>42472.75</v>
      </c>
      <c r="I115" s="54">
        <v>42459</v>
      </c>
      <c r="J115" s="54">
        <v>42472</v>
      </c>
      <c r="K115" s="51" t="s">
        <v>527</v>
      </c>
      <c r="L115" s="51">
        <v>0.75</v>
      </c>
      <c r="M115" s="51" t="s">
        <v>542</v>
      </c>
      <c r="N115" s="51" t="s">
        <v>529</v>
      </c>
      <c r="O115" s="51" t="s">
        <v>524</v>
      </c>
      <c r="P115" s="49" t="s">
        <v>23</v>
      </c>
      <c r="Q115" s="49" t="s">
        <v>190</v>
      </c>
      <c r="R115" s="49" t="s">
        <v>109</v>
      </c>
      <c r="S115" s="49">
        <v>2</v>
      </c>
      <c r="T115" s="49">
        <v>11</v>
      </c>
      <c r="U115" s="63">
        <v>52</v>
      </c>
      <c r="V115" s="63">
        <v>572</v>
      </c>
    </row>
    <row r="116" spans="1:22" x14ac:dyDescent="0.25">
      <c r="A116" s="49">
        <v>4469</v>
      </c>
      <c r="B116" s="49" t="s">
        <v>17</v>
      </c>
      <c r="C116" s="49" t="s">
        <v>176</v>
      </c>
      <c r="D116" s="49" t="s">
        <v>62</v>
      </c>
      <c r="E116" s="49" t="s">
        <v>172</v>
      </c>
      <c r="F116" s="49">
        <v>2013</v>
      </c>
      <c r="G116" s="50">
        <v>42460.375</v>
      </c>
      <c r="H116" s="50">
        <v>42466.75</v>
      </c>
      <c r="I116" s="54">
        <v>42460</v>
      </c>
      <c r="J116" s="54">
        <v>42466</v>
      </c>
      <c r="K116" s="51" t="s">
        <v>525</v>
      </c>
      <c r="L116" s="51">
        <v>0.75</v>
      </c>
      <c r="M116" s="51" t="s">
        <v>540</v>
      </c>
      <c r="N116" s="51" t="s">
        <v>529</v>
      </c>
      <c r="O116" s="51" t="s">
        <v>524</v>
      </c>
      <c r="P116" s="49" t="s">
        <v>23</v>
      </c>
      <c r="Q116" s="49" t="s">
        <v>18</v>
      </c>
      <c r="R116" s="49" t="s">
        <v>113</v>
      </c>
      <c r="S116" s="49">
        <v>5</v>
      </c>
      <c r="T116" s="49">
        <v>12</v>
      </c>
      <c r="U116" s="63">
        <v>61</v>
      </c>
      <c r="V116" s="63">
        <v>732</v>
      </c>
    </row>
    <row r="117" spans="1:22" x14ac:dyDescent="0.25">
      <c r="A117" s="49">
        <v>4470</v>
      </c>
      <c r="B117" s="49" t="s">
        <v>39</v>
      </c>
      <c r="C117" s="49" t="s">
        <v>177</v>
      </c>
      <c r="D117" s="49" t="s">
        <v>62</v>
      </c>
      <c r="E117" s="49" t="s">
        <v>172</v>
      </c>
      <c r="F117" s="49">
        <v>2013</v>
      </c>
      <c r="G117" s="50">
        <v>42461.333333333336</v>
      </c>
      <c r="H117" s="50">
        <v>42474.5</v>
      </c>
      <c r="I117" s="54">
        <v>42461</v>
      </c>
      <c r="J117" s="54">
        <v>42474</v>
      </c>
      <c r="K117" s="51" t="s">
        <v>522</v>
      </c>
      <c r="L117" s="51">
        <v>0.5</v>
      </c>
      <c r="M117" s="51" t="s">
        <v>539</v>
      </c>
      <c r="N117" s="51" t="s">
        <v>530</v>
      </c>
      <c r="O117" s="51" t="s">
        <v>524</v>
      </c>
      <c r="P117" s="49" t="s">
        <v>23</v>
      </c>
      <c r="Q117" s="49" t="s">
        <v>190</v>
      </c>
      <c r="R117" s="49" t="s">
        <v>109</v>
      </c>
      <c r="S117" s="49">
        <v>3</v>
      </c>
      <c r="T117" s="49">
        <v>8</v>
      </c>
      <c r="U117" s="63">
        <v>61</v>
      </c>
      <c r="V117" s="63">
        <v>488</v>
      </c>
    </row>
    <row r="118" spans="1:22" x14ac:dyDescent="0.25">
      <c r="A118" s="49">
        <v>4471</v>
      </c>
      <c r="B118" s="49" t="s">
        <v>22</v>
      </c>
      <c r="C118" s="49" t="s">
        <v>176</v>
      </c>
      <c r="D118" s="49" t="s">
        <v>65</v>
      </c>
      <c r="E118" s="49" t="s">
        <v>173</v>
      </c>
      <c r="F118" s="49">
        <v>2013</v>
      </c>
      <c r="G118" s="50">
        <v>42461.333333333336</v>
      </c>
      <c r="H118" s="50">
        <v>42474.5</v>
      </c>
      <c r="I118" s="54">
        <v>42461</v>
      </c>
      <c r="J118" s="54">
        <v>42474</v>
      </c>
      <c r="K118" s="51" t="s">
        <v>522</v>
      </c>
      <c r="L118" s="51">
        <v>0.5</v>
      </c>
      <c r="M118" s="51" t="s">
        <v>539</v>
      </c>
      <c r="N118" s="51" t="s">
        <v>530</v>
      </c>
      <c r="O118" s="51" t="s">
        <v>524</v>
      </c>
      <c r="P118" s="49" t="s">
        <v>9</v>
      </c>
      <c r="Q118" s="49" t="s">
        <v>12</v>
      </c>
      <c r="R118" s="49" t="s">
        <v>113</v>
      </c>
      <c r="S118" s="49">
        <v>2</v>
      </c>
      <c r="T118" s="49">
        <v>12</v>
      </c>
      <c r="U118" s="63">
        <v>31</v>
      </c>
      <c r="V118" s="63">
        <v>372</v>
      </c>
    </row>
    <row r="119" spans="1:22" x14ac:dyDescent="0.25">
      <c r="A119" s="49">
        <v>4472</v>
      </c>
      <c r="B119" s="49" t="s">
        <v>14</v>
      </c>
      <c r="C119" s="49" t="s">
        <v>175</v>
      </c>
      <c r="D119" s="49" t="s">
        <v>64</v>
      </c>
      <c r="E119" s="49" t="s">
        <v>172</v>
      </c>
      <c r="F119" s="49">
        <v>2013</v>
      </c>
      <c r="G119" s="50">
        <v>42461.333333333336</v>
      </c>
      <c r="H119" s="50">
        <v>42474.5</v>
      </c>
      <c r="I119" s="54">
        <v>42461</v>
      </c>
      <c r="J119" s="54">
        <v>42474</v>
      </c>
      <c r="K119" s="51" t="s">
        <v>522</v>
      </c>
      <c r="L119" s="51">
        <v>0.5</v>
      </c>
      <c r="M119" s="51" t="s">
        <v>539</v>
      </c>
      <c r="N119" s="51" t="s">
        <v>530</v>
      </c>
      <c r="O119" s="51" t="s">
        <v>524</v>
      </c>
      <c r="P119" s="49" t="s">
        <v>23</v>
      </c>
      <c r="Q119" s="49" t="s">
        <v>190</v>
      </c>
      <c r="R119" s="49" t="s">
        <v>109</v>
      </c>
      <c r="S119" s="49">
        <v>2</v>
      </c>
      <c r="T119" s="49">
        <v>12</v>
      </c>
      <c r="U119" s="63">
        <v>73</v>
      </c>
      <c r="V119" s="63">
        <v>876</v>
      </c>
    </row>
    <row r="120" spans="1:22" x14ac:dyDescent="0.25">
      <c r="A120" s="49">
        <v>4473</v>
      </c>
      <c r="B120" s="49" t="s">
        <v>17</v>
      </c>
      <c r="C120" s="49" t="s">
        <v>176</v>
      </c>
      <c r="D120" s="49" t="s">
        <v>65</v>
      </c>
      <c r="E120" s="49" t="s">
        <v>173</v>
      </c>
      <c r="F120" s="49">
        <v>2013</v>
      </c>
      <c r="G120" s="50">
        <v>42462.375</v>
      </c>
      <c r="H120" s="50">
        <v>42467.75</v>
      </c>
      <c r="I120" s="54">
        <v>42462</v>
      </c>
      <c r="J120" s="54">
        <v>42467</v>
      </c>
      <c r="K120" s="51" t="s">
        <v>525</v>
      </c>
      <c r="L120" s="51">
        <v>0.75</v>
      </c>
      <c r="M120" s="51" t="s">
        <v>540</v>
      </c>
      <c r="N120" s="51" t="s">
        <v>530</v>
      </c>
      <c r="O120" s="51" t="s">
        <v>524</v>
      </c>
      <c r="P120" s="49" t="s">
        <v>23</v>
      </c>
      <c r="Q120" s="49" t="s">
        <v>38</v>
      </c>
      <c r="R120" s="49" t="s">
        <v>113</v>
      </c>
      <c r="S120" s="49">
        <v>3</v>
      </c>
      <c r="T120" s="49">
        <v>9</v>
      </c>
      <c r="U120" s="63">
        <v>31</v>
      </c>
      <c r="V120" s="63">
        <v>279</v>
      </c>
    </row>
    <row r="121" spans="1:22" x14ac:dyDescent="0.25">
      <c r="A121" s="49">
        <v>4474</v>
      </c>
      <c r="B121" s="49" t="s">
        <v>39</v>
      </c>
      <c r="C121" s="49" t="s">
        <v>177</v>
      </c>
      <c r="D121" s="49" t="s">
        <v>65</v>
      </c>
      <c r="E121" s="49" t="s">
        <v>173</v>
      </c>
      <c r="F121" s="49">
        <v>2013</v>
      </c>
      <c r="G121" s="50">
        <v>42462.375</v>
      </c>
      <c r="H121" s="50">
        <v>42467.75</v>
      </c>
      <c r="I121" s="54">
        <v>42462</v>
      </c>
      <c r="J121" s="54">
        <v>42467</v>
      </c>
      <c r="K121" s="51" t="s">
        <v>525</v>
      </c>
      <c r="L121" s="51">
        <v>0.75</v>
      </c>
      <c r="M121" s="51" t="s">
        <v>540</v>
      </c>
      <c r="N121" s="51" t="s">
        <v>530</v>
      </c>
      <c r="O121" s="51" t="s">
        <v>524</v>
      </c>
      <c r="P121" s="49" t="s">
        <v>23</v>
      </c>
      <c r="Q121" s="49" t="s">
        <v>44</v>
      </c>
      <c r="R121" s="49" t="s">
        <v>113</v>
      </c>
      <c r="S121" s="49">
        <v>3</v>
      </c>
      <c r="T121" s="49">
        <v>11</v>
      </c>
      <c r="U121" s="63">
        <v>31</v>
      </c>
      <c r="V121" s="63">
        <v>341</v>
      </c>
    </row>
    <row r="122" spans="1:22" x14ac:dyDescent="0.25">
      <c r="A122" s="49">
        <v>4475</v>
      </c>
      <c r="B122" s="49" t="s">
        <v>19</v>
      </c>
      <c r="C122" s="49" t="s">
        <v>176</v>
      </c>
      <c r="D122" s="49" t="s">
        <v>64</v>
      </c>
      <c r="E122" s="49" t="s">
        <v>172</v>
      </c>
      <c r="F122" s="49">
        <v>2013</v>
      </c>
      <c r="G122" s="50">
        <v>42464.791666666664</v>
      </c>
      <c r="H122" s="50">
        <v>42475.958333333336</v>
      </c>
      <c r="I122" s="54">
        <v>42464</v>
      </c>
      <c r="J122" s="54">
        <v>42475</v>
      </c>
      <c r="K122" s="51" t="s">
        <v>526</v>
      </c>
      <c r="L122" s="51">
        <v>0.95833333333333337</v>
      </c>
      <c r="M122" s="51" t="s">
        <v>541</v>
      </c>
      <c r="N122" s="51" t="s">
        <v>530</v>
      </c>
      <c r="O122" s="51" t="s">
        <v>524</v>
      </c>
      <c r="P122" s="49" t="s">
        <v>23</v>
      </c>
      <c r="Q122" s="49" t="s">
        <v>35</v>
      </c>
      <c r="R122" s="49" t="s">
        <v>109</v>
      </c>
      <c r="S122" s="49">
        <v>2</v>
      </c>
      <c r="T122" s="49">
        <v>8</v>
      </c>
      <c r="U122" s="63">
        <v>73</v>
      </c>
      <c r="V122" s="63">
        <v>584</v>
      </c>
    </row>
    <row r="123" spans="1:22" x14ac:dyDescent="0.25">
      <c r="A123" s="49">
        <v>4476</v>
      </c>
      <c r="B123" s="49" t="s">
        <v>29</v>
      </c>
      <c r="C123" s="49" t="s">
        <v>177</v>
      </c>
      <c r="D123" s="49" t="s">
        <v>72</v>
      </c>
      <c r="E123" s="49" t="s">
        <v>172</v>
      </c>
      <c r="F123" s="49">
        <v>2013</v>
      </c>
      <c r="G123" s="50">
        <v>42464.791666666664</v>
      </c>
      <c r="H123" s="50">
        <v>42475.958333333336</v>
      </c>
      <c r="I123" s="54">
        <v>42464</v>
      </c>
      <c r="J123" s="54">
        <v>42475</v>
      </c>
      <c r="K123" s="51" t="s">
        <v>526</v>
      </c>
      <c r="L123" s="51">
        <v>0.95833333333333337</v>
      </c>
      <c r="M123" s="51" t="s">
        <v>541</v>
      </c>
      <c r="N123" s="51" t="s">
        <v>530</v>
      </c>
      <c r="O123" s="51" t="s">
        <v>524</v>
      </c>
      <c r="P123" s="49" t="s">
        <v>23</v>
      </c>
      <c r="Q123" s="49" t="s">
        <v>26</v>
      </c>
      <c r="R123" s="49" t="s">
        <v>113</v>
      </c>
      <c r="S123" s="49">
        <v>5</v>
      </c>
      <c r="T123" s="49">
        <v>8</v>
      </c>
      <c r="U123" s="63">
        <v>33</v>
      </c>
      <c r="V123" s="63">
        <v>264</v>
      </c>
    </row>
    <row r="124" spans="1:22" x14ac:dyDescent="0.25">
      <c r="A124" s="49">
        <v>4477</v>
      </c>
      <c r="B124" s="49" t="s">
        <v>22</v>
      </c>
      <c r="C124" s="49" t="s">
        <v>176</v>
      </c>
      <c r="D124" s="49" t="s">
        <v>67</v>
      </c>
      <c r="E124" s="49" t="s">
        <v>170</v>
      </c>
      <c r="F124" s="49">
        <v>2013</v>
      </c>
      <c r="G124" s="50">
        <v>42464.791666666664</v>
      </c>
      <c r="H124" s="50">
        <v>42475.958333333336</v>
      </c>
      <c r="I124" s="54">
        <v>42464</v>
      </c>
      <c r="J124" s="54">
        <v>42475</v>
      </c>
      <c r="K124" s="51" t="s">
        <v>526</v>
      </c>
      <c r="L124" s="51">
        <v>0.95833333333333337</v>
      </c>
      <c r="M124" s="51" t="s">
        <v>541</v>
      </c>
      <c r="N124" s="51" t="s">
        <v>530</v>
      </c>
      <c r="O124" s="51" t="s">
        <v>524</v>
      </c>
      <c r="P124" s="49" t="s">
        <v>23</v>
      </c>
      <c r="Q124" s="49" t="s">
        <v>16</v>
      </c>
      <c r="R124" s="49" t="s">
        <v>109</v>
      </c>
      <c r="S124" s="49">
        <v>3</v>
      </c>
      <c r="T124" s="49">
        <v>12</v>
      </c>
      <c r="U124" s="63">
        <v>47</v>
      </c>
      <c r="V124" s="63">
        <v>564</v>
      </c>
    </row>
    <row r="125" spans="1:22" x14ac:dyDescent="0.25">
      <c r="A125" s="49">
        <v>4478</v>
      </c>
      <c r="B125" s="49" t="s">
        <v>11</v>
      </c>
      <c r="C125" s="49" t="s">
        <v>175</v>
      </c>
      <c r="D125" s="49" t="s">
        <v>75</v>
      </c>
      <c r="E125" s="49" t="s">
        <v>174</v>
      </c>
      <c r="F125" s="49">
        <v>2013</v>
      </c>
      <c r="G125" s="50">
        <v>42464.791666666664</v>
      </c>
      <c r="H125" s="50">
        <v>42475.958333333336</v>
      </c>
      <c r="I125" s="54">
        <v>42464</v>
      </c>
      <c r="J125" s="54">
        <v>42475</v>
      </c>
      <c r="K125" s="51" t="s">
        <v>526</v>
      </c>
      <c r="L125" s="51">
        <v>0.95833333333333337</v>
      </c>
      <c r="M125" s="51" t="s">
        <v>541</v>
      </c>
      <c r="N125" s="51" t="s">
        <v>530</v>
      </c>
      <c r="O125" s="51" t="s">
        <v>524</v>
      </c>
      <c r="P125" s="49" t="s">
        <v>9</v>
      </c>
      <c r="Q125" s="49" t="s">
        <v>21</v>
      </c>
      <c r="R125" s="49" t="s">
        <v>113</v>
      </c>
      <c r="S125" s="49">
        <v>2</v>
      </c>
      <c r="T125" s="49">
        <v>9</v>
      </c>
      <c r="U125" s="63">
        <v>52</v>
      </c>
      <c r="V125" s="63">
        <v>468</v>
      </c>
    </row>
    <row r="126" spans="1:22" x14ac:dyDescent="0.25">
      <c r="A126" s="49">
        <v>4479</v>
      </c>
      <c r="B126" s="49" t="s">
        <v>22</v>
      </c>
      <c r="C126" s="49" t="s">
        <v>176</v>
      </c>
      <c r="D126" s="49" t="s">
        <v>70</v>
      </c>
      <c r="E126" s="49" t="s">
        <v>174</v>
      </c>
      <c r="F126" s="49">
        <v>2013</v>
      </c>
      <c r="G126" s="50">
        <v>42464.791666666664</v>
      </c>
      <c r="H126" s="50">
        <v>42475.958333333336</v>
      </c>
      <c r="I126" s="54">
        <v>42464</v>
      </c>
      <c r="J126" s="54">
        <v>42475</v>
      </c>
      <c r="K126" s="51" t="s">
        <v>526</v>
      </c>
      <c r="L126" s="51">
        <v>0.95833333333333337</v>
      </c>
      <c r="M126" s="51" t="s">
        <v>541</v>
      </c>
      <c r="N126" s="51" t="s">
        <v>530</v>
      </c>
      <c r="O126" s="51" t="s">
        <v>524</v>
      </c>
      <c r="P126" s="49" t="s">
        <v>23</v>
      </c>
      <c r="Q126" s="49" t="s">
        <v>37</v>
      </c>
      <c r="R126" s="49" t="s">
        <v>113</v>
      </c>
      <c r="S126" s="49">
        <v>3</v>
      </c>
      <c r="T126" s="49">
        <v>8</v>
      </c>
      <c r="U126" s="63">
        <v>62</v>
      </c>
      <c r="V126" s="63">
        <v>496</v>
      </c>
    </row>
    <row r="127" spans="1:22" x14ac:dyDescent="0.25">
      <c r="A127" s="49">
        <v>4480</v>
      </c>
      <c r="B127" s="49" t="s">
        <v>17</v>
      </c>
      <c r="C127" s="49" t="s">
        <v>176</v>
      </c>
      <c r="D127" s="49" t="s">
        <v>72</v>
      </c>
      <c r="E127" s="49" t="s">
        <v>172</v>
      </c>
      <c r="F127" s="49">
        <v>2013</v>
      </c>
      <c r="G127" s="50">
        <v>42466.583333333336</v>
      </c>
      <c r="H127" s="50">
        <v>42479.75</v>
      </c>
      <c r="I127" s="54">
        <v>42466</v>
      </c>
      <c r="J127" s="54">
        <v>42479</v>
      </c>
      <c r="K127" s="51" t="s">
        <v>527</v>
      </c>
      <c r="L127" s="51">
        <v>0.75</v>
      </c>
      <c r="M127" s="51" t="s">
        <v>542</v>
      </c>
      <c r="N127" s="51" t="s">
        <v>530</v>
      </c>
      <c r="O127" s="51" t="s">
        <v>524</v>
      </c>
      <c r="P127" s="49" t="s">
        <v>9</v>
      </c>
      <c r="Q127" s="49" t="s">
        <v>26</v>
      </c>
      <c r="R127" s="49" t="s">
        <v>113</v>
      </c>
      <c r="S127" s="49">
        <v>4</v>
      </c>
      <c r="T127" s="49">
        <v>9</v>
      </c>
      <c r="U127" s="63">
        <v>33</v>
      </c>
      <c r="V127" s="63">
        <v>297</v>
      </c>
    </row>
    <row r="128" spans="1:22" x14ac:dyDescent="0.25">
      <c r="A128" s="49">
        <v>4481</v>
      </c>
      <c r="B128" s="49" t="s">
        <v>45</v>
      </c>
      <c r="C128" s="49" t="s">
        <v>177</v>
      </c>
      <c r="D128" s="49" t="s">
        <v>72</v>
      </c>
      <c r="E128" s="49" t="s">
        <v>172</v>
      </c>
      <c r="F128" s="49">
        <v>2013</v>
      </c>
      <c r="G128" s="50">
        <v>42467.375</v>
      </c>
      <c r="H128" s="50">
        <v>42473.75</v>
      </c>
      <c r="I128" s="54">
        <v>42467</v>
      </c>
      <c r="J128" s="54">
        <v>42473</v>
      </c>
      <c r="K128" s="51" t="s">
        <v>525</v>
      </c>
      <c r="L128" s="51">
        <v>0.75</v>
      </c>
      <c r="M128" s="51" t="s">
        <v>540</v>
      </c>
      <c r="N128" s="51" t="s">
        <v>530</v>
      </c>
      <c r="O128" s="51" t="s">
        <v>524</v>
      </c>
      <c r="P128" s="49" t="s">
        <v>9</v>
      </c>
      <c r="Q128" s="49" t="s">
        <v>190</v>
      </c>
      <c r="R128" s="49" t="s">
        <v>109</v>
      </c>
      <c r="S128" s="49">
        <v>5</v>
      </c>
      <c r="T128" s="49">
        <v>11</v>
      </c>
      <c r="U128" s="63">
        <v>33</v>
      </c>
      <c r="V128" s="63">
        <v>363</v>
      </c>
    </row>
    <row r="129" spans="1:22" x14ac:dyDescent="0.25">
      <c r="A129" s="49">
        <v>4482</v>
      </c>
      <c r="B129" s="49" t="s">
        <v>45</v>
      </c>
      <c r="C129" s="49" t="s">
        <v>177</v>
      </c>
      <c r="D129" s="49" t="s">
        <v>67</v>
      </c>
      <c r="E129" s="49" t="s">
        <v>170</v>
      </c>
      <c r="F129" s="49">
        <v>2013</v>
      </c>
      <c r="G129" s="50">
        <v>42467.375</v>
      </c>
      <c r="H129" s="50">
        <v>42473.75</v>
      </c>
      <c r="I129" s="54">
        <v>42467</v>
      </c>
      <c r="J129" s="54">
        <v>42473</v>
      </c>
      <c r="K129" s="51" t="s">
        <v>525</v>
      </c>
      <c r="L129" s="51">
        <v>0.75</v>
      </c>
      <c r="M129" s="51" t="s">
        <v>540</v>
      </c>
      <c r="N129" s="51" t="s">
        <v>530</v>
      </c>
      <c r="O129" s="51" t="s">
        <v>524</v>
      </c>
      <c r="P129" s="49" t="s">
        <v>23</v>
      </c>
      <c r="Q129" s="49" t="s">
        <v>22</v>
      </c>
      <c r="R129" s="49" t="s">
        <v>109</v>
      </c>
      <c r="S129" s="49">
        <v>2</v>
      </c>
      <c r="T129" s="49">
        <v>8</v>
      </c>
      <c r="U129" s="63">
        <v>47</v>
      </c>
      <c r="V129" s="63">
        <v>376</v>
      </c>
    </row>
    <row r="130" spans="1:22" x14ac:dyDescent="0.25">
      <c r="A130" s="49">
        <v>4483</v>
      </c>
      <c r="B130" s="49" t="s">
        <v>45</v>
      </c>
      <c r="C130" s="49" t="s">
        <v>177</v>
      </c>
      <c r="D130" s="49" t="s">
        <v>66</v>
      </c>
      <c r="E130" s="49" t="s">
        <v>169</v>
      </c>
      <c r="F130" s="49">
        <v>2013</v>
      </c>
      <c r="G130" s="50">
        <v>42468.333333333336</v>
      </c>
      <c r="H130" s="50">
        <v>42481.5</v>
      </c>
      <c r="I130" s="54">
        <v>42468</v>
      </c>
      <c r="J130" s="54">
        <v>42481</v>
      </c>
      <c r="K130" s="51" t="s">
        <v>522</v>
      </c>
      <c r="L130" s="51">
        <v>0.5</v>
      </c>
      <c r="M130" s="51" t="s">
        <v>539</v>
      </c>
      <c r="N130" s="51" t="s">
        <v>530</v>
      </c>
      <c r="O130" s="51" t="s">
        <v>524</v>
      </c>
      <c r="P130" s="49" t="s">
        <v>9</v>
      </c>
      <c r="Q130" s="49" t="s">
        <v>21</v>
      </c>
      <c r="R130" s="49" t="s">
        <v>113</v>
      </c>
      <c r="S130" s="49">
        <v>5</v>
      </c>
      <c r="T130" s="49">
        <v>9</v>
      </c>
      <c r="U130" s="63">
        <v>47</v>
      </c>
      <c r="V130" s="63">
        <v>423</v>
      </c>
    </row>
    <row r="131" spans="1:22" x14ac:dyDescent="0.25">
      <c r="A131" s="49">
        <v>4484</v>
      </c>
      <c r="B131" s="49" t="s">
        <v>39</v>
      </c>
      <c r="C131" s="49" t="s">
        <v>177</v>
      </c>
      <c r="D131" s="49" t="s">
        <v>70</v>
      </c>
      <c r="E131" s="49" t="s">
        <v>174</v>
      </c>
      <c r="F131" s="49">
        <v>2013</v>
      </c>
      <c r="G131" s="50">
        <v>42468.333333333336</v>
      </c>
      <c r="H131" s="50">
        <v>42481.5</v>
      </c>
      <c r="I131" s="54">
        <v>42468</v>
      </c>
      <c r="J131" s="54">
        <v>42481</v>
      </c>
      <c r="K131" s="51" t="s">
        <v>522</v>
      </c>
      <c r="L131" s="51">
        <v>0.5</v>
      </c>
      <c r="M131" s="51" t="s">
        <v>539</v>
      </c>
      <c r="N131" s="51" t="s">
        <v>530</v>
      </c>
      <c r="O131" s="51" t="s">
        <v>524</v>
      </c>
      <c r="P131" s="49" t="s">
        <v>23</v>
      </c>
      <c r="Q131" s="49" t="s">
        <v>35</v>
      </c>
      <c r="R131" s="49" t="s">
        <v>109</v>
      </c>
      <c r="S131" s="49">
        <v>5</v>
      </c>
      <c r="T131" s="49">
        <v>12</v>
      </c>
      <c r="U131" s="63">
        <v>62</v>
      </c>
      <c r="V131" s="63">
        <v>744</v>
      </c>
    </row>
    <row r="132" spans="1:22" x14ac:dyDescent="0.25">
      <c r="A132" s="49">
        <v>4485</v>
      </c>
      <c r="B132" s="49" t="s">
        <v>7</v>
      </c>
      <c r="C132" s="49" t="s">
        <v>175</v>
      </c>
      <c r="D132" s="49" t="s">
        <v>62</v>
      </c>
      <c r="E132" s="49" t="s">
        <v>172</v>
      </c>
      <c r="F132" s="49">
        <v>2013</v>
      </c>
      <c r="G132" s="50">
        <v>42471.791666666664</v>
      </c>
      <c r="H132" s="50">
        <v>42482.958333333336</v>
      </c>
      <c r="I132" s="54">
        <v>42471</v>
      </c>
      <c r="J132" s="54">
        <v>42482</v>
      </c>
      <c r="K132" s="51" t="s">
        <v>526</v>
      </c>
      <c r="L132" s="51">
        <v>0.95833333333333337</v>
      </c>
      <c r="M132" s="51" t="s">
        <v>541</v>
      </c>
      <c r="N132" s="51" t="s">
        <v>530</v>
      </c>
      <c r="O132" s="51" t="s">
        <v>524</v>
      </c>
      <c r="P132" s="49" t="s">
        <v>9</v>
      </c>
      <c r="Q132" s="49" t="s">
        <v>16</v>
      </c>
      <c r="R132" s="49" t="s">
        <v>109</v>
      </c>
      <c r="S132" s="49">
        <v>5</v>
      </c>
      <c r="T132" s="49">
        <v>8</v>
      </c>
      <c r="U132" s="63">
        <v>61</v>
      </c>
      <c r="V132" s="63">
        <v>488</v>
      </c>
    </row>
    <row r="133" spans="1:22" x14ac:dyDescent="0.25">
      <c r="A133" s="49">
        <v>4486</v>
      </c>
      <c r="B133" s="49" t="s">
        <v>39</v>
      </c>
      <c r="C133" s="49" t="s">
        <v>177</v>
      </c>
      <c r="D133" s="49" t="s">
        <v>70</v>
      </c>
      <c r="E133" s="49" t="s">
        <v>174</v>
      </c>
      <c r="F133" s="49">
        <v>2013</v>
      </c>
      <c r="G133" s="50">
        <v>42471.791666666664</v>
      </c>
      <c r="H133" s="50">
        <v>42482.958333333336</v>
      </c>
      <c r="I133" s="54">
        <v>42471</v>
      </c>
      <c r="J133" s="54">
        <v>42482</v>
      </c>
      <c r="K133" s="51" t="s">
        <v>526</v>
      </c>
      <c r="L133" s="51">
        <v>0.95833333333333337</v>
      </c>
      <c r="M133" s="51" t="s">
        <v>541</v>
      </c>
      <c r="N133" s="51" t="s">
        <v>530</v>
      </c>
      <c r="O133" s="51" t="s">
        <v>524</v>
      </c>
      <c r="P133" s="49" t="s">
        <v>9</v>
      </c>
      <c r="Q133" s="49" t="s">
        <v>41</v>
      </c>
      <c r="R133" s="49" t="s">
        <v>113</v>
      </c>
      <c r="S133" s="49">
        <v>4</v>
      </c>
      <c r="T133" s="49">
        <v>8</v>
      </c>
      <c r="U133" s="63">
        <v>62</v>
      </c>
      <c r="V133" s="63">
        <v>496</v>
      </c>
    </row>
    <row r="134" spans="1:22" x14ac:dyDescent="0.25">
      <c r="A134" s="49">
        <v>4487</v>
      </c>
      <c r="B134" s="49" t="s">
        <v>11</v>
      </c>
      <c r="C134" s="49" t="s">
        <v>175</v>
      </c>
      <c r="D134" s="49" t="s">
        <v>72</v>
      </c>
      <c r="E134" s="49" t="s">
        <v>172</v>
      </c>
      <c r="F134" s="49">
        <v>2013</v>
      </c>
      <c r="G134" s="50">
        <v>42471.791666666664</v>
      </c>
      <c r="H134" s="50">
        <v>42482.958333333336</v>
      </c>
      <c r="I134" s="54">
        <v>42471</v>
      </c>
      <c r="J134" s="54">
        <v>42482</v>
      </c>
      <c r="K134" s="51" t="s">
        <v>526</v>
      </c>
      <c r="L134" s="51">
        <v>0.95833333333333337</v>
      </c>
      <c r="M134" s="51" t="s">
        <v>541</v>
      </c>
      <c r="N134" s="51" t="s">
        <v>530</v>
      </c>
      <c r="O134" s="51" t="s">
        <v>524</v>
      </c>
      <c r="P134" s="49" t="s">
        <v>9</v>
      </c>
      <c r="Q134" s="49" t="s">
        <v>37</v>
      </c>
      <c r="R134" s="49" t="s">
        <v>113</v>
      </c>
      <c r="S134" s="49">
        <v>4</v>
      </c>
      <c r="T134" s="49">
        <v>11</v>
      </c>
      <c r="U134" s="63">
        <v>33</v>
      </c>
      <c r="V134" s="63">
        <v>363</v>
      </c>
    </row>
    <row r="135" spans="1:22" x14ac:dyDescent="0.25">
      <c r="A135" s="49">
        <v>4488</v>
      </c>
      <c r="B135" s="49" t="s">
        <v>19</v>
      </c>
      <c r="C135" s="49" t="s">
        <v>176</v>
      </c>
      <c r="D135" s="49" t="s">
        <v>66</v>
      </c>
      <c r="E135" s="49" t="s">
        <v>169</v>
      </c>
      <c r="F135" s="49">
        <v>2013</v>
      </c>
      <c r="G135" s="50">
        <v>42471.791666666664</v>
      </c>
      <c r="H135" s="50">
        <v>42482.958333333336</v>
      </c>
      <c r="I135" s="54">
        <v>42471</v>
      </c>
      <c r="J135" s="54">
        <v>42482</v>
      </c>
      <c r="K135" s="51" t="s">
        <v>526</v>
      </c>
      <c r="L135" s="51">
        <v>0.95833333333333337</v>
      </c>
      <c r="M135" s="51" t="s">
        <v>541</v>
      </c>
      <c r="N135" s="51" t="s">
        <v>530</v>
      </c>
      <c r="O135" s="51" t="s">
        <v>524</v>
      </c>
      <c r="P135" s="49" t="s">
        <v>23</v>
      </c>
      <c r="Q135" s="49" t="s">
        <v>44</v>
      </c>
      <c r="R135" s="49" t="s">
        <v>113</v>
      </c>
      <c r="S135" s="49">
        <v>5</v>
      </c>
      <c r="T135" s="49">
        <v>8</v>
      </c>
      <c r="U135" s="63">
        <v>47</v>
      </c>
      <c r="V135" s="63">
        <v>376</v>
      </c>
    </row>
    <row r="136" spans="1:22" x14ac:dyDescent="0.25">
      <c r="A136" s="49">
        <v>4489</v>
      </c>
      <c r="B136" s="49" t="s">
        <v>17</v>
      </c>
      <c r="C136" s="49" t="s">
        <v>176</v>
      </c>
      <c r="D136" s="49" t="s">
        <v>72</v>
      </c>
      <c r="E136" s="49" t="s">
        <v>172</v>
      </c>
      <c r="F136" s="49">
        <v>2013</v>
      </c>
      <c r="G136" s="50">
        <v>42471.791666666664</v>
      </c>
      <c r="H136" s="50">
        <v>42482.958333333336</v>
      </c>
      <c r="I136" s="54">
        <v>42471</v>
      </c>
      <c r="J136" s="54">
        <v>42482</v>
      </c>
      <c r="K136" s="51" t="s">
        <v>526</v>
      </c>
      <c r="L136" s="51">
        <v>0.95833333333333337</v>
      </c>
      <c r="M136" s="51" t="s">
        <v>541</v>
      </c>
      <c r="N136" s="51" t="s">
        <v>530</v>
      </c>
      <c r="O136" s="51" t="s">
        <v>524</v>
      </c>
      <c r="P136" s="49" t="s">
        <v>9</v>
      </c>
      <c r="Q136" s="49" t="s">
        <v>190</v>
      </c>
      <c r="R136" s="49" t="s">
        <v>109</v>
      </c>
      <c r="S136" s="49">
        <v>4</v>
      </c>
      <c r="T136" s="49">
        <v>8</v>
      </c>
      <c r="U136" s="63">
        <v>33</v>
      </c>
      <c r="V136" s="63">
        <v>264</v>
      </c>
    </row>
    <row r="137" spans="1:22" x14ac:dyDescent="0.25">
      <c r="A137" s="49">
        <v>4490</v>
      </c>
      <c r="B137" s="49" t="s">
        <v>14</v>
      </c>
      <c r="C137" s="49" t="s">
        <v>175</v>
      </c>
      <c r="D137" s="49" t="s">
        <v>73</v>
      </c>
      <c r="E137" s="49" t="s">
        <v>169</v>
      </c>
      <c r="F137" s="49">
        <v>2013</v>
      </c>
      <c r="G137" s="50">
        <v>42472.791666666664</v>
      </c>
      <c r="H137" s="50">
        <v>42485.958333333336</v>
      </c>
      <c r="I137" s="54">
        <v>42472</v>
      </c>
      <c r="J137" s="54">
        <v>42485</v>
      </c>
      <c r="K137" s="51" t="s">
        <v>526</v>
      </c>
      <c r="L137" s="51">
        <v>0.95833333333333337</v>
      </c>
      <c r="M137" s="51" t="s">
        <v>541</v>
      </c>
      <c r="N137" s="51" t="s">
        <v>530</v>
      </c>
      <c r="O137" s="51" t="s">
        <v>524</v>
      </c>
      <c r="P137" s="49" t="s">
        <v>23</v>
      </c>
      <c r="Q137" s="49" t="s">
        <v>33</v>
      </c>
      <c r="R137" s="49" t="s">
        <v>113</v>
      </c>
      <c r="S137" s="49">
        <v>4</v>
      </c>
      <c r="T137" s="49">
        <v>12</v>
      </c>
      <c r="U137" s="63">
        <v>61</v>
      </c>
      <c r="V137" s="63">
        <v>732</v>
      </c>
    </row>
    <row r="138" spans="1:22" x14ac:dyDescent="0.25">
      <c r="A138" s="49">
        <v>4491</v>
      </c>
      <c r="B138" s="49" t="s">
        <v>19</v>
      </c>
      <c r="C138" s="49" t="s">
        <v>176</v>
      </c>
      <c r="D138" s="49" t="s">
        <v>72</v>
      </c>
      <c r="E138" s="49" t="s">
        <v>172</v>
      </c>
      <c r="F138" s="49">
        <v>2013</v>
      </c>
      <c r="G138" s="50">
        <v>42473.583333333336</v>
      </c>
      <c r="H138" s="50">
        <v>42486.75</v>
      </c>
      <c r="I138" s="54">
        <v>42473</v>
      </c>
      <c r="J138" s="54">
        <v>42486</v>
      </c>
      <c r="K138" s="51" t="s">
        <v>527</v>
      </c>
      <c r="L138" s="51">
        <v>0.75</v>
      </c>
      <c r="M138" s="51" t="s">
        <v>542</v>
      </c>
      <c r="N138" s="51" t="s">
        <v>530</v>
      </c>
      <c r="O138" s="51" t="s">
        <v>524</v>
      </c>
      <c r="P138" s="49" t="s">
        <v>23</v>
      </c>
      <c r="Q138" s="49" t="s">
        <v>18</v>
      </c>
      <c r="R138" s="49" t="s">
        <v>113</v>
      </c>
      <c r="S138" s="49">
        <v>2</v>
      </c>
      <c r="T138" s="49">
        <v>11</v>
      </c>
      <c r="U138" s="63">
        <v>33</v>
      </c>
      <c r="V138" s="63">
        <v>363</v>
      </c>
    </row>
    <row r="139" spans="1:22" x14ac:dyDescent="0.25">
      <c r="A139" s="49">
        <v>4492</v>
      </c>
      <c r="B139" s="49" t="s">
        <v>17</v>
      </c>
      <c r="C139" s="49" t="s">
        <v>176</v>
      </c>
      <c r="D139" s="49" t="s">
        <v>71</v>
      </c>
      <c r="E139" s="49" t="s">
        <v>170</v>
      </c>
      <c r="F139" s="49">
        <v>2013</v>
      </c>
      <c r="G139" s="50">
        <v>42473.583333333336</v>
      </c>
      <c r="H139" s="50">
        <v>42486.75</v>
      </c>
      <c r="I139" s="54">
        <v>42473</v>
      </c>
      <c r="J139" s="54">
        <v>42486</v>
      </c>
      <c r="K139" s="51" t="s">
        <v>527</v>
      </c>
      <c r="L139" s="51">
        <v>0.75</v>
      </c>
      <c r="M139" s="51" t="s">
        <v>542</v>
      </c>
      <c r="N139" s="51" t="s">
        <v>530</v>
      </c>
      <c r="O139" s="51" t="s">
        <v>524</v>
      </c>
      <c r="P139" s="49" t="s">
        <v>9</v>
      </c>
      <c r="Q139" s="49" t="s">
        <v>44</v>
      </c>
      <c r="R139" s="49" t="s">
        <v>113</v>
      </c>
      <c r="S139" s="49">
        <v>5</v>
      </c>
      <c r="T139" s="49">
        <v>10</v>
      </c>
      <c r="U139" s="63">
        <v>41</v>
      </c>
      <c r="V139" s="63">
        <v>410</v>
      </c>
    </row>
    <row r="140" spans="1:22" x14ac:dyDescent="0.25">
      <c r="A140" s="49">
        <v>4493</v>
      </c>
      <c r="B140" s="49" t="s">
        <v>14</v>
      </c>
      <c r="C140" s="49" t="s">
        <v>175</v>
      </c>
      <c r="D140" s="49" t="s">
        <v>72</v>
      </c>
      <c r="E140" s="49" t="s">
        <v>172</v>
      </c>
      <c r="F140" s="49">
        <v>2013</v>
      </c>
      <c r="G140" s="50">
        <v>42474.375</v>
      </c>
      <c r="H140" s="50">
        <v>42480.75</v>
      </c>
      <c r="I140" s="54">
        <v>42474</v>
      </c>
      <c r="J140" s="54">
        <v>42480</v>
      </c>
      <c r="K140" s="51" t="s">
        <v>525</v>
      </c>
      <c r="L140" s="51">
        <v>0.75</v>
      </c>
      <c r="M140" s="51" t="s">
        <v>540</v>
      </c>
      <c r="N140" s="51" t="s">
        <v>530</v>
      </c>
      <c r="O140" s="51" t="s">
        <v>524</v>
      </c>
      <c r="P140" s="49" t="s">
        <v>9</v>
      </c>
      <c r="Q140" s="49" t="s">
        <v>44</v>
      </c>
      <c r="R140" s="49" t="s">
        <v>113</v>
      </c>
      <c r="S140" s="49">
        <v>4</v>
      </c>
      <c r="T140" s="49">
        <v>9</v>
      </c>
      <c r="U140" s="63">
        <v>33</v>
      </c>
      <c r="V140" s="63">
        <v>297</v>
      </c>
    </row>
    <row r="141" spans="1:22" x14ac:dyDescent="0.25">
      <c r="A141" s="49">
        <v>4494</v>
      </c>
      <c r="B141" s="49" t="s">
        <v>11</v>
      </c>
      <c r="C141" s="49" t="s">
        <v>175</v>
      </c>
      <c r="D141" s="49" t="s">
        <v>62</v>
      </c>
      <c r="E141" s="49" t="s">
        <v>172</v>
      </c>
      <c r="F141" s="49">
        <v>2013</v>
      </c>
      <c r="G141" s="50">
        <v>42474.375</v>
      </c>
      <c r="H141" s="50">
        <v>42480.75</v>
      </c>
      <c r="I141" s="54">
        <v>42474</v>
      </c>
      <c r="J141" s="54">
        <v>42480</v>
      </c>
      <c r="K141" s="51" t="s">
        <v>525</v>
      </c>
      <c r="L141" s="51">
        <v>0.75</v>
      </c>
      <c r="M141" s="51" t="s">
        <v>540</v>
      </c>
      <c r="N141" s="51" t="s">
        <v>530</v>
      </c>
      <c r="O141" s="51" t="s">
        <v>524</v>
      </c>
      <c r="P141" s="49" t="s">
        <v>9</v>
      </c>
      <c r="Q141" s="49" t="s">
        <v>33</v>
      </c>
      <c r="R141" s="49" t="s">
        <v>113</v>
      </c>
      <c r="S141" s="49">
        <v>5</v>
      </c>
      <c r="T141" s="49">
        <v>12</v>
      </c>
      <c r="U141" s="63">
        <v>61</v>
      </c>
      <c r="V141" s="63">
        <v>732</v>
      </c>
    </row>
    <row r="142" spans="1:22" x14ac:dyDescent="0.25">
      <c r="A142" s="49">
        <v>4495</v>
      </c>
      <c r="B142" s="49" t="s">
        <v>11</v>
      </c>
      <c r="C142" s="49" t="s">
        <v>175</v>
      </c>
      <c r="D142" s="49" t="s">
        <v>73</v>
      </c>
      <c r="E142" s="49" t="s">
        <v>169</v>
      </c>
      <c r="F142" s="49">
        <v>2013</v>
      </c>
      <c r="G142" s="50">
        <v>42475.333333333336</v>
      </c>
      <c r="H142" s="50">
        <v>42488.5</v>
      </c>
      <c r="I142" s="54">
        <v>42475</v>
      </c>
      <c r="J142" s="54">
        <v>42488</v>
      </c>
      <c r="K142" s="51" t="s">
        <v>522</v>
      </c>
      <c r="L142" s="51">
        <v>0.5</v>
      </c>
      <c r="M142" s="51" t="s">
        <v>539</v>
      </c>
      <c r="N142" s="51" t="s">
        <v>530</v>
      </c>
      <c r="O142" s="51" t="s">
        <v>524</v>
      </c>
      <c r="P142" s="49" t="s">
        <v>23</v>
      </c>
      <c r="Q142" s="49" t="s">
        <v>190</v>
      </c>
      <c r="R142" s="49" t="s">
        <v>109</v>
      </c>
      <c r="S142" s="49">
        <v>2</v>
      </c>
      <c r="T142" s="49">
        <v>10</v>
      </c>
      <c r="U142" s="63">
        <v>61</v>
      </c>
      <c r="V142" s="63">
        <v>610</v>
      </c>
    </row>
    <row r="143" spans="1:22" x14ac:dyDescent="0.25">
      <c r="A143" s="49">
        <v>4496</v>
      </c>
      <c r="B143" s="49" t="s">
        <v>39</v>
      </c>
      <c r="C143" s="49" t="s">
        <v>177</v>
      </c>
      <c r="D143" s="49" t="s">
        <v>65</v>
      </c>
      <c r="E143" s="49" t="s">
        <v>173</v>
      </c>
      <c r="F143" s="49">
        <v>2013</v>
      </c>
      <c r="G143" s="50">
        <v>42475.333333333336</v>
      </c>
      <c r="H143" s="50">
        <v>42488.5</v>
      </c>
      <c r="I143" s="54">
        <v>42475</v>
      </c>
      <c r="J143" s="54">
        <v>42488</v>
      </c>
      <c r="K143" s="51" t="s">
        <v>522</v>
      </c>
      <c r="L143" s="51">
        <v>0.5</v>
      </c>
      <c r="M143" s="51" t="s">
        <v>539</v>
      </c>
      <c r="N143" s="51" t="s">
        <v>530</v>
      </c>
      <c r="O143" s="51" t="s">
        <v>524</v>
      </c>
      <c r="P143" s="49" t="s">
        <v>23</v>
      </c>
      <c r="Q143" s="49" t="s">
        <v>41</v>
      </c>
      <c r="R143" s="49" t="s">
        <v>113</v>
      </c>
      <c r="S143" s="49">
        <v>2</v>
      </c>
      <c r="T143" s="49">
        <v>8</v>
      </c>
      <c r="U143" s="63">
        <v>31</v>
      </c>
      <c r="V143" s="63">
        <v>248</v>
      </c>
    </row>
    <row r="144" spans="1:22" x14ac:dyDescent="0.25">
      <c r="A144" s="49">
        <v>4497</v>
      </c>
      <c r="B144" s="49" t="s">
        <v>22</v>
      </c>
      <c r="C144" s="49" t="s">
        <v>176</v>
      </c>
      <c r="D144" s="49" t="s">
        <v>75</v>
      </c>
      <c r="E144" s="49" t="s">
        <v>174</v>
      </c>
      <c r="F144" s="49">
        <v>2013</v>
      </c>
      <c r="G144" s="50">
        <v>42475.333333333336</v>
      </c>
      <c r="H144" s="50">
        <v>42488.5</v>
      </c>
      <c r="I144" s="54">
        <v>42475</v>
      </c>
      <c r="J144" s="54">
        <v>42488</v>
      </c>
      <c r="K144" s="51" t="s">
        <v>522</v>
      </c>
      <c r="L144" s="51">
        <v>0.5</v>
      </c>
      <c r="M144" s="51" t="s">
        <v>539</v>
      </c>
      <c r="N144" s="51" t="s">
        <v>530</v>
      </c>
      <c r="O144" s="51" t="s">
        <v>524</v>
      </c>
      <c r="P144" s="49" t="s">
        <v>23</v>
      </c>
      <c r="Q144" s="49" t="s">
        <v>33</v>
      </c>
      <c r="R144" s="49" t="s">
        <v>113</v>
      </c>
      <c r="S144" s="49">
        <v>2</v>
      </c>
      <c r="T144" s="49">
        <v>12</v>
      </c>
      <c r="U144" s="63">
        <v>52</v>
      </c>
      <c r="V144" s="63">
        <v>624</v>
      </c>
    </row>
    <row r="145" spans="1:22" x14ac:dyDescent="0.25">
      <c r="A145" s="49">
        <v>4498</v>
      </c>
      <c r="B145" s="49" t="s">
        <v>11</v>
      </c>
      <c r="C145" s="49" t="s">
        <v>175</v>
      </c>
      <c r="D145" s="49" t="s">
        <v>73</v>
      </c>
      <c r="E145" s="49" t="s">
        <v>169</v>
      </c>
      <c r="F145" s="49">
        <v>2013</v>
      </c>
      <c r="G145" s="50">
        <v>42475.333333333336</v>
      </c>
      <c r="H145" s="50">
        <v>42488.5</v>
      </c>
      <c r="I145" s="54">
        <v>42475</v>
      </c>
      <c r="J145" s="54">
        <v>42488</v>
      </c>
      <c r="K145" s="51" t="s">
        <v>522</v>
      </c>
      <c r="L145" s="51">
        <v>0.5</v>
      </c>
      <c r="M145" s="51" t="s">
        <v>539</v>
      </c>
      <c r="N145" s="51" t="s">
        <v>530</v>
      </c>
      <c r="O145" s="51" t="s">
        <v>524</v>
      </c>
      <c r="P145" s="49" t="s">
        <v>23</v>
      </c>
      <c r="Q145" s="49" t="s">
        <v>16</v>
      </c>
      <c r="R145" s="49" t="s">
        <v>109</v>
      </c>
      <c r="S145" s="49">
        <v>4</v>
      </c>
      <c r="T145" s="49">
        <v>11</v>
      </c>
      <c r="U145" s="63">
        <v>61</v>
      </c>
      <c r="V145" s="63">
        <v>671</v>
      </c>
    </row>
    <row r="146" spans="1:22" x14ac:dyDescent="0.25">
      <c r="A146" s="49">
        <v>4499</v>
      </c>
      <c r="B146" s="49" t="s">
        <v>14</v>
      </c>
      <c r="C146" s="49" t="s">
        <v>175</v>
      </c>
      <c r="D146" s="49" t="s">
        <v>70</v>
      </c>
      <c r="E146" s="49" t="s">
        <v>174</v>
      </c>
      <c r="F146" s="49">
        <v>2013</v>
      </c>
      <c r="G146" s="50">
        <v>42476.375</v>
      </c>
      <c r="H146" s="50">
        <v>42481.75</v>
      </c>
      <c r="I146" s="54">
        <v>42476</v>
      </c>
      <c r="J146" s="54">
        <v>42481</v>
      </c>
      <c r="K146" s="51" t="s">
        <v>525</v>
      </c>
      <c r="L146" s="51">
        <v>0.75</v>
      </c>
      <c r="M146" s="51" t="s">
        <v>540</v>
      </c>
      <c r="N146" s="51" t="s">
        <v>530</v>
      </c>
      <c r="O146" s="51" t="s">
        <v>524</v>
      </c>
      <c r="P146" s="49" t="s">
        <v>23</v>
      </c>
      <c r="Q146" s="49" t="s">
        <v>41</v>
      </c>
      <c r="R146" s="49" t="s">
        <v>113</v>
      </c>
      <c r="S146" s="49">
        <v>4</v>
      </c>
      <c r="T146" s="49">
        <v>11</v>
      </c>
      <c r="U146" s="63">
        <v>62</v>
      </c>
      <c r="V146" s="63">
        <v>682</v>
      </c>
    </row>
    <row r="147" spans="1:22" x14ac:dyDescent="0.25">
      <c r="A147" s="49">
        <v>4500</v>
      </c>
      <c r="B147" s="49" t="s">
        <v>11</v>
      </c>
      <c r="C147" s="49" t="s">
        <v>175</v>
      </c>
      <c r="D147" s="49" t="s">
        <v>67</v>
      </c>
      <c r="E147" s="49" t="s">
        <v>170</v>
      </c>
      <c r="F147" s="49">
        <v>2013</v>
      </c>
      <c r="G147" s="50">
        <v>42478.791666666664</v>
      </c>
      <c r="H147" s="50">
        <v>42489.958333333336</v>
      </c>
      <c r="I147" s="54">
        <v>42478</v>
      </c>
      <c r="J147" s="54">
        <v>42489</v>
      </c>
      <c r="K147" s="51" t="s">
        <v>526</v>
      </c>
      <c r="L147" s="51">
        <v>0.95833333333333337</v>
      </c>
      <c r="M147" s="51" t="s">
        <v>541</v>
      </c>
      <c r="N147" s="51" t="s">
        <v>530</v>
      </c>
      <c r="O147" s="51" t="s">
        <v>524</v>
      </c>
      <c r="P147" s="49" t="s">
        <v>23</v>
      </c>
      <c r="Q147" s="49" t="s">
        <v>26</v>
      </c>
      <c r="R147" s="49" t="s">
        <v>113</v>
      </c>
      <c r="S147" s="49">
        <v>2</v>
      </c>
      <c r="T147" s="49">
        <v>9</v>
      </c>
      <c r="U147" s="63">
        <v>47</v>
      </c>
      <c r="V147" s="63">
        <v>423</v>
      </c>
    </row>
    <row r="148" spans="1:22" x14ac:dyDescent="0.25">
      <c r="A148" s="49">
        <v>4501</v>
      </c>
      <c r="B148" s="49" t="s">
        <v>11</v>
      </c>
      <c r="C148" s="49" t="s">
        <v>175</v>
      </c>
      <c r="D148" s="49" t="s">
        <v>66</v>
      </c>
      <c r="E148" s="49" t="s">
        <v>169</v>
      </c>
      <c r="F148" s="49">
        <v>2013</v>
      </c>
      <c r="G148" s="50">
        <v>42478.791666666664</v>
      </c>
      <c r="H148" s="50">
        <v>42489.958333333336</v>
      </c>
      <c r="I148" s="54">
        <v>42478</v>
      </c>
      <c r="J148" s="54">
        <v>42489</v>
      </c>
      <c r="K148" s="51" t="s">
        <v>526</v>
      </c>
      <c r="L148" s="51">
        <v>0.95833333333333337</v>
      </c>
      <c r="M148" s="51" t="s">
        <v>541</v>
      </c>
      <c r="N148" s="51" t="s">
        <v>530</v>
      </c>
      <c r="O148" s="51" t="s">
        <v>524</v>
      </c>
      <c r="P148" s="49" t="s">
        <v>23</v>
      </c>
      <c r="Q148" s="49" t="s">
        <v>12</v>
      </c>
      <c r="R148" s="49" t="s">
        <v>113</v>
      </c>
      <c r="S148" s="49">
        <v>5</v>
      </c>
      <c r="T148" s="49">
        <v>9</v>
      </c>
      <c r="U148" s="63">
        <v>47</v>
      </c>
      <c r="V148" s="63">
        <v>423</v>
      </c>
    </row>
    <row r="149" spans="1:22" x14ac:dyDescent="0.25">
      <c r="A149" s="49">
        <v>4502</v>
      </c>
      <c r="B149" s="49" t="s">
        <v>45</v>
      </c>
      <c r="C149" s="49" t="s">
        <v>177</v>
      </c>
      <c r="D149" s="49" t="s">
        <v>73</v>
      </c>
      <c r="E149" s="49" t="s">
        <v>169</v>
      </c>
      <c r="F149" s="49">
        <v>2013</v>
      </c>
      <c r="G149" s="50">
        <v>42479.791666666664</v>
      </c>
      <c r="H149" s="50">
        <v>42492.958333333336</v>
      </c>
      <c r="I149" s="54">
        <v>42479</v>
      </c>
      <c r="J149" s="54">
        <v>42492</v>
      </c>
      <c r="K149" s="51" t="s">
        <v>526</v>
      </c>
      <c r="L149" s="51">
        <v>0.95833333333333337</v>
      </c>
      <c r="M149" s="51" t="s">
        <v>541</v>
      </c>
      <c r="N149" s="51" t="s">
        <v>530</v>
      </c>
      <c r="O149" s="51" t="s">
        <v>524</v>
      </c>
      <c r="P149" s="49" t="s">
        <v>23</v>
      </c>
      <c r="Q149" s="49" t="s">
        <v>12</v>
      </c>
      <c r="R149" s="49" t="s">
        <v>113</v>
      </c>
      <c r="S149" s="49">
        <v>2</v>
      </c>
      <c r="T149" s="49">
        <v>11</v>
      </c>
      <c r="U149" s="63">
        <v>61</v>
      </c>
      <c r="V149" s="63">
        <v>671</v>
      </c>
    </row>
    <row r="150" spans="1:22" x14ac:dyDescent="0.25">
      <c r="A150" s="49">
        <v>4503</v>
      </c>
      <c r="B150" s="49" t="s">
        <v>14</v>
      </c>
      <c r="C150" s="49" t="s">
        <v>175</v>
      </c>
      <c r="D150" s="49" t="s">
        <v>65</v>
      </c>
      <c r="E150" s="49" t="s">
        <v>173</v>
      </c>
      <c r="F150" s="49">
        <v>2013</v>
      </c>
      <c r="G150" s="50">
        <v>42479.791666666664</v>
      </c>
      <c r="H150" s="50">
        <v>42492.958333333336</v>
      </c>
      <c r="I150" s="54">
        <v>42479</v>
      </c>
      <c r="J150" s="54">
        <v>42492</v>
      </c>
      <c r="K150" s="51" t="s">
        <v>526</v>
      </c>
      <c r="L150" s="51">
        <v>0.95833333333333337</v>
      </c>
      <c r="M150" s="51" t="s">
        <v>541</v>
      </c>
      <c r="N150" s="51" t="s">
        <v>530</v>
      </c>
      <c r="O150" s="51" t="s">
        <v>524</v>
      </c>
      <c r="P150" s="49" t="s">
        <v>9</v>
      </c>
      <c r="Q150" s="49" t="s">
        <v>190</v>
      </c>
      <c r="R150" s="49" t="s">
        <v>109</v>
      </c>
      <c r="S150" s="49">
        <v>2</v>
      </c>
      <c r="T150" s="49">
        <v>9</v>
      </c>
      <c r="U150" s="63">
        <v>31</v>
      </c>
      <c r="V150" s="63">
        <v>279</v>
      </c>
    </row>
    <row r="151" spans="1:22" x14ac:dyDescent="0.25">
      <c r="A151" s="49">
        <v>4504</v>
      </c>
      <c r="B151" s="49" t="s">
        <v>45</v>
      </c>
      <c r="C151" s="49" t="s">
        <v>177</v>
      </c>
      <c r="D151" s="49" t="s">
        <v>73</v>
      </c>
      <c r="E151" s="49" t="s">
        <v>169</v>
      </c>
      <c r="F151" s="49">
        <v>2013</v>
      </c>
      <c r="G151" s="50">
        <v>42479.791666666664</v>
      </c>
      <c r="H151" s="50">
        <v>42492.958333333336</v>
      </c>
      <c r="I151" s="54">
        <v>42479</v>
      </c>
      <c r="J151" s="54">
        <v>42492</v>
      </c>
      <c r="K151" s="51" t="s">
        <v>526</v>
      </c>
      <c r="L151" s="51">
        <v>0.95833333333333337</v>
      </c>
      <c r="M151" s="51" t="s">
        <v>541</v>
      </c>
      <c r="N151" s="51" t="s">
        <v>530</v>
      </c>
      <c r="O151" s="51" t="s">
        <v>524</v>
      </c>
      <c r="P151" s="49" t="s">
        <v>23</v>
      </c>
      <c r="Q151" s="49" t="s">
        <v>33</v>
      </c>
      <c r="R151" s="49" t="s">
        <v>113</v>
      </c>
      <c r="S151" s="49">
        <v>4</v>
      </c>
      <c r="T151" s="49">
        <v>8</v>
      </c>
      <c r="U151" s="63">
        <v>61</v>
      </c>
      <c r="V151" s="63">
        <v>488</v>
      </c>
    </row>
    <row r="152" spans="1:22" x14ac:dyDescent="0.25">
      <c r="A152" s="49">
        <v>4505</v>
      </c>
      <c r="B152" s="49" t="s">
        <v>19</v>
      </c>
      <c r="C152" s="49" t="s">
        <v>176</v>
      </c>
      <c r="D152" s="49" t="s">
        <v>67</v>
      </c>
      <c r="E152" s="49" t="s">
        <v>170</v>
      </c>
      <c r="F152" s="49">
        <v>2013</v>
      </c>
      <c r="G152" s="50">
        <v>42481.375</v>
      </c>
      <c r="H152" s="50">
        <v>42487.75</v>
      </c>
      <c r="I152" s="54">
        <v>42481</v>
      </c>
      <c r="J152" s="54">
        <v>42487</v>
      </c>
      <c r="K152" s="51" t="s">
        <v>525</v>
      </c>
      <c r="L152" s="51">
        <v>0.75</v>
      </c>
      <c r="M152" s="51" t="s">
        <v>540</v>
      </c>
      <c r="N152" s="51" t="s">
        <v>530</v>
      </c>
      <c r="O152" s="51" t="s">
        <v>524</v>
      </c>
      <c r="P152" s="49" t="s">
        <v>23</v>
      </c>
      <c r="Q152" s="49" t="s">
        <v>190</v>
      </c>
      <c r="R152" s="49" t="s">
        <v>109</v>
      </c>
      <c r="S152" s="49">
        <v>5</v>
      </c>
      <c r="T152" s="49">
        <v>8</v>
      </c>
      <c r="U152" s="63">
        <v>47</v>
      </c>
      <c r="V152" s="63">
        <v>376</v>
      </c>
    </row>
    <row r="153" spans="1:22" x14ac:dyDescent="0.25">
      <c r="A153" s="49">
        <v>4506</v>
      </c>
      <c r="B153" s="49" t="s">
        <v>11</v>
      </c>
      <c r="C153" s="49" t="s">
        <v>175</v>
      </c>
      <c r="D153" s="49" t="s">
        <v>70</v>
      </c>
      <c r="E153" s="49" t="s">
        <v>174</v>
      </c>
      <c r="F153" s="49">
        <v>2013</v>
      </c>
      <c r="G153" s="50">
        <v>42481.375</v>
      </c>
      <c r="H153" s="50">
        <v>42487.75</v>
      </c>
      <c r="I153" s="54">
        <v>42481</v>
      </c>
      <c r="J153" s="54">
        <v>42487</v>
      </c>
      <c r="K153" s="51" t="s">
        <v>525</v>
      </c>
      <c r="L153" s="51">
        <v>0.75</v>
      </c>
      <c r="M153" s="51" t="s">
        <v>540</v>
      </c>
      <c r="N153" s="51" t="s">
        <v>530</v>
      </c>
      <c r="O153" s="51" t="s">
        <v>524</v>
      </c>
      <c r="P153" s="49" t="s">
        <v>9</v>
      </c>
      <c r="Q153" s="49" t="s">
        <v>35</v>
      </c>
      <c r="R153" s="49" t="s">
        <v>109</v>
      </c>
      <c r="S153" s="49">
        <v>5</v>
      </c>
      <c r="T153" s="49">
        <v>10</v>
      </c>
      <c r="U153" s="63">
        <v>62</v>
      </c>
      <c r="V153" s="63">
        <v>620</v>
      </c>
    </row>
    <row r="154" spans="1:22" x14ac:dyDescent="0.25">
      <c r="A154" s="49">
        <v>4507</v>
      </c>
      <c r="B154" s="49" t="s">
        <v>17</v>
      </c>
      <c r="C154" s="49" t="s">
        <v>176</v>
      </c>
      <c r="D154" s="49" t="s">
        <v>74</v>
      </c>
      <c r="E154" s="49" t="s">
        <v>168</v>
      </c>
      <c r="F154" s="49">
        <v>2013</v>
      </c>
      <c r="G154" s="50">
        <v>42481.375</v>
      </c>
      <c r="H154" s="50">
        <v>42487.75</v>
      </c>
      <c r="I154" s="54">
        <v>42481</v>
      </c>
      <c r="J154" s="54">
        <v>42487</v>
      </c>
      <c r="K154" s="51" t="s">
        <v>525</v>
      </c>
      <c r="L154" s="51">
        <v>0.75</v>
      </c>
      <c r="M154" s="51" t="s">
        <v>540</v>
      </c>
      <c r="N154" s="51" t="s">
        <v>530</v>
      </c>
      <c r="O154" s="51" t="s">
        <v>524</v>
      </c>
      <c r="P154" s="49" t="s">
        <v>23</v>
      </c>
      <c r="Q154" s="49" t="s">
        <v>38</v>
      </c>
      <c r="R154" s="49" t="s">
        <v>113</v>
      </c>
      <c r="S154" s="49">
        <v>4</v>
      </c>
      <c r="T154" s="49">
        <v>12</v>
      </c>
      <c r="U154" s="63">
        <v>47</v>
      </c>
      <c r="V154" s="63">
        <v>564</v>
      </c>
    </row>
    <row r="155" spans="1:22" x14ac:dyDescent="0.25">
      <c r="A155" s="49">
        <v>4508</v>
      </c>
      <c r="B155" s="49" t="s">
        <v>11</v>
      </c>
      <c r="C155" s="49" t="s">
        <v>175</v>
      </c>
      <c r="D155" s="49" t="s">
        <v>64</v>
      </c>
      <c r="E155" s="49" t="s">
        <v>172</v>
      </c>
      <c r="F155" s="49">
        <v>2013</v>
      </c>
      <c r="G155" s="50">
        <v>42482.333333333336</v>
      </c>
      <c r="H155" s="50">
        <v>42495.5</v>
      </c>
      <c r="I155" s="54">
        <v>42482</v>
      </c>
      <c r="J155" s="54">
        <v>42495</v>
      </c>
      <c r="K155" s="51" t="s">
        <v>522</v>
      </c>
      <c r="L155" s="51">
        <v>0.5</v>
      </c>
      <c r="M155" s="51" t="s">
        <v>539</v>
      </c>
      <c r="N155" s="51" t="s">
        <v>530</v>
      </c>
      <c r="O155" s="51" t="s">
        <v>524</v>
      </c>
      <c r="P155" s="49" t="s">
        <v>23</v>
      </c>
      <c r="Q155" s="49" t="s">
        <v>16</v>
      </c>
      <c r="R155" s="49" t="s">
        <v>109</v>
      </c>
      <c r="S155" s="49">
        <v>3</v>
      </c>
      <c r="T155" s="49">
        <v>8</v>
      </c>
      <c r="U155" s="63">
        <v>73</v>
      </c>
      <c r="V155" s="63">
        <v>584</v>
      </c>
    </row>
    <row r="156" spans="1:22" x14ac:dyDescent="0.25">
      <c r="A156" s="49">
        <v>4509</v>
      </c>
      <c r="B156" s="49" t="s">
        <v>29</v>
      </c>
      <c r="C156" s="49" t="s">
        <v>177</v>
      </c>
      <c r="D156" s="49" t="s">
        <v>65</v>
      </c>
      <c r="E156" s="49" t="s">
        <v>173</v>
      </c>
      <c r="F156" s="49">
        <v>2013</v>
      </c>
      <c r="G156" s="50">
        <v>42483.375</v>
      </c>
      <c r="H156" s="50">
        <v>42488.75</v>
      </c>
      <c r="I156" s="54">
        <v>42483</v>
      </c>
      <c r="J156" s="54">
        <v>42488</v>
      </c>
      <c r="K156" s="51" t="s">
        <v>525</v>
      </c>
      <c r="L156" s="51">
        <v>0.75</v>
      </c>
      <c r="M156" s="51" t="s">
        <v>540</v>
      </c>
      <c r="N156" s="51" t="s">
        <v>530</v>
      </c>
      <c r="O156" s="51" t="s">
        <v>524</v>
      </c>
      <c r="P156" s="49" t="s">
        <v>23</v>
      </c>
      <c r="Q156" s="49" t="s">
        <v>18</v>
      </c>
      <c r="R156" s="49" t="s">
        <v>113</v>
      </c>
      <c r="S156" s="49">
        <v>2</v>
      </c>
      <c r="T156" s="49">
        <v>8</v>
      </c>
      <c r="U156" s="63">
        <v>31</v>
      </c>
      <c r="V156" s="63">
        <v>248</v>
      </c>
    </row>
    <row r="157" spans="1:22" x14ac:dyDescent="0.25">
      <c r="A157" s="49">
        <v>4510</v>
      </c>
      <c r="B157" s="49" t="s">
        <v>45</v>
      </c>
      <c r="C157" s="49" t="s">
        <v>177</v>
      </c>
      <c r="D157" s="49" t="s">
        <v>62</v>
      </c>
      <c r="E157" s="49" t="s">
        <v>172</v>
      </c>
      <c r="F157" s="49">
        <v>2013</v>
      </c>
      <c r="G157" s="50">
        <v>42483.375</v>
      </c>
      <c r="H157" s="50">
        <v>42488.75</v>
      </c>
      <c r="I157" s="54">
        <v>42483</v>
      </c>
      <c r="J157" s="54">
        <v>42488</v>
      </c>
      <c r="K157" s="51" t="s">
        <v>525</v>
      </c>
      <c r="L157" s="51">
        <v>0.75</v>
      </c>
      <c r="M157" s="51" t="s">
        <v>540</v>
      </c>
      <c r="N157" s="51" t="s">
        <v>530</v>
      </c>
      <c r="O157" s="51" t="s">
        <v>524</v>
      </c>
      <c r="P157" s="49" t="s">
        <v>23</v>
      </c>
      <c r="Q157" s="49" t="s">
        <v>33</v>
      </c>
      <c r="R157" s="49" t="s">
        <v>113</v>
      </c>
      <c r="S157" s="49">
        <v>2</v>
      </c>
      <c r="T157" s="49">
        <v>9</v>
      </c>
      <c r="U157" s="63">
        <v>61</v>
      </c>
      <c r="V157" s="63">
        <v>549</v>
      </c>
    </row>
    <row r="158" spans="1:22" x14ac:dyDescent="0.25">
      <c r="A158" s="49">
        <v>4511</v>
      </c>
      <c r="B158" s="49" t="s">
        <v>22</v>
      </c>
      <c r="C158" s="49" t="s">
        <v>176</v>
      </c>
      <c r="D158" s="49" t="s">
        <v>75</v>
      </c>
      <c r="E158" s="49" t="s">
        <v>174</v>
      </c>
      <c r="F158" s="49">
        <v>2013</v>
      </c>
      <c r="G158" s="50">
        <v>42485.791666666664</v>
      </c>
      <c r="H158" s="50">
        <v>42496.958333333336</v>
      </c>
      <c r="I158" s="54">
        <v>42485</v>
      </c>
      <c r="J158" s="54">
        <v>42496</v>
      </c>
      <c r="K158" s="51" t="s">
        <v>526</v>
      </c>
      <c r="L158" s="51">
        <v>0.95833333333333337</v>
      </c>
      <c r="M158" s="51" t="s">
        <v>541</v>
      </c>
      <c r="N158" s="51" t="s">
        <v>530</v>
      </c>
      <c r="O158" s="51" t="s">
        <v>524</v>
      </c>
      <c r="P158" s="49" t="s">
        <v>9</v>
      </c>
      <c r="Q158" s="49" t="s">
        <v>28</v>
      </c>
      <c r="R158" s="49" t="s">
        <v>109</v>
      </c>
      <c r="S158" s="49">
        <v>4</v>
      </c>
      <c r="T158" s="49">
        <v>9</v>
      </c>
      <c r="U158" s="63">
        <v>52</v>
      </c>
      <c r="V158" s="63">
        <v>468</v>
      </c>
    </row>
    <row r="159" spans="1:22" x14ac:dyDescent="0.25">
      <c r="A159" s="49">
        <v>4512</v>
      </c>
      <c r="B159" s="49" t="s">
        <v>19</v>
      </c>
      <c r="C159" s="49" t="s">
        <v>176</v>
      </c>
      <c r="D159" s="49" t="s">
        <v>65</v>
      </c>
      <c r="E159" s="49" t="s">
        <v>173</v>
      </c>
      <c r="F159" s="49">
        <v>2013</v>
      </c>
      <c r="G159" s="50">
        <v>42485.791666666664</v>
      </c>
      <c r="H159" s="50">
        <v>42496.958333333336</v>
      </c>
      <c r="I159" s="54">
        <v>42485</v>
      </c>
      <c r="J159" s="54">
        <v>42496</v>
      </c>
      <c r="K159" s="51" t="s">
        <v>526</v>
      </c>
      <c r="L159" s="51">
        <v>0.95833333333333337</v>
      </c>
      <c r="M159" s="51" t="s">
        <v>541</v>
      </c>
      <c r="N159" s="51" t="s">
        <v>530</v>
      </c>
      <c r="O159" s="51" t="s">
        <v>524</v>
      </c>
      <c r="P159" s="49" t="s">
        <v>23</v>
      </c>
      <c r="Q159" s="49" t="s">
        <v>16</v>
      </c>
      <c r="R159" s="49" t="s">
        <v>109</v>
      </c>
      <c r="S159" s="49">
        <v>5</v>
      </c>
      <c r="T159" s="49">
        <v>8</v>
      </c>
      <c r="U159" s="63">
        <v>31</v>
      </c>
      <c r="V159" s="63">
        <v>248</v>
      </c>
    </row>
    <row r="160" spans="1:22" x14ac:dyDescent="0.25">
      <c r="A160" s="49">
        <v>4513</v>
      </c>
      <c r="B160" s="49" t="s">
        <v>45</v>
      </c>
      <c r="C160" s="49" t="s">
        <v>177</v>
      </c>
      <c r="D160" s="49" t="s">
        <v>73</v>
      </c>
      <c r="E160" s="49" t="s">
        <v>169</v>
      </c>
      <c r="F160" s="49">
        <v>2013</v>
      </c>
      <c r="G160" s="50">
        <v>42485.791666666664</v>
      </c>
      <c r="H160" s="50">
        <v>42496.958333333336</v>
      </c>
      <c r="I160" s="54">
        <v>42485</v>
      </c>
      <c r="J160" s="54">
        <v>42496</v>
      </c>
      <c r="K160" s="51" t="s">
        <v>526</v>
      </c>
      <c r="L160" s="51">
        <v>0.95833333333333337</v>
      </c>
      <c r="M160" s="51" t="s">
        <v>541</v>
      </c>
      <c r="N160" s="51" t="s">
        <v>530</v>
      </c>
      <c r="O160" s="51" t="s">
        <v>524</v>
      </c>
      <c r="P160" s="49" t="s">
        <v>23</v>
      </c>
      <c r="Q160" s="49" t="s">
        <v>35</v>
      </c>
      <c r="R160" s="49" t="s">
        <v>109</v>
      </c>
      <c r="S160" s="49">
        <v>2</v>
      </c>
      <c r="T160" s="49">
        <v>10</v>
      </c>
      <c r="U160" s="63">
        <v>61</v>
      </c>
      <c r="V160" s="63">
        <v>610</v>
      </c>
    </row>
    <row r="161" spans="1:22" x14ac:dyDescent="0.25">
      <c r="A161" s="49">
        <v>4514</v>
      </c>
      <c r="B161" s="49" t="s">
        <v>22</v>
      </c>
      <c r="C161" s="49" t="s">
        <v>176</v>
      </c>
      <c r="D161" s="49" t="s">
        <v>68</v>
      </c>
      <c r="E161" s="49" t="s">
        <v>172</v>
      </c>
      <c r="F161" s="49">
        <v>2013</v>
      </c>
      <c r="G161" s="50">
        <v>42485.791666666664</v>
      </c>
      <c r="H161" s="50">
        <v>42496.958333333336</v>
      </c>
      <c r="I161" s="54">
        <v>42485</v>
      </c>
      <c r="J161" s="54">
        <v>42496</v>
      </c>
      <c r="K161" s="51" t="s">
        <v>526</v>
      </c>
      <c r="L161" s="51">
        <v>0.95833333333333337</v>
      </c>
      <c r="M161" s="51" t="s">
        <v>541</v>
      </c>
      <c r="N161" s="51" t="s">
        <v>530</v>
      </c>
      <c r="O161" s="51" t="s">
        <v>524</v>
      </c>
      <c r="P161" s="49" t="s">
        <v>23</v>
      </c>
      <c r="Q161" s="49" t="s">
        <v>12</v>
      </c>
      <c r="R161" s="49" t="s">
        <v>113</v>
      </c>
      <c r="S161" s="49">
        <v>5</v>
      </c>
      <c r="T161" s="49">
        <v>8</v>
      </c>
      <c r="U161" s="63">
        <v>42</v>
      </c>
      <c r="V161" s="63">
        <v>336</v>
      </c>
    </row>
    <row r="162" spans="1:22" x14ac:dyDescent="0.25">
      <c r="A162" s="49">
        <v>4515</v>
      </c>
      <c r="B162" s="49" t="s">
        <v>29</v>
      </c>
      <c r="C162" s="49" t="s">
        <v>177</v>
      </c>
      <c r="D162" s="49" t="s">
        <v>62</v>
      </c>
      <c r="E162" s="49" t="s">
        <v>172</v>
      </c>
      <c r="F162" s="49">
        <v>2013</v>
      </c>
      <c r="G162" s="50">
        <v>42485.791666666664</v>
      </c>
      <c r="H162" s="50">
        <v>42496.958333333336</v>
      </c>
      <c r="I162" s="54">
        <v>42485</v>
      </c>
      <c r="J162" s="54">
        <v>42496</v>
      </c>
      <c r="K162" s="51" t="s">
        <v>526</v>
      </c>
      <c r="L162" s="51">
        <v>0.95833333333333337</v>
      </c>
      <c r="M162" s="51" t="s">
        <v>541</v>
      </c>
      <c r="N162" s="51" t="s">
        <v>530</v>
      </c>
      <c r="O162" s="51" t="s">
        <v>524</v>
      </c>
      <c r="P162" s="49" t="s">
        <v>9</v>
      </c>
      <c r="Q162" s="49" t="s">
        <v>16</v>
      </c>
      <c r="R162" s="49" t="s">
        <v>109</v>
      </c>
      <c r="S162" s="49">
        <v>5</v>
      </c>
      <c r="T162" s="49">
        <v>9</v>
      </c>
      <c r="U162" s="63">
        <v>61</v>
      </c>
      <c r="V162" s="63">
        <v>549</v>
      </c>
    </row>
    <row r="163" spans="1:22" x14ac:dyDescent="0.25">
      <c r="A163" s="49">
        <v>4516</v>
      </c>
      <c r="B163" s="49" t="s">
        <v>19</v>
      </c>
      <c r="C163" s="49" t="s">
        <v>176</v>
      </c>
      <c r="D163" s="49" t="s">
        <v>65</v>
      </c>
      <c r="E163" s="49" t="s">
        <v>173</v>
      </c>
      <c r="F163" s="49">
        <v>2013</v>
      </c>
      <c r="G163" s="50">
        <v>42485.791666666664</v>
      </c>
      <c r="H163" s="50">
        <v>42496.958333333336</v>
      </c>
      <c r="I163" s="54">
        <v>42485</v>
      </c>
      <c r="J163" s="54">
        <v>42496</v>
      </c>
      <c r="K163" s="51" t="s">
        <v>526</v>
      </c>
      <c r="L163" s="51">
        <v>0.95833333333333337</v>
      </c>
      <c r="M163" s="51" t="s">
        <v>541</v>
      </c>
      <c r="N163" s="51" t="s">
        <v>530</v>
      </c>
      <c r="O163" s="51" t="s">
        <v>524</v>
      </c>
      <c r="P163" s="49" t="s">
        <v>23</v>
      </c>
      <c r="Q163" s="49" t="s">
        <v>41</v>
      </c>
      <c r="R163" s="49" t="s">
        <v>113</v>
      </c>
      <c r="S163" s="49">
        <v>5</v>
      </c>
      <c r="T163" s="49">
        <v>9</v>
      </c>
      <c r="U163" s="63">
        <v>31</v>
      </c>
      <c r="V163" s="63">
        <v>279</v>
      </c>
    </row>
    <row r="164" spans="1:22" x14ac:dyDescent="0.25">
      <c r="A164" s="49">
        <v>4517</v>
      </c>
      <c r="B164" s="49" t="s">
        <v>45</v>
      </c>
      <c r="C164" s="49" t="s">
        <v>177</v>
      </c>
      <c r="D164" s="49" t="s">
        <v>62</v>
      </c>
      <c r="E164" s="49" t="s">
        <v>172</v>
      </c>
      <c r="F164" s="49">
        <v>2013</v>
      </c>
      <c r="G164" s="50">
        <v>42485.791666666664</v>
      </c>
      <c r="H164" s="50">
        <v>42496.958333333336</v>
      </c>
      <c r="I164" s="54">
        <v>42485</v>
      </c>
      <c r="J164" s="54">
        <v>42496</v>
      </c>
      <c r="K164" s="51" t="s">
        <v>526</v>
      </c>
      <c r="L164" s="51">
        <v>0.95833333333333337</v>
      </c>
      <c r="M164" s="51" t="s">
        <v>541</v>
      </c>
      <c r="N164" s="51" t="s">
        <v>530</v>
      </c>
      <c r="O164" s="51" t="s">
        <v>524</v>
      </c>
      <c r="P164" s="49" t="s">
        <v>9</v>
      </c>
      <c r="Q164" s="49" t="s">
        <v>16</v>
      </c>
      <c r="R164" s="49" t="s">
        <v>109</v>
      </c>
      <c r="S164" s="49">
        <v>3</v>
      </c>
      <c r="T164" s="49">
        <v>10</v>
      </c>
      <c r="U164" s="63">
        <v>61</v>
      </c>
      <c r="V164" s="63">
        <v>610</v>
      </c>
    </row>
    <row r="165" spans="1:22" x14ac:dyDescent="0.25">
      <c r="A165" s="49">
        <v>4518</v>
      </c>
      <c r="B165" s="49" t="s">
        <v>11</v>
      </c>
      <c r="C165" s="49" t="s">
        <v>175</v>
      </c>
      <c r="D165" s="49" t="s">
        <v>71</v>
      </c>
      <c r="E165" s="49" t="s">
        <v>170</v>
      </c>
      <c r="F165" s="49">
        <v>2013</v>
      </c>
      <c r="G165" s="50">
        <v>42485.791666666664</v>
      </c>
      <c r="H165" s="50">
        <v>42496.958333333336</v>
      </c>
      <c r="I165" s="54">
        <v>42485</v>
      </c>
      <c r="J165" s="54">
        <v>42496</v>
      </c>
      <c r="K165" s="51" t="s">
        <v>526</v>
      </c>
      <c r="L165" s="51">
        <v>0.95833333333333337</v>
      </c>
      <c r="M165" s="51" t="s">
        <v>541</v>
      </c>
      <c r="N165" s="51" t="s">
        <v>530</v>
      </c>
      <c r="O165" s="51" t="s">
        <v>524</v>
      </c>
      <c r="P165" s="49" t="s">
        <v>9</v>
      </c>
      <c r="Q165" s="49" t="s">
        <v>24</v>
      </c>
      <c r="R165" s="49" t="s">
        <v>113</v>
      </c>
      <c r="S165" s="49">
        <v>5</v>
      </c>
      <c r="T165" s="49">
        <v>8</v>
      </c>
      <c r="U165" s="63">
        <v>41</v>
      </c>
      <c r="V165" s="63">
        <v>328</v>
      </c>
    </row>
    <row r="166" spans="1:22" x14ac:dyDescent="0.25">
      <c r="A166" s="49">
        <v>4519</v>
      </c>
      <c r="B166" s="49" t="s">
        <v>17</v>
      </c>
      <c r="C166" s="49" t="s">
        <v>176</v>
      </c>
      <c r="D166" s="49" t="s">
        <v>71</v>
      </c>
      <c r="E166" s="49" t="s">
        <v>170</v>
      </c>
      <c r="F166" s="49">
        <v>2013</v>
      </c>
      <c r="G166" s="50">
        <v>42487.583333333336</v>
      </c>
      <c r="H166" s="50">
        <v>42500.75</v>
      </c>
      <c r="I166" s="54">
        <v>42487</v>
      </c>
      <c r="J166" s="54">
        <v>42500</v>
      </c>
      <c r="K166" s="51" t="s">
        <v>527</v>
      </c>
      <c r="L166" s="51">
        <v>0.75</v>
      </c>
      <c r="M166" s="51" t="s">
        <v>542</v>
      </c>
      <c r="N166" s="51" t="s">
        <v>530</v>
      </c>
      <c r="O166" s="51" t="s">
        <v>524</v>
      </c>
      <c r="P166" s="49" t="s">
        <v>9</v>
      </c>
      <c r="Q166" s="49" t="s">
        <v>22</v>
      </c>
      <c r="R166" s="49" t="s">
        <v>109</v>
      </c>
      <c r="S166" s="49">
        <v>4</v>
      </c>
      <c r="T166" s="49">
        <v>11</v>
      </c>
      <c r="U166" s="63">
        <v>41</v>
      </c>
      <c r="V166" s="63">
        <v>451</v>
      </c>
    </row>
    <row r="167" spans="1:22" x14ac:dyDescent="0.25">
      <c r="A167" s="49">
        <v>4520</v>
      </c>
      <c r="B167" s="49" t="s">
        <v>11</v>
      </c>
      <c r="C167" s="49" t="s">
        <v>175</v>
      </c>
      <c r="D167" s="49" t="s">
        <v>74</v>
      </c>
      <c r="E167" s="49" t="s">
        <v>168</v>
      </c>
      <c r="F167" s="49">
        <v>2013</v>
      </c>
      <c r="G167" s="50">
        <v>42488.375</v>
      </c>
      <c r="H167" s="50">
        <v>42494.75</v>
      </c>
      <c r="I167" s="54">
        <v>42488</v>
      </c>
      <c r="J167" s="54">
        <v>42494</v>
      </c>
      <c r="K167" s="51" t="s">
        <v>525</v>
      </c>
      <c r="L167" s="51">
        <v>0.75</v>
      </c>
      <c r="M167" s="51" t="s">
        <v>540</v>
      </c>
      <c r="N167" s="51" t="s">
        <v>530</v>
      </c>
      <c r="O167" s="51" t="s">
        <v>524</v>
      </c>
      <c r="P167" s="49" t="s">
        <v>23</v>
      </c>
      <c r="Q167" s="49" t="s">
        <v>33</v>
      </c>
      <c r="R167" s="49" t="s">
        <v>113</v>
      </c>
      <c r="S167" s="49">
        <v>5</v>
      </c>
      <c r="T167" s="49">
        <v>11</v>
      </c>
      <c r="U167" s="63">
        <v>47</v>
      </c>
      <c r="V167" s="63">
        <v>517</v>
      </c>
    </row>
    <row r="168" spans="1:22" x14ac:dyDescent="0.25">
      <c r="A168" s="49">
        <v>4521</v>
      </c>
      <c r="B168" s="49" t="s">
        <v>29</v>
      </c>
      <c r="C168" s="49" t="s">
        <v>177</v>
      </c>
      <c r="D168" s="49" t="s">
        <v>73</v>
      </c>
      <c r="E168" s="49" t="s">
        <v>169</v>
      </c>
      <c r="F168" s="49">
        <v>2013</v>
      </c>
      <c r="G168" s="50">
        <v>42490.375</v>
      </c>
      <c r="H168" s="50">
        <v>42495.75</v>
      </c>
      <c r="I168" s="54">
        <v>42490</v>
      </c>
      <c r="J168" s="54">
        <v>42495</v>
      </c>
      <c r="K168" s="51" t="s">
        <v>525</v>
      </c>
      <c r="L168" s="51">
        <v>0.75</v>
      </c>
      <c r="M168" s="51" t="s">
        <v>540</v>
      </c>
      <c r="N168" s="51" t="s">
        <v>530</v>
      </c>
      <c r="O168" s="51" t="s">
        <v>524</v>
      </c>
      <c r="P168" s="49" t="s">
        <v>23</v>
      </c>
      <c r="Q168" s="49" t="s">
        <v>12</v>
      </c>
      <c r="R168" s="49" t="s">
        <v>113</v>
      </c>
      <c r="S168" s="49">
        <v>3</v>
      </c>
      <c r="T168" s="49">
        <v>10</v>
      </c>
      <c r="U168" s="63">
        <v>61</v>
      </c>
      <c r="V168" s="63">
        <v>610</v>
      </c>
    </row>
    <row r="169" spans="1:22" x14ac:dyDescent="0.25">
      <c r="A169" s="49">
        <v>4522</v>
      </c>
      <c r="B169" s="49" t="s">
        <v>7</v>
      </c>
      <c r="C169" s="49" t="s">
        <v>175</v>
      </c>
      <c r="D169" s="49" t="s">
        <v>70</v>
      </c>
      <c r="E169" s="49" t="s">
        <v>174</v>
      </c>
      <c r="F169" s="49">
        <v>2013</v>
      </c>
      <c r="G169" s="50">
        <v>42490.375</v>
      </c>
      <c r="H169" s="50">
        <v>42495.75</v>
      </c>
      <c r="I169" s="54">
        <v>42490</v>
      </c>
      <c r="J169" s="54">
        <v>42495</v>
      </c>
      <c r="K169" s="51" t="s">
        <v>525</v>
      </c>
      <c r="L169" s="51">
        <v>0.75</v>
      </c>
      <c r="M169" s="51" t="s">
        <v>540</v>
      </c>
      <c r="N169" s="51" t="s">
        <v>530</v>
      </c>
      <c r="O169" s="51" t="s">
        <v>524</v>
      </c>
      <c r="P169" s="49" t="s">
        <v>9</v>
      </c>
      <c r="Q169" s="49" t="s">
        <v>28</v>
      </c>
      <c r="R169" s="49" t="s">
        <v>109</v>
      </c>
      <c r="S169" s="49">
        <v>2</v>
      </c>
      <c r="T169" s="49">
        <v>8</v>
      </c>
      <c r="U169" s="63">
        <v>62</v>
      </c>
      <c r="V169" s="63">
        <v>496</v>
      </c>
    </row>
    <row r="170" spans="1:22" x14ac:dyDescent="0.25">
      <c r="A170" s="49">
        <v>4523</v>
      </c>
      <c r="B170" s="49" t="s">
        <v>19</v>
      </c>
      <c r="C170" s="49" t="s">
        <v>176</v>
      </c>
      <c r="D170" s="49" t="s">
        <v>66</v>
      </c>
      <c r="E170" s="49" t="s">
        <v>169</v>
      </c>
      <c r="F170" s="49">
        <v>2013</v>
      </c>
      <c r="G170" s="50">
        <v>42492.791666666664</v>
      </c>
      <c r="H170" s="50">
        <v>42503.958333333336</v>
      </c>
      <c r="I170" s="54">
        <v>42492</v>
      </c>
      <c r="J170" s="54">
        <v>42503</v>
      </c>
      <c r="K170" s="51" t="s">
        <v>526</v>
      </c>
      <c r="L170" s="51">
        <v>0.95833333333333337</v>
      </c>
      <c r="M170" s="51" t="s">
        <v>541</v>
      </c>
      <c r="N170" s="51" t="s">
        <v>531</v>
      </c>
      <c r="O170" s="51" t="s">
        <v>524</v>
      </c>
      <c r="P170" s="49" t="s">
        <v>9</v>
      </c>
      <c r="Q170" s="49" t="s">
        <v>33</v>
      </c>
      <c r="R170" s="49" t="s">
        <v>113</v>
      </c>
      <c r="S170" s="49">
        <v>5</v>
      </c>
      <c r="T170" s="49">
        <v>10</v>
      </c>
      <c r="U170" s="63">
        <v>47</v>
      </c>
      <c r="V170" s="63">
        <v>470</v>
      </c>
    </row>
    <row r="171" spans="1:22" x14ac:dyDescent="0.25">
      <c r="A171" s="49">
        <v>4524</v>
      </c>
      <c r="B171" s="49" t="s">
        <v>7</v>
      </c>
      <c r="C171" s="49" t="s">
        <v>175</v>
      </c>
      <c r="D171" s="49" t="s">
        <v>63</v>
      </c>
      <c r="E171" s="49" t="s">
        <v>172</v>
      </c>
      <c r="F171" s="49">
        <v>2013</v>
      </c>
      <c r="G171" s="50">
        <v>42492.791666666664</v>
      </c>
      <c r="H171" s="50">
        <v>42503.958333333336</v>
      </c>
      <c r="I171" s="54">
        <v>42492</v>
      </c>
      <c r="J171" s="54">
        <v>42503</v>
      </c>
      <c r="K171" s="51" t="s">
        <v>526</v>
      </c>
      <c r="L171" s="51">
        <v>0.95833333333333337</v>
      </c>
      <c r="M171" s="51" t="s">
        <v>541</v>
      </c>
      <c r="N171" s="51" t="s">
        <v>531</v>
      </c>
      <c r="O171" s="51" t="s">
        <v>524</v>
      </c>
      <c r="P171" s="49" t="s">
        <v>23</v>
      </c>
      <c r="Q171" s="49" t="s">
        <v>24</v>
      </c>
      <c r="R171" s="49" t="s">
        <v>113</v>
      </c>
      <c r="S171" s="49">
        <v>4</v>
      </c>
      <c r="T171" s="49">
        <v>11</v>
      </c>
      <c r="U171" s="63">
        <v>51</v>
      </c>
      <c r="V171" s="63">
        <v>561</v>
      </c>
    </row>
    <row r="172" spans="1:22" x14ac:dyDescent="0.25">
      <c r="A172" s="49">
        <v>4525</v>
      </c>
      <c r="B172" s="49" t="s">
        <v>22</v>
      </c>
      <c r="C172" s="49" t="s">
        <v>176</v>
      </c>
      <c r="D172" s="49" t="s">
        <v>70</v>
      </c>
      <c r="E172" s="49" t="s">
        <v>174</v>
      </c>
      <c r="F172" s="49">
        <v>2013</v>
      </c>
      <c r="G172" s="50">
        <v>42493.791666666664</v>
      </c>
      <c r="H172" s="50">
        <v>42506.958333333336</v>
      </c>
      <c r="I172" s="54">
        <v>42493</v>
      </c>
      <c r="J172" s="54">
        <v>42506</v>
      </c>
      <c r="K172" s="51" t="s">
        <v>526</v>
      </c>
      <c r="L172" s="51">
        <v>0.95833333333333337</v>
      </c>
      <c r="M172" s="51" t="s">
        <v>541</v>
      </c>
      <c r="N172" s="51" t="s">
        <v>531</v>
      </c>
      <c r="O172" s="51" t="s">
        <v>524</v>
      </c>
      <c r="P172" s="49" t="s">
        <v>9</v>
      </c>
      <c r="Q172" s="49" t="s">
        <v>16</v>
      </c>
      <c r="R172" s="49" t="s">
        <v>109</v>
      </c>
      <c r="S172" s="49">
        <v>2</v>
      </c>
      <c r="T172" s="49">
        <v>8</v>
      </c>
      <c r="U172" s="63">
        <v>62</v>
      </c>
      <c r="V172" s="63">
        <v>496</v>
      </c>
    </row>
    <row r="173" spans="1:22" x14ac:dyDescent="0.25">
      <c r="A173" s="49">
        <v>4526</v>
      </c>
      <c r="B173" s="49" t="s">
        <v>29</v>
      </c>
      <c r="C173" s="49" t="s">
        <v>177</v>
      </c>
      <c r="D173" s="49" t="s">
        <v>63</v>
      </c>
      <c r="E173" s="49" t="s">
        <v>172</v>
      </c>
      <c r="F173" s="49">
        <v>2013</v>
      </c>
      <c r="G173" s="50">
        <v>42493.791666666664</v>
      </c>
      <c r="H173" s="50">
        <v>42506.958333333336</v>
      </c>
      <c r="I173" s="54">
        <v>42493</v>
      </c>
      <c r="J173" s="54">
        <v>42506</v>
      </c>
      <c r="K173" s="51" t="s">
        <v>526</v>
      </c>
      <c r="L173" s="51">
        <v>0.95833333333333337</v>
      </c>
      <c r="M173" s="51" t="s">
        <v>541</v>
      </c>
      <c r="N173" s="51" t="s">
        <v>531</v>
      </c>
      <c r="O173" s="51" t="s">
        <v>524</v>
      </c>
      <c r="P173" s="49" t="s">
        <v>23</v>
      </c>
      <c r="Q173" s="49" t="s">
        <v>44</v>
      </c>
      <c r="R173" s="49" t="s">
        <v>113</v>
      </c>
      <c r="S173" s="49">
        <v>2</v>
      </c>
      <c r="T173" s="49">
        <v>8</v>
      </c>
      <c r="U173" s="63">
        <v>51</v>
      </c>
      <c r="V173" s="63">
        <v>408</v>
      </c>
    </row>
    <row r="174" spans="1:22" x14ac:dyDescent="0.25">
      <c r="A174" s="49">
        <v>4527</v>
      </c>
      <c r="B174" s="49" t="s">
        <v>45</v>
      </c>
      <c r="C174" s="49" t="s">
        <v>177</v>
      </c>
      <c r="D174" s="49" t="s">
        <v>65</v>
      </c>
      <c r="E174" s="49" t="s">
        <v>173</v>
      </c>
      <c r="F174" s="49">
        <v>2013</v>
      </c>
      <c r="G174" s="50">
        <v>42493.791666666664</v>
      </c>
      <c r="H174" s="50">
        <v>42506.958333333336</v>
      </c>
      <c r="I174" s="54">
        <v>42493</v>
      </c>
      <c r="J174" s="54">
        <v>42506</v>
      </c>
      <c r="K174" s="51" t="s">
        <v>526</v>
      </c>
      <c r="L174" s="51">
        <v>0.95833333333333337</v>
      </c>
      <c r="M174" s="51" t="s">
        <v>541</v>
      </c>
      <c r="N174" s="51" t="s">
        <v>531</v>
      </c>
      <c r="O174" s="51" t="s">
        <v>524</v>
      </c>
      <c r="P174" s="49" t="s">
        <v>9</v>
      </c>
      <c r="Q174" s="49" t="s">
        <v>190</v>
      </c>
      <c r="R174" s="49" t="s">
        <v>109</v>
      </c>
      <c r="S174" s="49">
        <v>4</v>
      </c>
      <c r="T174" s="49">
        <v>9</v>
      </c>
      <c r="U174" s="63">
        <v>31</v>
      </c>
      <c r="V174" s="63">
        <v>279</v>
      </c>
    </row>
    <row r="175" spans="1:22" x14ac:dyDescent="0.25">
      <c r="A175" s="49">
        <v>4528</v>
      </c>
      <c r="B175" s="49" t="s">
        <v>11</v>
      </c>
      <c r="C175" s="49" t="s">
        <v>175</v>
      </c>
      <c r="D175" s="49" t="s">
        <v>62</v>
      </c>
      <c r="E175" s="49" t="s">
        <v>172</v>
      </c>
      <c r="F175" s="49">
        <v>2013</v>
      </c>
      <c r="G175" s="50">
        <v>42494.583333333336</v>
      </c>
      <c r="H175" s="50">
        <v>42507.75</v>
      </c>
      <c r="I175" s="54">
        <v>42494</v>
      </c>
      <c r="J175" s="54">
        <v>42507</v>
      </c>
      <c r="K175" s="51" t="s">
        <v>527</v>
      </c>
      <c r="L175" s="51">
        <v>0.75</v>
      </c>
      <c r="M175" s="51" t="s">
        <v>542</v>
      </c>
      <c r="N175" s="51" t="s">
        <v>531</v>
      </c>
      <c r="O175" s="51" t="s">
        <v>524</v>
      </c>
      <c r="P175" s="49" t="s">
        <v>9</v>
      </c>
      <c r="Q175" s="49" t="s">
        <v>190</v>
      </c>
      <c r="R175" s="49" t="s">
        <v>109</v>
      </c>
      <c r="S175" s="49">
        <v>2</v>
      </c>
      <c r="T175" s="49">
        <v>8</v>
      </c>
      <c r="U175" s="63">
        <v>61</v>
      </c>
      <c r="V175" s="63">
        <v>488</v>
      </c>
    </row>
    <row r="176" spans="1:22" x14ac:dyDescent="0.25">
      <c r="A176" s="49">
        <v>4529</v>
      </c>
      <c r="B176" s="49" t="s">
        <v>14</v>
      </c>
      <c r="C176" s="49" t="s">
        <v>175</v>
      </c>
      <c r="D176" s="49" t="s">
        <v>63</v>
      </c>
      <c r="E176" s="49" t="s">
        <v>172</v>
      </c>
      <c r="F176" s="49">
        <v>2013</v>
      </c>
      <c r="G176" s="50">
        <v>42495.375</v>
      </c>
      <c r="H176" s="50">
        <v>42501.75</v>
      </c>
      <c r="I176" s="54">
        <v>42495</v>
      </c>
      <c r="J176" s="54">
        <v>42501</v>
      </c>
      <c r="K176" s="51" t="s">
        <v>525</v>
      </c>
      <c r="L176" s="51">
        <v>0.75</v>
      </c>
      <c r="M176" s="51" t="s">
        <v>540</v>
      </c>
      <c r="N176" s="51" t="s">
        <v>531</v>
      </c>
      <c r="O176" s="51" t="s">
        <v>524</v>
      </c>
      <c r="P176" s="49" t="s">
        <v>23</v>
      </c>
      <c r="Q176" s="49" t="s">
        <v>35</v>
      </c>
      <c r="R176" s="49" t="s">
        <v>109</v>
      </c>
      <c r="S176" s="49">
        <v>3</v>
      </c>
      <c r="T176" s="49">
        <v>11</v>
      </c>
      <c r="U176" s="63">
        <v>51</v>
      </c>
      <c r="V176" s="63">
        <v>561</v>
      </c>
    </row>
    <row r="177" spans="1:22" x14ac:dyDescent="0.25">
      <c r="A177" s="49">
        <v>4530</v>
      </c>
      <c r="B177" s="49" t="s">
        <v>29</v>
      </c>
      <c r="C177" s="49" t="s">
        <v>177</v>
      </c>
      <c r="D177" s="49" t="s">
        <v>72</v>
      </c>
      <c r="E177" s="49" t="s">
        <v>172</v>
      </c>
      <c r="F177" s="49">
        <v>2013</v>
      </c>
      <c r="G177" s="50">
        <v>42496.333333333336</v>
      </c>
      <c r="H177" s="50">
        <v>42509.5</v>
      </c>
      <c r="I177" s="54">
        <v>42496</v>
      </c>
      <c r="J177" s="54">
        <v>42509</v>
      </c>
      <c r="K177" s="51" t="s">
        <v>522</v>
      </c>
      <c r="L177" s="51">
        <v>0.5</v>
      </c>
      <c r="M177" s="51" t="s">
        <v>539</v>
      </c>
      <c r="N177" s="51" t="s">
        <v>531</v>
      </c>
      <c r="O177" s="51" t="s">
        <v>524</v>
      </c>
      <c r="P177" s="49" t="s">
        <v>9</v>
      </c>
      <c r="Q177" s="49" t="s">
        <v>44</v>
      </c>
      <c r="R177" s="49" t="s">
        <v>113</v>
      </c>
      <c r="S177" s="49">
        <v>4</v>
      </c>
      <c r="T177" s="49">
        <v>11</v>
      </c>
      <c r="U177" s="63">
        <v>33</v>
      </c>
      <c r="V177" s="63">
        <v>363</v>
      </c>
    </row>
    <row r="178" spans="1:22" x14ac:dyDescent="0.25">
      <c r="A178" s="49">
        <v>4531</v>
      </c>
      <c r="B178" s="49" t="s">
        <v>17</v>
      </c>
      <c r="C178" s="49" t="s">
        <v>176</v>
      </c>
      <c r="D178" s="49" t="s">
        <v>63</v>
      </c>
      <c r="E178" s="49" t="s">
        <v>172</v>
      </c>
      <c r="F178" s="49">
        <v>2013</v>
      </c>
      <c r="G178" s="50">
        <v>42497.375</v>
      </c>
      <c r="H178" s="50">
        <v>42502.75</v>
      </c>
      <c r="I178" s="54">
        <v>42497</v>
      </c>
      <c r="J178" s="54">
        <v>42502</v>
      </c>
      <c r="K178" s="51" t="s">
        <v>525</v>
      </c>
      <c r="L178" s="51">
        <v>0.75</v>
      </c>
      <c r="M178" s="51" t="s">
        <v>540</v>
      </c>
      <c r="N178" s="51" t="s">
        <v>531</v>
      </c>
      <c r="O178" s="51" t="s">
        <v>524</v>
      </c>
      <c r="P178" s="49" t="s">
        <v>23</v>
      </c>
      <c r="Q178" s="49" t="s">
        <v>18</v>
      </c>
      <c r="R178" s="49" t="s">
        <v>113</v>
      </c>
      <c r="S178" s="49">
        <v>3</v>
      </c>
      <c r="T178" s="49">
        <v>8</v>
      </c>
      <c r="U178" s="63">
        <v>51</v>
      </c>
      <c r="V178" s="63">
        <v>408</v>
      </c>
    </row>
    <row r="179" spans="1:22" x14ac:dyDescent="0.25">
      <c r="A179" s="49">
        <v>4532</v>
      </c>
      <c r="B179" s="49" t="s">
        <v>45</v>
      </c>
      <c r="C179" s="49" t="s">
        <v>177</v>
      </c>
      <c r="D179" s="49" t="s">
        <v>62</v>
      </c>
      <c r="E179" s="49" t="s">
        <v>172</v>
      </c>
      <c r="F179" s="49">
        <v>2013</v>
      </c>
      <c r="G179" s="50">
        <v>42497.375</v>
      </c>
      <c r="H179" s="50">
        <v>42502.75</v>
      </c>
      <c r="I179" s="54">
        <v>42497</v>
      </c>
      <c r="J179" s="54">
        <v>42502</v>
      </c>
      <c r="K179" s="51" t="s">
        <v>525</v>
      </c>
      <c r="L179" s="51">
        <v>0.75</v>
      </c>
      <c r="M179" s="51" t="s">
        <v>540</v>
      </c>
      <c r="N179" s="51" t="s">
        <v>531</v>
      </c>
      <c r="O179" s="51" t="s">
        <v>524</v>
      </c>
      <c r="P179" s="49" t="s">
        <v>9</v>
      </c>
      <c r="Q179" s="49" t="s">
        <v>22</v>
      </c>
      <c r="R179" s="49" t="s">
        <v>109</v>
      </c>
      <c r="S179" s="49">
        <v>2</v>
      </c>
      <c r="T179" s="49">
        <v>12</v>
      </c>
      <c r="U179" s="63">
        <v>61</v>
      </c>
      <c r="V179" s="63">
        <v>732</v>
      </c>
    </row>
    <row r="180" spans="1:22" x14ac:dyDescent="0.25">
      <c r="A180" s="49">
        <v>4533</v>
      </c>
      <c r="B180" s="49" t="s">
        <v>45</v>
      </c>
      <c r="C180" s="49" t="s">
        <v>177</v>
      </c>
      <c r="D180" s="49" t="s">
        <v>68</v>
      </c>
      <c r="E180" s="49" t="s">
        <v>172</v>
      </c>
      <c r="F180" s="49">
        <v>2013</v>
      </c>
      <c r="G180" s="50">
        <v>42497.375</v>
      </c>
      <c r="H180" s="50">
        <v>42502.75</v>
      </c>
      <c r="I180" s="54">
        <v>42497</v>
      </c>
      <c r="J180" s="54">
        <v>42502</v>
      </c>
      <c r="K180" s="51" t="s">
        <v>525</v>
      </c>
      <c r="L180" s="51">
        <v>0.75</v>
      </c>
      <c r="M180" s="51" t="s">
        <v>540</v>
      </c>
      <c r="N180" s="51" t="s">
        <v>531</v>
      </c>
      <c r="O180" s="51" t="s">
        <v>524</v>
      </c>
      <c r="P180" s="49" t="s">
        <v>9</v>
      </c>
      <c r="Q180" s="49" t="s">
        <v>31</v>
      </c>
      <c r="R180" s="49" t="s">
        <v>113</v>
      </c>
      <c r="S180" s="49">
        <v>3</v>
      </c>
      <c r="T180" s="49">
        <v>12</v>
      </c>
      <c r="U180" s="63">
        <v>42</v>
      </c>
      <c r="V180" s="63">
        <v>504</v>
      </c>
    </row>
    <row r="181" spans="1:22" x14ac:dyDescent="0.25">
      <c r="A181" s="49">
        <v>4534</v>
      </c>
      <c r="B181" s="49" t="s">
        <v>7</v>
      </c>
      <c r="C181" s="49" t="s">
        <v>175</v>
      </c>
      <c r="D181" s="49" t="s">
        <v>75</v>
      </c>
      <c r="E181" s="49" t="s">
        <v>174</v>
      </c>
      <c r="F181" s="49">
        <v>2013</v>
      </c>
      <c r="G181" s="50">
        <v>42499.791666666664</v>
      </c>
      <c r="H181" s="50">
        <v>42510.958333333336</v>
      </c>
      <c r="I181" s="54">
        <v>42499</v>
      </c>
      <c r="J181" s="54">
        <v>42510</v>
      </c>
      <c r="K181" s="51" t="s">
        <v>526</v>
      </c>
      <c r="L181" s="51">
        <v>0.95833333333333337</v>
      </c>
      <c r="M181" s="51" t="s">
        <v>541</v>
      </c>
      <c r="N181" s="51" t="s">
        <v>531</v>
      </c>
      <c r="O181" s="51" t="s">
        <v>524</v>
      </c>
      <c r="P181" s="49" t="s">
        <v>9</v>
      </c>
      <c r="Q181" s="49" t="s">
        <v>22</v>
      </c>
      <c r="R181" s="49" t="s">
        <v>109</v>
      </c>
      <c r="S181" s="49">
        <v>2</v>
      </c>
      <c r="T181" s="49">
        <v>10</v>
      </c>
      <c r="U181" s="63">
        <v>52</v>
      </c>
      <c r="V181" s="63">
        <v>520</v>
      </c>
    </row>
    <row r="182" spans="1:22" x14ac:dyDescent="0.25">
      <c r="A182" s="49">
        <v>4535</v>
      </c>
      <c r="B182" s="49" t="s">
        <v>17</v>
      </c>
      <c r="C182" s="49" t="s">
        <v>176</v>
      </c>
      <c r="D182" s="49" t="s">
        <v>71</v>
      </c>
      <c r="E182" s="49" t="s">
        <v>170</v>
      </c>
      <c r="F182" s="49">
        <v>2013</v>
      </c>
      <c r="G182" s="50">
        <v>42500.791666666664</v>
      </c>
      <c r="H182" s="50">
        <v>42513.958333333336</v>
      </c>
      <c r="I182" s="54">
        <v>42500</v>
      </c>
      <c r="J182" s="54">
        <v>42513</v>
      </c>
      <c r="K182" s="51" t="s">
        <v>526</v>
      </c>
      <c r="L182" s="51">
        <v>0.95833333333333337</v>
      </c>
      <c r="M182" s="51" t="s">
        <v>541</v>
      </c>
      <c r="N182" s="51" t="s">
        <v>531</v>
      </c>
      <c r="O182" s="51" t="s">
        <v>524</v>
      </c>
      <c r="P182" s="49" t="s">
        <v>9</v>
      </c>
      <c r="Q182" s="49" t="s">
        <v>38</v>
      </c>
      <c r="R182" s="49" t="s">
        <v>113</v>
      </c>
      <c r="S182" s="49">
        <v>3</v>
      </c>
      <c r="T182" s="49">
        <v>11</v>
      </c>
      <c r="U182" s="63">
        <v>41</v>
      </c>
      <c r="V182" s="63">
        <v>451</v>
      </c>
    </row>
    <row r="183" spans="1:22" x14ac:dyDescent="0.25">
      <c r="A183" s="49">
        <v>4536</v>
      </c>
      <c r="B183" s="49" t="s">
        <v>39</v>
      </c>
      <c r="C183" s="49" t="s">
        <v>177</v>
      </c>
      <c r="D183" s="49" t="s">
        <v>70</v>
      </c>
      <c r="E183" s="49" t="s">
        <v>174</v>
      </c>
      <c r="F183" s="49">
        <v>2013</v>
      </c>
      <c r="G183" s="50">
        <v>42500.791666666664</v>
      </c>
      <c r="H183" s="50">
        <v>42513.958333333336</v>
      </c>
      <c r="I183" s="54">
        <v>42500</v>
      </c>
      <c r="J183" s="54">
        <v>42513</v>
      </c>
      <c r="K183" s="51" t="s">
        <v>526</v>
      </c>
      <c r="L183" s="51">
        <v>0.95833333333333337</v>
      </c>
      <c r="M183" s="51" t="s">
        <v>541</v>
      </c>
      <c r="N183" s="51" t="s">
        <v>531</v>
      </c>
      <c r="O183" s="51" t="s">
        <v>524</v>
      </c>
      <c r="P183" s="49" t="s">
        <v>9</v>
      </c>
      <c r="Q183" s="49" t="s">
        <v>33</v>
      </c>
      <c r="R183" s="49" t="s">
        <v>113</v>
      </c>
      <c r="S183" s="49">
        <v>2</v>
      </c>
      <c r="T183" s="49">
        <v>12</v>
      </c>
      <c r="U183" s="63">
        <v>62</v>
      </c>
      <c r="V183" s="63">
        <v>744</v>
      </c>
    </row>
    <row r="184" spans="1:22" x14ac:dyDescent="0.25">
      <c r="A184" s="49">
        <v>4537</v>
      </c>
      <c r="B184" s="49" t="s">
        <v>14</v>
      </c>
      <c r="C184" s="49" t="s">
        <v>175</v>
      </c>
      <c r="D184" s="49" t="s">
        <v>74</v>
      </c>
      <c r="E184" s="49" t="s">
        <v>168</v>
      </c>
      <c r="F184" s="49">
        <v>2013</v>
      </c>
      <c r="G184" s="50">
        <v>42500.791666666664</v>
      </c>
      <c r="H184" s="50">
        <v>42513.958333333336</v>
      </c>
      <c r="I184" s="54">
        <v>42500</v>
      </c>
      <c r="J184" s="54">
        <v>42513</v>
      </c>
      <c r="K184" s="51" t="s">
        <v>526</v>
      </c>
      <c r="L184" s="51">
        <v>0.95833333333333337</v>
      </c>
      <c r="M184" s="51" t="s">
        <v>541</v>
      </c>
      <c r="N184" s="51" t="s">
        <v>531</v>
      </c>
      <c r="O184" s="51" t="s">
        <v>524</v>
      </c>
      <c r="P184" s="49" t="s">
        <v>23</v>
      </c>
      <c r="Q184" s="49" t="s">
        <v>26</v>
      </c>
      <c r="R184" s="49" t="s">
        <v>113</v>
      </c>
      <c r="S184" s="49">
        <v>3</v>
      </c>
      <c r="T184" s="49">
        <v>12</v>
      </c>
      <c r="U184" s="63">
        <v>47</v>
      </c>
      <c r="V184" s="63">
        <v>564</v>
      </c>
    </row>
    <row r="185" spans="1:22" x14ac:dyDescent="0.25">
      <c r="A185" s="49">
        <v>4538</v>
      </c>
      <c r="B185" s="49" t="s">
        <v>7</v>
      </c>
      <c r="C185" s="49" t="s">
        <v>175</v>
      </c>
      <c r="D185" s="49" t="s">
        <v>76</v>
      </c>
      <c r="E185" s="49" t="s">
        <v>174</v>
      </c>
      <c r="F185" s="49">
        <v>2016</v>
      </c>
      <c r="G185" s="50">
        <v>42501.583333333336</v>
      </c>
      <c r="H185" s="50">
        <v>42514.75</v>
      </c>
      <c r="I185" s="54">
        <v>42501</v>
      </c>
      <c r="J185" s="54">
        <v>42514</v>
      </c>
      <c r="K185" s="51" t="s">
        <v>527</v>
      </c>
      <c r="L185" s="51">
        <v>0.75</v>
      </c>
      <c r="M185" s="51" t="s">
        <v>542</v>
      </c>
      <c r="N185" s="51" t="s">
        <v>531</v>
      </c>
      <c r="O185" s="51" t="s">
        <v>524</v>
      </c>
      <c r="P185" s="49" t="s">
        <v>9</v>
      </c>
      <c r="Q185" s="49" t="s">
        <v>190</v>
      </c>
      <c r="R185" s="49" t="s">
        <v>109</v>
      </c>
      <c r="S185" s="49">
        <v>2</v>
      </c>
      <c r="T185" s="49">
        <v>11</v>
      </c>
      <c r="U185" s="63">
        <v>53</v>
      </c>
      <c r="V185" s="63">
        <v>583</v>
      </c>
    </row>
    <row r="186" spans="1:22" x14ac:dyDescent="0.25">
      <c r="A186" s="49">
        <v>4539</v>
      </c>
      <c r="B186" s="49" t="s">
        <v>11</v>
      </c>
      <c r="C186" s="49" t="s">
        <v>175</v>
      </c>
      <c r="D186" s="49" t="s">
        <v>76</v>
      </c>
      <c r="E186" s="49" t="s">
        <v>174</v>
      </c>
      <c r="F186" s="49">
        <v>2016</v>
      </c>
      <c r="G186" s="50">
        <v>42502.375</v>
      </c>
      <c r="H186" s="50">
        <v>42508.75</v>
      </c>
      <c r="I186" s="54">
        <v>42502</v>
      </c>
      <c r="J186" s="54">
        <v>42508</v>
      </c>
      <c r="K186" s="51" t="s">
        <v>525</v>
      </c>
      <c r="L186" s="51">
        <v>0.75</v>
      </c>
      <c r="M186" s="51" t="s">
        <v>540</v>
      </c>
      <c r="N186" s="51" t="s">
        <v>531</v>
      </c>
      <c r="O186" s="51" t="s">
        <v>524</v>
      </c>
      <c r="P186" s="49" t="s">
        <v>9</v>
      </c>
      <c r="Q186" s="49" t="s">
        <v>12</v>
      </c>
      <c r="R186" s="49" t="s">
        <v>113</v>
      </c>
      <c r="S186" s="49">
        <v>3</v>
      </c>
      <c r="T186" s="49">
        <v>11</v>
      </c>
      <c r="U186" s="63">
        <v>53</v>
      </c>
      <c r="V186" s="63">
        <v>583</v>
      </c>
    </row>
    <row r="187" spans="1:22" x14ac:dyDescent="0.25">
      <c r="A187" s="49">
        <v>4540</v>
      </c>
      <c r="B187" s="49" t="s">
        <v>14</v>
      </c>
      <c r="C187" s="49" t="s">
        <v>175</v>
      </c>
      <c r="D187" s="49" t="s">
        <v>77</v>
      </c>
      <c r="E187" s="49" t="s">
        <v>172</v>
      </c>
      <c r="F187" s="49">
        <v>2016</v>
      </c>
      <c r="G187" s="50">
        <v>42503.333333333336</v>
      </c>
      <c r="H187" s="50">
        <v>42516.5</v>
      </c>
      <c r="I187" s="54">
        <v>42503</v>
      </c>
      <c r="J187" s="54">
        <v>42516</v>
      </c>
      <c r="K187" s="51" t="s">
        <v>522</v>
      </c>
      <c r="L187" s="51">
        <v>0.5</v>
      </c>
      <c r="M187" s="51" t="s">
        <v>539</v>
      </c>
      <c r="N187" s="51" t="s">
        <v>531</v>
      </c>
      <c r="O187" s="51" t="s">
        <v>524</v>
      </c>
      <c r="P187" s="49" t="s">
        <v>9</v>
      </c>
      <c r="Q187" s="49" t="s">
        <v>16</v>
      </c>
      <c r="R187" s="49" t="s">
        <v>109</v>
      </c>
      <c r="S187" s="49">
        <v>3</v>
      </c>
      <c r="T187" s="49">
        <v>10</v>
      </c>
      <c r="U187" s="63">
        <v>35</v>
      </c>
      <c r="V187" s="63">
        <v>350</v>
      </c>
    </row>
    <row r="188" spans="1:22" x14ac:dyDescent="0.25">
      <c r="A188" s="49">
        <v>4541</v>
      </c>
      <c r="B188" s="49" t="s">
        <v>17</v>
      </c>
      <c r="C188" s="49" t="s">
        <v>176</v>
      </c>
      <c r="D188" s="49" t="s">
        <v>76</v>
      </c>
      <c r="E188" s="49" t="s">
        <v>174</v>
      </c>
      <c r="F188" s="49">
        <v>2016</v>
      </c>
      <c r="G188" s="50">
        <v>42504.375</v>
      </c>
      <c r="H188" s="50">
        <v>42509.75</v>
      </c>
      <c r="I188" s="54">
        <v>42504</v>
      </c>
      <c r="J188" s="54">
        <v>42509</v>
      </c>
      <c r="K188" s="51" t="s">
        <v>525</v>
      </c>
      <c r="L188" s="51">
        <v>0.75</v>
      </c>
      <c r="M188" s="51" t="s">
        <v>540</v>
      </c>
      <c r="N188" s="51" t="s">
        <v>531</v>
      </c>
      <c r="O188" s="51" t="s">
        <v>524</v>
      </c>
      <c r="P188" s="49" t="s">
        <v>9</v>
      </c>
      <c r="Q188" s="49" t="s">
        <v>18</v>
      </c>
      <c r="R188" s="49" t="s">
        <v>113</v>
      </c>
      <c r="S188" s="49">
        <v>5</v>
      </c>
      <c r="T188" s="49">
        <v>9</v>
      </c>
      <c r="U188" s="63">
        <v>53</v>
      </c>
      <c r="V188" s="63">
        <v>477</v>
      </c>
    </row>
    <row r="189" spans="1:22" x14ac:dyDescent="0.25">
      <c r="A189" s="49">
        <v>4542</v>
      </c>
      <c r="B189" s="49" t="s">
        <v>19</v>
      </c>
      <c r="C189" s="49" t="s">
        <v>176</v>
      </c>
      <c r="D189" s="49" t="s">
        <v>78</v>
      </c>
      <c r="E189" s="49" t="s">
        <v>172</v>
      </c>
      <c r="F189" s="49">
        <v>2016</v>
      </c>
      <c r="G189" s="50">
        <v>42506.791666666664</v>
      </c>
      <c r="H189" s="50">
        <v>42517.958333333336</v>
      </c>
      <c r="I189" s="54">
        <v>42506</v>
      </c>
      <c r="J189" s="54">
        <v>42517</v>
      </c>
      <c r="K189" s="51" t="s">
        <v>526</v>
      </c>
      <c r="L189" s="51">
        <v>0.95833333333333337</v>
      </c>
      <c r="M189" s="51" t="s">
        <v>541</v>
      </c>
      <c r="N189" s="51" t="s">
        <v>531</v>
      </c>
      <c r="O189" s="51" t="s">
        <v>524</v>
      </c>
      <c r="P189" s="49" t="s">
        <v>9</v>
      </c>
      <c r="Q189" s="49" t="s">
        <v>21</v>
      </c>
      <c r="R189" s="49" t="s">
        <v>113</v>
      </c>
      <c r="S189" s="49">
        <v>5</v>
      </c>
      <c r="T189" s="49">
        <v>8</v>
      </c>
      <c r="U189" s="63">
        <v>62</v>
      </c>
      <c r="V189" s="63">
        <v>496</v>
      </c>
    </row>
    <row r="190" spans="1:22" x14ac:dyDescent="0.25">
      <c r="A190" s="49">
        <v>4543</v>
      </c>
      <c r="B190" s="49" t="s">
        <v>22</v>
      </c>
      <c r="C190" s="49" t="s">
        <v>176</v>
      </c>
      <c r="D190" s="49" t="s">
        <v>76</v>
      </c>
      <c r="E190" s="49" t="s">
        <v>174</v>
      </c>
      <c r="F190" s="49">
        <v>2016</v>
      </c>
      <c r="G190" s="50">
        <v>42506.791666666664</v>
      </c>
      <c r="H190" s="50">
        <v>42517.958333333336</v>
      </c>
      <c r="I190" s="54">
        <v>42506</v>
      </c>
      <c r="J190" s="54">
        <v>42517</v>
      </c>
      <c r="K190" s="51" t="s">
        <v>526</v>
      </c>
      <c r="L190" s="51">
        <v>0.95833333333333337</v>
      </c>
      <c r="M190" s="51" t="s">
        <v>541</v>
      </c>
      <c r="N190" s="51" t="s">
        <v>531</v>
      </c>
      <c r="O190" s="51" t="s">
        <v>524</v>
      </c>
      <c r="P190" s="49" t="s">
        <v>23</v>
      </c>
      <c r="Q190" s="49" t="s">
        <v>24</v>
      </c>
      <c r="R190" s="49" t="s">
        <v>113</v>
      </c>
      <c r="S190" s="49">
        <v>3</v>
      </c>
      <c r="T190" s="49">
        <v>8</v>
      </c>
      <c r="U190" s="63">
        <v>53</v>
      </c>
      <c r="V190" s="63">
        <v>424</v>
      </c>
    </row>
    <row r="191" spans="1:22" x14ac:dyDescent="0.25">
      <c r="A191" s="49">
        <v>4544</v>
      </c>
      <c r="B191" s="49" t="s">
        <v>7</v>
      </c>
      <c r="C191" s="49" t="s">
        <v>175</v>
      </c>
      <c r="D191" s="49" t="s">
        <v>79</v>
      </c>
      <c r="E191" s="49" t="s">
        <v>168</v>
      </c>
      <c r="F191" s="49">
        <v>2016</v>
      </c>
      <c r="G191" s="50">
        <v>42507.791666666664</v>
      </c>
      <c r="H191" s="50">
        <v>42520.958333333336</v>
      </c>
      <c r="I191" s="54">
        <v>42507</v>
      </c>
      <c r="J191" s="54">
        <v>42520</v>
      </c>
      <c r="K191" s="51" t="s">
        <v>526</v>
      </c>
      <c r="L191" s="51">
        <v>0.95833333333333337</v>
      </c>
      <c r="M191" s="51" t="s">
        <v>541</v>
      </c>
      <c r="N191" s="51" t="s">
        <v>531</v>
      </c>
      <c r="O191" s="51" t="s">
        <v>524</v>
      </c>
      <c r="P191" s="49" t="s">
        <v>9</v>
      </c>
      <c r="Q191" s="49" t="s">
        <v>26</v>
      </c>
      <c r="R191" s="49" t="s">
        <v>113</v>
      </c>
      <c r="S191" s="49">
        <v>5</v>
      </c>
      <c r="T191" s="49">
        <v>11</v>
      </c>
      <c r="U191" s="63">
        <v>48</v>
      </c>
      <c r="V191" s="63">
        <v>528</v>
      </c>
    </row>
    <row r="192" spans="1:22" x14ac:dyDescent="0.25">
      <c r="A192" s="49">
        <v>4545</v>
      </c>
      <c r="B192" s="49" t="s">
        <v>17</v>
      </c>
      <c r="C192" s="49" t="s">
        <v>176</v>
      </c>
      <c r="D192" s="49" t="s">
        <v>80</v>
      </c>
      <c r="E192" s="49" t="s">
        <v>173</v>
      </c>
      <c r="F192" s="49">
        <v>2016</v>
      </c>
      <c r="G192" s="50">
        <v>42508.583333333336</v>
      </c>
      <c r="H192" s="50">
        <v>42521.75</v>
      </c>
      <c r="I192" s="54">
        <v>42508</v>
      </c>
      <c r="J192" s="54">
        <v>42521</v>
      </c>
      <c r="K192" s="51" t="s">
        <v>527</v>
      </c>
      <c r="L192" s="51">
        <v>0.75</v>
      </c>
      <c r="M192" s="51" t="s">
        <v>542</v>
      </c>
      <c r="N192" s="51" t="s">
        <v>531</v>
      </c>
      <c r="O192" s="51" t="s">
        <v>524</v>
      </c>
      <c r="P192" s="49" t="s">
        <v>23</v>
      </c>
      <c r="Q192" s="49" t="s">
        <v>28</v>
      </c>
      <c r="R192" s="49" t="s">
        <v>109</v>
      </c>
      <c r="S192" s="49">
        <v>5</v>
      </c>
      <c r="T192" s="49">
        <v>10</v>
      </c>
      <c r="U192" s="63">
        <v>32</v>
      </c>
      <c r="V192" s="63">
        <v>320</v>
      </c>
    </row>
    <row r="193" spans="1:22" x14ac:dyDescent="0.25">
      <c r="A193" s="49">
        <v>4546</v>
      </c>
      <c r="B193" s="49" t="s">
        <v>29</v>
      </c>
      <c r="C193" s="49" t="s">
        <v>177</v>
      </c>
      <c r="D193" s="49" t="s">
        <v>78</v>
      </c>
      <c r="E193" s="49" t="s">
        <v>172</v>
      </c>
      <c r="F193" s="49">
        <v>2016</v>
      </c>
      <c r="G193" s="50">
        <v>42509.375</v>
      </c>
      <c r="H193" s="50">
        <v>42515.75</v>
      </c>
      <c r="I193" s="54">
        <v>42509</v>
      </c>
      <c r="J193" s="54">
        <v>42515</v>
      </c>
      <c r="K193" s="51" t="s">
        <v>525</v>
      </c>
      <c r="L193" s="51">
        <v>0.75</v>
      </c>
      <c r="M193" s="51" t="s">
        <v>540</v>
      </c>
      <c r="N193" s="51" t="s">
        <v>531</v>
      </c>
      <c r="O193" s="51" t="s">
        <v>524</v>
      </c>
      <c r="P193" s="49" t="s">
        <v>9</v>
      </c>
      <c r="Q193" s="49" t="s">
        <v>21</v>
      </c>
      <c r="R193" s="49" t="s">
        <v>113</v>
      </c>
      <c r="S193" s="49">
        <v>2</v>
      </c>
      <c r="T193" s="49">
        <v>11</v>
      </c>
      <c r="U193" s="63">
        <v>62</v>
      </c>
      <c r="V193" s="63">
        <v>682</v>
      </c>
    </row>
    <row r="194" spans="1:22" x14ac:dyDescent="0.25">
      <c r="A194" s="49">
        <v>4547</v>
      </c>
      <c r="B194" s="49" t="s">
        <v>7</v>
      </c>
      <c r="C194" s="49" t="s">
        <v>175</v>
      </c>
      <c r="D194" s="49" t="s">
        <v>81</v>
      </c>
      <c r="E194" s="49" t="s">
        <v>172</v>
      </c>
      <c r="F194" s="49">
        <v>2016</v>
      </c>
      <c r="G194" s="50">
        <v>42510.333333333336</v>
      </c>
      <c r="H194" s="50">
        <v>42523.5</v>
      </c>
      <c r="I194" s="54">
        <v>42510</v>
      </c>
      <c r="J194" s="54">
        <v>42523</v>
      </c>
      <c r="K194" s="51" t="s">
        <v>522</v>
      </c>
      <c r="L194" s="51">
        <v>0.5</v>
      </c>
      <c r="M194" s="51" t="s">
        <v>539</v>
      </c>
      <c r="N194" s="51" t="s">
        <v>531</v>
      </c>
      <c r="O194" s="51" t="s">
        <v>524</v>
      </c>
      <c r="P194" s="49" t="s">
        <v>9</v>
      </c>
      <c r="Q194" s="49" t="s">
        <v>31</v>
      </c>
      <c r="R194" s="49" t="s">
        <v>113</v>
      </c>
      <c r="S194" s="49">
        <v>5</v>
      </c>
      <c r="T194" s="49">
        <v>10</v>
      </c>
      <c r="U194" s="63">
        <v>43</v>
      </c>
      <c r="V194" s="63">
        <v>430</v>
      </c>
    </row>
    <row r="195" spans="1:22" x14ac:dyDescent="0.25">
      <c r="A195" s="49">
        <v>4548</v>
      </c>
      <c r="B195" s="49" t="s">
        <v>11</v>
      </c>
      <c r="C195" s="49" t="s">
        <v>175</v>
      </c>
      <c r="D195" s="49" t="s">
        <v>82</v>
      </c>
      <c r="E195" s="49" t="s">
        <v>172</v>
      </c>
      <c r="F195" s="49">
        <v>2016</v>
      </c>
      <c r="G195" s="50">
        <v>42511.375</v>
      </c>
      <c r="H195" s="50">
        <v>42516.75</v>
      </c>
      <c r="I195" s="54">
        <v>42511</v>
      </c>
      <c r="J195" s="54">
        <v>42516</v>
      </c>
      <c r="K195" s="51" t="s">
        <v>525</v>
      </c>
      <c r="L195" s="51">
        <v>0.75</v>
      </c>
      <c r="M195" s="51" t="s">
        <v>540</v>
      </c>
      <c r="N195" s="51" t="s">
        <v>531</v>
      </c>
      <c r="O195" s="51" t="s">
        <v>524</v>
      </c>
      <c r="P195" s="49" t="s">
        <v>23</v>
      </c>
      <c r="Q195" s="49" t="s">
        <v>22</v>
      </c>
      <c r="R195" s="49" t="s">
        <v>109</v>
      </c>
      <c r="S195" s="49">
        <v>5</v>
      </c>
      <c r="T195" s="49">
        <v>10</v>
      </c>
      <c r="U195" s="63">
        <v>75</v>
      </c>
      <c r="V195" s="63">
        <v>750</v>
      </c>
    </row>
    <row r="196" spans="1:22" x14ac:dyDescent="0.25">
      <c r="A196" s="49">
        <v>4549</v>
      </c>
      <c r="B196" s="49" t="s">
        <v>7</v>
      </c>
      <c r="C196" s="49" t="s">
        <v>175</v>
      </c>
      <c r="D196" s="49" t="s">
        <v>76</v>
      </c>
      <c r="E196" s="49" t="s">
        <v>174</v>
      </c>
      <c r="F196" s="49">
        <v>2016</v>
      </c>
      <c r="G196" s="50">
        <v>42513.791666666664</v>
      </c>
      <c r="H196" s="50">
        <v>42524.958333333336</v>
      </c>
      <c r="I196" s="54">
        <v>42513</v>
      </c>
      <c r="J196" s="54">
        <v>42524</v>
      </c>
      <c r="K196" s="51" t="s">
        <v>526</v>
      </c>
      <c r="L196" s="51">
        <v>0.95833333333333337</v>
      </c>
      <c r="M196" s="51" t="s">
        <v>541</v>
      </c>
      <c r="N196" s="51" t="s">
        <v>531</v>
      </c>
      <c r="O196" s="51" t="s">
        <v>524</v>
      </c>
      <c r="P196" s="49" t="s">
        <v>9</v>
      </c>
      <c r="Q196" s="49" t="s">
        <v>33</v>
      </c>
      <c r="R196" s="49" t="s">
        <v>113</v>
      </c>
      <c r="S196" s="49">
        <v>2</v>
      </c>
      <c r="T196" s="49">
        <v>9</v>
      </c>
      <c r="U196" s="63">
        <v>53</v>
      </c>
      <c r="V196" s="63">
        <v>477</v>
      </c>
    </row>
    <row r="197" spans="1:22" x14ac:dyDescent="0.25">
      <c r="A197" s="49">
        <v>4550</v>
      </c>
      <c r="B197" s="49" t="s">
        <v>22</v>
      </c>
      <c r="C197" s="49" t="s">
        <v>176</v>
      </c>
      <c r="D197" s="49" t="s">
        <v>83</v>
      </c>
      <c r="E197" s="49" t="s">
        <v>174</v>
      </c>
      <c r="F197" s="49">
        <v>2016</v>
      </c>
      <c r="G197" s="50">
        <v>42513.791666666664</v>
      </c>
      <c r="H197" s="50">
        <v>42524.958333333336</v>
      </c>
      <c r="I197" s="54">
        <v>42513</v>
      </c>
      <c r="J197" s="54">
        <v>42524</v>
      </c>
      <c r="K197" s="51" t="s">
        <v>526</v>
      </c>
      <c r="L197" s="51">
        <v>0.95833333333333337</v>
      </c>
      <c r="M197" s="51" t="s">
        <v>541</v>
      </c>
      <c r="N197" s="51" t="s">
        <v>531</v>
      </c>
      <c r="O197" s="51" t="s">
        <v>524</v>
      </c>
      <c r="P197" s="49" t="s">
        <v>23</v>
      </c>
      <c r="Q197" s="49" t="s">
        <v>35</v>
      </c>
      <c r="R197" s="49" t="s">
        <v>109</v>
      </c>
      <c r="S197" s="49">
        <v>2</v>
      </c>
      <c r="T197" s="49">
        <v>8</v>
      </c>
      <c r="U197" s="63">
        <v>63</v>
      </c>
      <c r="V197" s="63">
        <v>504</v>
      </c>
    </row>
    <row r="198" spans="1:22" x14ac:dyDescent="0.25">
      <c r="A198" s="49">
        <v>4551</v>
      </c>
      <c r="B198" s="49" t="s">
        <v>14</v>
      </c>
      <c r="C198" s="49" t="s">
        <v>175</v>
      </c>
      <c r="D198" s="49" t="s">
        <v>79</v>
      </c>
      <c r="E198" s="49" t="s">
        <v>168</v>
      </c>
      <c r="F198" s="49">
        <v>2016</v>
      </c>
      <c r="G198" s="50">
        <v>42514.791666666664</v>
      </c>
      <c r="H198" s="50">
        <v>42527.958333333336</v>
      </c>
      <c r="I198" s="54">
        <v>42514</v>
      </c>
      <c r="J198" s="54">
        <v>42527</v>
      </c>
      <c r="K198" s="51" t="s">
        <v>526</v>
      </c>
      <c r="L198" s="51">
        <v>0.95833333333333337</v>
      </c>
      <c r="M198" s="51" t="s">
        <v>541</v>
      </c>
      <c r="N198" s="51" t="s">
        <v>531</v>
      </c>
      <c r="O198" s="51" t="s">
        <v>524</v>
      </c>
      <c r="P198" s="49" t="s">
        <v>23</v>
      </c>
      <c r="Q198" s="49" t="s">
        <v>28</v>
      </c>
      <c r="R198" s="49" t="s">
        <v>109</v>
      </c>
      <c r="S198" s="49">
        <v>5</v>
      </c>
      <c r="T198" s="49">
        <v>11</v>
      </c>
      <c r="U198" s="63">
        <v>48</v>
      </c>
      <c r="V198" s="63">
        <v>528</v>
      </c>
    </row>
    <row r="199" spans="1:22" x14ac:dyDescent="0.25">
      <c r="A199" s="49">
        <v>4552</v>
      </c>
      <c r="B199" s="49" t="s">
        <v>14</v>
      </c>
      <c r="C199" s="49" t="s">
        <v>175</v>
      </c>
      <c r="D199" s="49" t="s">
        <v>80</v>
      </c>
      <c r="E199" s="49" t="s">
        <v>173</v>
      </c>
      <c r="F199" s="49">
        <v>2016</v>
      </c>
      <c r="G199" s="50">
        <v>42515.583333333336</v>
      </c>
      <c r="H199" s="50">
        <v>42528.75</v>
      </c>
      <c r="I199" s="54">
        <v>42515</v>
      </c>
      <c r="J199" s="54">
        <v>42528</v>
      </c>
      <c r="K199" s="51" t="s">
        <v>527</v>
      </c>
      <c r="L199" s="51">
        <v>0.75</v>
      </c>
      <c r="M199" s="51" t="s">
        <v>542</v>
      </c>
      <c r="N199" s="51" t="s">
        <v>531</v>
      </c>
      <c r="O199" s="51" t="s">
        <v>524</v>
      </c>
      <c r="P199" s="49" t="s">
        <v>23</v>
      </c>
      <c r="Q199" s="49" t="s">
        <v>190</v>
      </c>
      <c r="R199" s="49" t="s">
        <v>109</v>
      </c>
      <c r="S199" s="49">
        <v>5</v>
      </c>
      <c r="T199" s="49">
        <v>10</v>
      </c>
      <c r="U199" s="63">
        <v>32</v>
      </c>
      <c r="V199" s="63">
        <v>320</v>
      </c>
    </row>
    <row r="200" spans="1:22" x14ac:dyDescent="0.25">
      <c r="A200" s="49">
        <v>4553</v>
      </c>
      <c r="B200" s="49" t="s">
        <v>22</v>
      </c>
      <c r="C200" s="49" t="s">
        <v>176</v>
      </c>
      <c r="D200" s="49" t="s">
        <v>84</v>
      </c>
      <c r="E200" s="49" t="s">
        <v>172</v>
      </c>
      <c r="F200" s="49">
        <v>2016</v>
      </c>
      <c r="G200" s="50">
        <v>42516.375</v>
      </c>
      <c r="H200" s="50">
        <v>42522.75</v>
      </c>
      <c r="I200" s="54">
        <v>42516</v>
      </c>
      <c r="J200" s="54">
        <v>42522</v>
      </c>
      <c r="K200" s="51" t="s">
        <v>525</v>
      </c>
      <c r="L200" s="51">
        <v>0.75</v>
      </c>
      <c r="M200" s="51" t="s">
        <v>540</v>
      </c>
      <c r="N200" s="51" t="s">
        <v>531</v>
      </c>
      <c r="O200" s="51" t="s">
        <v>524</v>
      </c>
      <c r="P200" s="49" t="s">
        <v>23</v>
      </c>
      <c r="Q200" s="49" t="s">
        <v>35</v>
      </c>
      <c r="R200" s="49" t="s">
        <v>109</v>
      </c>
      <c r="S200" s="49">
        <v>3</v>
      </c>
      <c r="T200" s="49">
        <v>9</v>
      </c>
      <c r="U200" s="63">
        <v>52</v>
      </c>
      <c r="V200" s="63">
        <v>468</v>
      </c>
    </row>
    <row r="201" spans="1:22" x14ac:dyDescent="0.25">
      <c r="A201" s="49">
        <v>4554</v>
      </c>
      <c r="B201" s="49" t="s">
        <v>29</v>
      </c>
      <c r="C201" s="49" t="s">
        <v>177</v>
      </c>
      <c r="D201" s="49" t="s">
        <v>79</v>
      </c>
      <c r="E201" s="49" t="s">
        <v>168</v>
      </c>
      <c r="F201" s="49">
        <v>2016</v>
      </c>
      <c r="G201" s="50">
        <v>42517.333333333336</v>
      </c>
      <c r="H201" s="50">
        <v>42530.5</v>
      </c>
      <c r="I201" s="54">
        <v>42517</v>
      </c>
      <c r="J201" s="54">
        <v>42530</v>
      </c>
      <c r="K201" s="51" t="s">
        <v>522</v>
      </c>
      <c r="L201" s="51">
        <v>0.5</v>
      </c>
      <c r="M201" s="51" t="s">
        <v>539</v>
      </c>
      <c r="N201" s="51" t="s">
        <v>531</v>
      </c>
      <c r="O201" s="51" t="s">
        <v>524</v>
      </c>
      <c r="P201" s="49" t="s">
        <v>9</v>
      </c>
      <c r="Q201" s="49" t="s">
        <v>37</v>
      </c>
      <c r="R201" s="49" t="s">
        <v>113</v>
      </c>
      <c r="S201" s="49">
        <v>4</v>
      </c>
      <c r="T201" s="49">
        <v>10</v>
      </c>
      <c r="U201" s="63">
        <v>48</v>
      </c>
      <c r="V201" s="63">
        <v>480</v>
      </c>
    </row>
    <row r="202" spans="1:22" x14ac:dyDescent="0.25">
      <c r="A202" s="49">
        <v>4555</v>
      </c>
      <c r="B202" s="49" t="s">
        <v>29</v>
      </c>
      <c r="C202" s="49" t="s">
        <v>177</v>
      </c>
      <c r="D202" s="49" t="s">
        <v>82</v>
      </c>
      <c r="E202" s="49" t="s">
        <v>172</v>
      </c>
      <c r="F202" s="49">
        <v>2016</v>
      </c>
      <c r="G202" s="50">
        <v>42518.375</v>
      </c>
      <c r="H202" s="50">
        <v>42523.75</v>
      </c>
      <c r="I202" s="54">
        <v>42518</v>
      </c>
      <c r="J202" s="54">
        <v>42523</v>
      </c>
      <c r="K202" s="51" t="s">
        <v>525</v>
      </c>
      <c r="L202" s="51">
        <v>0.75</v>
      </c>
      <c r="M202" s="51" t="s">
        <v>540</v>
      </c>
      <c r="N202" s="51" t="s">
        <v>531</v>
      </c>
      <c r="O202" s="51" t="s">
        <v>524</v>
      </c>
      <c r="P202" s="49" t="s">
        <v>23</v>
      </c>
      <c r="Q202" s="49" t="s">
        <v>190</v>
      </c>
      <c r="R202" s="49" t="s">
        <v>109</v>
      </c>
      <c r="S202" s="49">
        <v>3</v>
      </c>
      <c r="T202" s="49">
        <v>11</v>
      </c>
      <c r="U202" s="63">
        <v>75</v>
      </c>
      <c r="V202" s="63">
        <v>825</v>
      </c>
    </row>
    <row r="203" spans="1:22" x14ac:dyDescent="0.25">
      <c r="A203" s="49">
        <v>4556</v>
      </c>
      <c r="B203" s="49" t="s">
        <v>19</v>
      </c>
      <c r="C203" s="49" t="s">
        <v>176</v>
      </c>
      <c r="D203" s="49" t="s">
        <v>82</v>
      </c>
      <c r="E203" s="49" t="s">
        <v>172</v>
      </c>
      <c r="F203" s="49">
        <v>2016</v>
      </c>
      <c r="G203" s="50">
        <v>42520.791666666664</v>
      </c>
      <c r="H203" s="50">
        <v>42531.958333333336</v>
      </c>
      <c r="I203" s="54">
        <v>42520</v>
      </c>
      <c r="J203" s="54">
        <v>42531</v>
      </c>
      <c r="K203" s="51" t="s">
        <v>526</v>
      </c>
      <c r="L203" s="51">
        <v>0.95833333333333337</v>
      </c>
      <c r="M203" s="51" t="s">
        <v>541</v>
      </c>
      <c r="N203" s="51" t="s">
        <v>531</v>
      </c>
      <c r="O203" s="51" t="s">
        <v>524</v>
      </c>
      <c r="P203" s="49" t="s">
        <v>23</v>
      </c>
      <c r="Q203" s="49" t="s">
        <v>38</v>
      </c>
      <c r="R203" s="49" t="s">
        <v>113</v>
      </c>
      <c r="S203" s="49">
        <v>3</v>
      </c>
      <c r="T203" s="49">
        <v>11</v>
      </c>
      <c r="U203" s="63">
        <v>75</v>
      </c>
      <c r="V203" s="63">
        <v>825</v>
      </c>
    </row>
    <row r="204" spans="1:22" x14ac:dyDescent="0.25">
      <c r="A204" s="49">
        <v>4557</v>
      </c>
      <c r="B204" s="49" t="s">
        <v>39</v>
      </c>
      <c r="C204" s="49" t="s">
        <v>177</v>
      </c>
      <c r="D204" s="49" t="s">
        <v>85</v>
      </c>
      <c r="E204" s="49" t="s">
        <v>170</v>
      </c>
      <c r="F204" s="49">
        <v>2016</v>
      </c>
      <c r="G204" s="50">
        <v>42520.791666666664</v>
      </c>
      <c r="H204" s="50">
        <v>42531.958333333336</v>
      </c>
      <c r="I204" s="54">
        <v>42520</v>
      </c>
      <c r="J204" s="54">
        <v>42531</v>
      </c>
      <c r="K204" s="51" t="s">
        <v>526</v>
      </c>
      <c r="L204" s="51">
        <v>0.95833333333333337</v>
      </c>
      <c r="M204" s="51" t="s">
        <v>541</v>
      </c>
      <c r="N204" s="51" t="s">
        <v>531</v>
      </c>
      <c r="O204" s="51" t="s">
        <v>524</v>
      </c>
      <c r="P204" s="49" t="s">
        <v>9</v>
      </c>
      <c r="Q204" s="49" t="s">
        <v>41</v>
      </c>
      <c r="R204" s="49" t="s">
        <v>113</v>
      </c>
      <c r="S204" s="49">
        <v>3</v>
      </c>
      <c r="T204" s="49">
        <v>12</v>
      </c>
      <c r="U204" s="63">
        <v>48</v>
      </c>
      <c r="V204" s="63">
        <v>576</v>
      </c>
    </row>
    <row r="205" spans="1:22" x14ac:dyDescent="0.25">
      <c r="A205" s="49">
        <v>4558</v>
      </c>
      <c r="B205" s="49" t="s">
        <v>11</v>
      </c>
      <c r="C205" s="49" t="s">
        <v>175</v>
      </c>
      <c r="D205" s="49" t="s">
        <v>78</v>
      </c>
      <c r="E205" s="49" t="s">
        <v>172</v>
      </c>
      <c r="F205" s="49">
        <v>2016</v>
      </c>
      <c r="G205" s="50">
        <v>42521.791666666664</v>
      </c>
      <c r="H205" s="50">
        <v>42534.958333333336</v>
      </c>
      <c r="I205" s="54">
        <v>42521</v>
      </c>
      <c r="J205" s="54">
        <v>42534</v>
      </c>
      <c r="K205" s="51" t="s">
        <v>526</v>
      </c>
      <c r="L205" s="51">
        <v>0.95833333333333337</v>
      </c>
      <c r="M205" s="51" t="s">
        <v>541</v>
      </c>
      <c r="N205" s="51" t="s">
        <v>531</v>
      </c>
      <c r="O205" s="51" t="s">
        <v>524</v>
      </c>
      <c r="P205" s="49" t="s">
        <v>9</v>
      </c>
      <c r="Q205" s="49" t="s">
        <v>16</v>
      </c>
      <c r="R205" s="49" t="s">
        <v>109</v>
      </c>
      <c r="S205" s="49">
        <v>2</v>
      </c>
      <c r="T205" s="49">
        <v>8</v>
      </c>
      <c r="U205" s="63">
        <v>62</v>
      </c>
      <c r="V205" s="63">
        <v>496</v>
      </c>
    </row>
    <row r="206" spans="1:22" x14ac:dyDescent="0.25">
      <c r="A206" s="49">
        <v>4559</v>
      </c>
      <c r="B206" s="49" t="s">
        <v>17</v>
      </c>
      <c r="C206" s="49" t="s">
        <v>176</v>
      </c>
      <c r="D206" s="49" t="s">
        <v>86</v>
      </c>
      <c r="E206" s="49" t="s">
        <v>169</v>
      </c>
      <c r="F206" s="49">
        <v>2016</v>
      </c>
      <c r="G206" s="50">
        <v>42522.583333333336</v>
      </c>
      <c r="H206" s="50">
        <v>42535.75</v>
      </c>
      <c r="I206" s="54">
        <v>42522</v>
      </c>
      <c r="J206" s="54">
        <v>42535</v>
      </c>
      <c r="K206" s="51" t="s">
        <v>527</v>
      </c>
      <c r="L206" s="51">
        <v>0.75</v>
      </c>
      <c r="M206" s="51" t="s">
        <v>542</v>
      </c>
      <c r="N206" s="51" t="s">
        <v>532</v>
      </c>
      <c r="O206" s="51" t="s">
        <v>524</v>
      </c>
      <c r="P206" s="49" t="s">
        <v>23</v>
      </c>
      <c r="Q206" s="49" t="s">
        <v>21</v>
      </c>
      <c r="R206" s="49" t="s">
        <v>113</v>
      </c>
      <c r="S206" s="49">
        <v>4</v>
      </c>
      <c r="T206" s="49">
        <v>10</v>
      </c>
      <c r="U206" s="63">
        <v>48</v>
      </c>
      <c r="V206" s="63">
        <v>480</v>
      </c>
    </row>
    <row r="207" spans="1:22" x14ac:dyDescent="0.25">
      <c r="A207" s="49">
        <v>4560</v>
      </c>
      <c r="B207" s="49" t="s">
        <v>39</v>
      </c>
      <c r="C207" s="49" t="s">
        <v>177</v>
      </c>
      <c r="D207" s="49" t="s">
        <v>82</v>
      </c>
      <c r="E207" s="49" t="s">
        <v>172</v>
      </c>
      <c r="F207" s="49">
        <v>2016</v>
      </c>
      <c r="G207" s="50">
        <v>42523.375</v>
      </c>
      <c r="H207" s="50">
        <v>42529.75</v>
      </c>
      <c r="I207" s="54">
        <v>42523</v>
      </c>
      <c r="J207" s="54">
        <v>42529</v>
      </c>
      <c r="K207" s="51" t="s">
        <v>525</v>
      </c>
      <c r="L207" s="51">
        <v>0.75</v>
      </c>
      <c r="M207" s="51" t="s">
        <v>540</v>
      </c>
      <c r="N207" s="51" t="s">
        <v>532</v>
      </c>
      <c r="O207" s="51" t="s">
        <v>524</v>
      </c>
      <c r="P207" s="49" t="s">
        <v>23</v>
      </c>
      <c r="Q207" s="49" t="s">
        <v>31</v>
      </c>
      <c r="R207" s="49" t="s">
        <v>113</v>
      </c>
      <c r="S207" s="49">
        <v>3</v>
      </c>
      <c r="T207" s="49">
        <v>11</v>
      </c>
      <c r="U207" s="63">
        <v>75</v>
      </c>
      <c r="V207" s="63">
        <v>825</v>
      </c>
    </row>
    <row r="208" spans="1:22" x14ac:dyDescent="0.25">
      <c r="A208" s="49">
        <v>4561</v>
      </c>
      <c r="B208" s="49" t="s">
        <v>7</v>
      </c>
      <c r="C208" s="49" t="s">
        <v>175</v>
      </c>
      <c r="D208" s="49" t="s">
        <v>80</v>
      </c>
      <c r="E208" s="49" t="s">
        <v>173</v>
      </c>
      <c r="F208" s="49">
        <v>2016</v>
      </c>
      <c r="G208" s="50">
        <v>42524.333333333336</v>
      </c>
      <c r="H208" s="50">
        <v>42537.5</v>
      </c>
      <c r="I208" s="54">
        <v>42524</v>
      </c>
      <c r="J208" s="54">
        <v>42537</v>
      </c>
      <c r="K208" s="51" t="s">
        <v>522</v>
      </c>
      <c r="L208" s="51">
        <v>0.5</v>
      </c>
      <c r="M208" s="51" t="s">
        <v>539</v>
      </c>
      <c r="N208" s="51" t="s">
        <v>532</v>
      </c>
      <c r="O208" s="51" t="s">
        <v>524</v>
      </c>
      <c r="P208" s="49" t="s">
        <v>23</v>
      </c>
      <c r="Q208" s="49" t="s">
        <v>190</v>
      </c>
      <c r="R208" s="49" t="s">
        <v>109</v>
      </c>
      <c r="S208" s="49">
        <v>2</v>
      </c>
      <c r="T208" s="49">
        <v>8</v>
      </c>
      <c r="U208" s="63">
        <v>32</v>
      </c>
      <c r="V208" s="63">
        <v>256</v>
      </c>
    </row>
    <row r="209" spans="1:22" x14ac:dyDescent="0.25">
      <c r="A209" s="49">
        <v>4562</v>
      </c>
      <c r="B209" s="49" t="s">
        <v>14</v>
      </c>
      <c r="C209" s="49" t="s">
        <v>175</v>
      </c>
      <c r="D209" s="49" t="s">
        <v>80</v>
      </c>
      <c r="E209" s="49" t="s">
        <v>173</v>
      </c>
      <c r="F209" s="49">
        <v>2016</v>
      </c>
      <c r="G209" s="50">
        <v>42525.375</v>
      </c>
      <c r="H209" s="50">
        <v>42530.75</v>
      </c>
      <c r="I209" s="54">
        <v>42525</v>
      </c>
      <c r="J209" s="54">
        <v>42530</v>
      </c>
      <c r="K209" s="51" t="s">
        <v>525</v>
      </c>
      <c r="L209" s="51">
        <v>0.75</v>
      </c>
      <c r="M209" s="51" t="s">
        <v>540</v>
      </c>
      <c r="N209" s="51" t="s">
        <v>532</v>
      </c>
      <c r="O209" s="51" t="s">
        <v>524</v>
      </c>
      <c r="P209" s="49" t="s">
        <v>23</v>
      </c>
      <c r="Q209" s="49" t="s">
        <v>31</v>
      </c>
      <c r="R209" s="49" t="s">
        <v>113</v>
      </c>
      <c r="S209" s="49">
        <v>3</v>
      </c>
      <c r="T209" s="49">
        <v>11</v>
      </c>
      <c r="U209" s="63">
        <v>32</v>
      </c>
      <c r="V209" s="63">
        <v>352</v>
      </c>
    </row>
    <row r="210" spans="1:22" x14ac:dyDescent="0.25">
      <c r="A210" s="49">
        <v>4563</v>
      </c>
      <c r="B210" s="49" t="s">
        <v>7</v>
      </c>
      <c r="C210" s="49" t="s">
        <v>175</v>
      </c>
      <c r="D210" s="49" t="s">
        <v>82</v>
      </c>
      <c r="E210" s="49" t="s">
        <v>172</v>
      </c>
      <c r="F210" s="49">
        <v>2016</v>
      </c>
      <c r="G210" s="50">
        <v>42527.791666666664</v>
      </c>
      <c r="H210" s="50">
        <v>42538.958333333336</v>
      </c>
      <c r="I210" s="54">
        <v>42527</v>
      </c>
      <c r="J210" s="54">
        <v>42538</v>
      </c>
      <c r="K210" s="51" t="s">
        <v>526</v>
      </c>
      <c r="L210" s="51">
        <v>0.95833333333333337</v>
      </c>
      <c r="M210" s="51" t="s">
        <v>541</v>
      </c>
      <c r="N210" s="51" t="s">
        <v>532</v>
      </c>
      <c r="O210" s="51" t="s">
        <v>524</v>
      </c>
      <c r="P210" s="49" t="s">
        <v>23</v>
      </c>
      <c r="Q210" s="49" t="s">
        <v>44</v>
      </c>
      <c r="R210" s="49" t="s">
        <v>113</v>
      </c>
      <c r="S210" s="49">
        <v>5</v>
      </c>
      <c r="T210" s="49">
        <v>11</v>
      </c>
      <c r="U210" s="63">
        <v>75</v>
      </c>
      <c r="V210" s="63">
        <v>825</v>
      </c>
    </row>
    <row r="211" spans="1:22" x14ac:dyDescent="0.25">
      <c r="A211" s="49">
        <v>4564</v>
      </c>
      <c r="B211" s="49" t="s">
        <v>11</v>
      </c>
      <c r="C211" s="49" t="s">
        <v>175</v>
      </c>
      <c r="D211" s="49" t="s">
        <v>84</v>
      </c>
      <c r="E211" s="49" t="s">
        <v>172</v>
      </c>
      <c r="F211" s="49">
        <v>2016</v>
      </c>
      <c r="G211" s="50">
        <v>42527.791666666664</v>
      </c>
      <c r="H211" s="50">
        <v>42538.958333333336</v>
      </c>
      <c r="I211" s="54">
        <v>42527</v>
      </c>
      <c r="J211" s="54">
        <v>42538</v>
      </c>
      <c r="K211" s="51" t="s">
        <v>526</v>
      </c>
      <c r="L211" s="51">
        <v>0.95833333333333337</v>
      </c>
      <c r="M211" s="51" t="s">
        <v>541</v>
      </c>
      <c r="N211" s="51" t="s">
        <v>532</v>
      </c>
      <c r="O211" s="51" t="s">
        <v>524</v>
      </c>
      <c r="P211" s="49" t="s">
        <v>23</v>
      </c>
      <c r="Q211" s="49" t="s">
        <v>44</v>
      </c>
      <c r="R211" s="49" t="s">
        <v>113</v>
      </c>
      <c r="S211" s="49">
        <v>2</v>
      </c>
      <c r="T211" s="49">
        <v>12</v>
      </c>
      <c r="U211" s="63">
        <v>52</v>
      </c>
      <c r="V211" s="63">
        <v>624</v>
      </c>
    </row>
    <row r="212" spans="1:22" x14ac:dyDescent="0.25">
      <c r="A212" s="49">
        <v>4565</v>
      </c>
      <c r="B212" s="49" t="s">
        <v>7</v>
      </c>
      <c r="C212" s="49" t="s">
        <v>175</v>
      </c>
      <c r="D212" s="49" t="s">
        <v>86</v>
      </c>
      <c r="E212" s="49" t="s">
        <v>169</v>
      </c>
      <c r="F212" s="49">
        <v>2016</v>
      </c>
      <c r="G212" s="50">
        <v>42528.791666666664</v>
      </c>
      <c r="H212" s="50">
        <v>42541.958333333336</v>
      </c>
      <c r="I212" s="54">
        <v>42528</v>
      </c>
      <c r="J212" s="54">
        <v>42541</v>
      </c>
      <c r="K212" s="51" t="s">
        <v>526</v>
      </c>
      <c r="L212" s="51">
        <v>0.95833333333333337</v>
      </c>
      <c r="M212" s="51" t="s">
        <v>541</v>
      </c>
      <c r="N212" s="51" t="s">
        <v>532</v>
      </c>
      <c r="O212" s="51" t="s">
        <v>524</v>
      </c>
      <c r="P212" s="49" t="s">
        <v>9</v>
      </c>
      <c r="Q212" s="49" t="s">
        <v>190</v>
      </c>
      <c r="R212" s="49" t="s">
        <v>109</v>
      </c>
      <c r="S212" s="49">
        <v>2</v>
      </c>
      <c r="T212" s="49">
        <v>10</v>
      </c>
      <c r="U212" s="63">
        <v>48</v>
      </c>
      <c r="V212" s="63">
        <v>480</v>
      </c>
    </row>
    <row r="213" spans="1:22" x14ac:dyDescent="0.25">
      <c r="A213" s="49">
        <v>4566</v>
      </c>
      <c r="B213" s="49" t="s">
        <v>22</v>
      </c>
      <c r="C213" s="49" t="s">
        <v>176</v>
      </c>
      <c r="D213" s="49" t="s">
        <v>80</v>
      </c>
      <c r="E213" s="49" t="s">
        <v>173</v>
      </c>
      <c r="F213" s="49">
        <v>2016</v>
      </c>
      <c r="G213" s="50">
        <v>42529.583333333336</v>
      </c>
      <c r="H213" s="50">
        <v>42542.75</v>
      </c>
      <c r="I213" s="54">
        <v>42529</v>
      </c>
      <c r="J213" s="54">
        <v>42542</v>
      </c>
      <c r="K213" s="51" t="s">
        <v>527</v>
      </c>
      <c r="L213" s="51">
        <v>0.75</v>
      </c>
      <c r="M213" s="51" t="s">
        <v>542</v>
      </c>
      <c r="N213" s="51" t="s">
        <v>532</v>
      </c>
      <c r="O213" s="51" t="s">
        <v>524</v>
      </c>
      <c r="P213" s="49" t="s">
        <v>23</v>
      </c>
      <c r="Q213" s="49" t="s">
        <v>44</v>
      </c>
      <c r="R213" s="49" t="s">
        <v>113</v>
      </c>
      <c r="S213" s="49">
        <v>4</v>
      </c>
      <c r="T213" s="49">
        <v>12</v>
      </c>
      <c r="U213" s="63">
        <v>32</v>
      </c>
      <c r="V213" s="63">
        <v>384</v>
      </c>
    </row>
    <row r="214" spans="1:22" x14ac:dyDescent="0.25">
      <c r="A214" s="49">
        <v>4567</v>
      </c>
      <c r="B214" s="49" t="s">
        <v>7</v>
      </c>
      <c r="C214" s="49" t="s">
        <v>175</v>
      </c>
      <c r="D214" s="49" t="s">
        <v>82</v>
      </c>
      <c r="E214" s="49" t="s">
        <v>172</v>
      </c>
      <c r="F214" s="49">
        <v>2016</v>
      </c>
      <c r="G214" s="50">
        <v>42530.375</v>
      </c>
      <c r="H214" s="50">
        <v>42536.75</v>
      </c>
      <c r="I214" s="54">
        <v>42530</v>
      </c>
      <c r="J214" s="54">
        <v>42536</v>
      </c>
      <c r="K214" s="51" t="s">
        <v>525</v>
      </c>
      <c r="L214" s="51">
        <v>0.75</v>
      </c>
      <c r="M214" s="51" t="s">
        <v>540</v>
      </c>
      <c r="N214" s="51" t="s">
        <v>532</v>
      </c>
      <c r="O214" s="51" t="s">
        <v>524</v>
      </c>
      <c r="P214" s="49" t="s">
        <v>23</v>
      </c>
      <c r="Q214" s="49" t="s">
        <v>33</v>
      </c>
      <c r="R214" s="49" t="s">
        <v>113</v>
      </c>
      <c r="S214" s="49">
        <v>5</v>
      </c>
      <c r="T214" s="49">
        <v>10</v>
      </c>
      <c r="U214" s="63">
        <v>75</v>
      </c>
      <c r="V214" s="63">
        <v>750</v>
      </c>
    </row>
    <row r="215" spans="1:22" x14ac:dyDescent="0.25">
      <c r="A215" s="49">
        <v>4568</v>
      </c>
      <c r="B215" s="49" t="s">
        <v>17</v>
      </c>
      <c r="C215" s="49" t="s">
        <v>176</v>
      </c>
      <c r="D215" s="49" t="s">
        <v>86</v>
      </c>
      <c r="E215" s="49" t="s">
        <v>169</v>
      </c>
      <c r="F215" s="49">
        <v>2016</v>
      </c>
      <c r="G215" s="50">
        <v>42531.333333333336</v>
      </c>
      <c r="H215" s="50">
        <v>42544.5</v>
      </c>
      <c r="I215" s="54">
        <v>42531</v>
      </c>
      <c r="J215" s="54">
        <v>42544</v>
      </c>
      <c r="K215" s="51" t="s">
        <v>522</v>
      </c>
      <c r="L215" s="51">
        <v>0.5</v>
      </c>
      <c r="M215" s="51" t="s">
        <v>539</v>
      </c>
      <c r="N215" s="51" t="s">
        <v>532</v>
      </c>
      <c r="O215" s="51" t="s">
        <v>524</v>
      </c>
      <c r="P215" s="49" t="s">
        <v>23</v>
      </c>
      <c r="Q215" s="49" t="s">
        <v>37</v>
      </c>
      <c r="R215" s="49" t="s">
        <v>113</v>
      </c>
      <c r="S215" s="49">
        <v>3</v>
      </c>
      <c r="T215" s="49">
        <v>11</v>
      </c>
      <c r="U215" s="63">
        <v>48</v>
      </c>
      <c r="V215" s="63">
        <v>528</v>
      </c>
    </row>
    <row r="216" spans="1:22" x14ac:dyDescent="0.25">
      <c r="A216" s="49">
        <v>4569</v>
      </c>
      <c r="B216" s="49" t="s">
        <v>19</v>
      </c>
      <c r="C216" s="49" t="s">
        <v>176</v>
      </c>
      <c r="D216" s="49" t="s">
        <v>80</v>
      </c>
      <c r="E216" s="49" t="s">
        <v>173</v>
      </c>
      <c r="F216" s="49">
        <v>2016</v>
      </c>
      <c r="G216" s="50">
        <v>42532.375</v>
      </c>
      <c r="H216" s="50">
        <v>42537.75</v>
      </c>
      <c r="I216" s="54">
        <v>42532</v>
      </c>
      <c r="J216" s="54">
        <v>42537</v>
      </c>
      <c r="K216" s="51" t="s">
        <v>525</v>
      </c>
      <c r="L216" s="51">
        <v>0.75</v>
      </c>
      <c r="M216" s="51" t="s">
        <v>540</v>
      </c>
      <c r="N216" s="51" t="s">
        <v>532</v>
      </c>
      <c r="O216" s="51" t="s">
        <v>524</v>
      </c>
      <c r="P216" s="49" t="s">
        <v>9</v>
      </c>
      <c r="Q216" s="49" t="s">
        <v>21</v>
      </c>
      <c r="R216" s="49" t="s">
        <v>113</v>
      </c>
      <c r="S216" s="49">
        <v>2</v>
      </c>
      <c r="T216" s="49">
        <v>8</v>
      </c>
      <c r="U216" s="63">
        <v>32</v>
      </c>
      <c r="V216" s="63">
        <v>256</v>
      </c>
    </row>
    <row r="217" spans="1:22" x14ac:dyDescent="0.25">
      <c r="A217" s="49">
        <v>4570</v>
      </c>
      <c r="B217" s="49" t="s">
        <v>45</v>
      </c>
      <c r="C217" s="49" t="s">
        <v>177</v>
      </c>
      <c r="D217" s="49" t="s">
        <v>76</v>
      </c>
      <c r="E217" s="49" t="s">
        <v>174</v>
      </c>
      <c r="F217" s="49">
        <v>2016</v>
      </c>
      <c r="G217" s="50">
        <v>42534.791666666664</v>
      </c>
      <c r="H217" s="50">
        <v>42545.958333333336</v>
      </c>
      <c r="I217" s="54">
        <v>42534</v>
      </c>
      <c r="J217" s="54">
        <v>42545</v>
      </c>
      <c r="K217" s="51" t="s">
        <v>526</v>
      </c>
      <c r="L217" s="51">
        <v>0.95833333333333337</v>
      </c>
      <c r="M217" s="51" t="s">
        <v>541</v>
      </c>
      <c r="N217" s="51" t="s">
        <v>532</v>
      </c>
      <c r="O217" s="51" t="s">
        <v>524</v>
      </c>
      <c r="P217" s="49" t="s">
        <v>23</v>
      </c>
      <c r="Q217" s="49" t="s">
        <v>37</v>
      </c>
      <c r="R217" s="49" t="s">
        <v>113</v>
      </c>
      <c r="S217" s="49">
        <v>2</v>
      </c>
      <c r="T217" s="49">
        <v>9</v>
      </c>
      <c r="U217" s="63">
        <v>53</v>
      </c>
      <c r="V217" s="63">
        <v>477</v>
      </c>
    </row>
    <row r="218" spans="1:22" x14ac:dyDescent="0.25">
      <c r="A218" s="49">
        <v>4571</v>
      </c>
      <c r="B218" s="49" t="s">
        <v>29</v>
      </c>
      <c r="C218" s="49" t="s">
        <v>177</v>
      </c>
      <c r="D218" s="49" t="s">
        <v>82</v>
      </c>
      <c r="E218" s="49" t="s">
        <v>172</v>
      </c>
      <c r="F218" s="49">
        <v>2016</v>
      </c>
      <c r="G218" s="50">
        <v>42534.791666666664</v>
      </c>
      <c r="H218" s="50">
        <v>42545.958333333336</v>
      </c>
      <c r="I218" s="54">
        <v>42534</v>
      </c>
      <c r="J218" s="54">
        <v>42545</v>
      </c>
      <c r="K218" s="51" t="s">
        <v>526</v>
      </c>
      <c r="L218" s="51">
        <v>0.95833333333333337</v>
      </c>
      <c r="M218" s="51" t="s">
        <v>541</v>
      </c>
      <c r="N218" s="51" t="s">
        <v>532</v>
      </c>
      <c r="O218" s="51" t="s">
        <v>524</v>
      </c>
      <c r="P218" s="49" t="s">
        <v>23</v>
      </c>
      <c r="Q218" s="49" t="s">
        <v>37</v>
      </c>
      <c r="R218" s="49" t="s">
        <v>113</v>
      </c>
      <c r="S218" s="49">
        <v>2</v>
      </c>
      <c r="T218" s="49">
        <v>8</v>
      </c>
      <c r="U218" s="63">
        <v>75</v>
      </c>
      <c r="V218" s="63">
        <v>600</v>
      </c>
    </row>
    <row r="219" spans="1:22" x14ac:dyDescent="0.25">
      <c r="A219" s="49">
        <v>4572</v>
      </c>
      <c r="B219" s="49" t="s">
        <v>29</v>
      </c>
      <c r="C219" s="49" t="s">
        <v>177</v>
      </c>
      <c r="D219" s="49" t="s">
        <v>78</v>
      </c>
      <c r="E219" s="49" t="s">
        <v>172</v>
      </c>
      <c r="F219" s="49">
        <v>2016</v>
      </c>
      <c r="G219" s="50">
        <v>42535.791666666664</v>
      </c>
      <c r="H219" s="50">
        <v>42548.958333333336</v>
      </c>
      <c r="I219" s="54">
        <v>42535</v>
      </c>
      <c r="J219" s="54">
        <v>42548</v>
      </c>
      <c r="K219" s="51" t="s">
        <v>526</v>
      </c>
      <c r="L219" s="51">
        <v>0.95833333333333337</v>
      </c>
      <c r="M219" s="51" t="s">
        <v>541</v>
      </c>
      <c r="N219" s="51" t="s">
        <v>532</v>
      </c>
      <c r="O219" s="51" t="s">
        <v>524</v>
      </c>
      <c r="P219" s="49" t="s">
        <v>9</v>
      </c>
      <c r="Q219" s="49" t="s">
        <v>28</v>
      </c>
      <c r="R219" s="49" t="s">
        <v>109</v>
      </c>
      <c r="S219" s="49">
        <v>4</v>
      </c>
      <c r="T219" s="49">
        <v>10</v>
      </c>
      <c r="U219" s="63">
        <v>62</v>
      </c>
      <c r="V219" s="63">
        <v>620</v>
      </c>
    </row>
    <row r="220" spans="1:22" x14ac:dyDescent="0.25">
      <c r="A220" s="49">
        <v>4573</v>
      </c>
      <c r="B220" s="49" t="s">
        <v>7</v>
      </c>
      <c r="C220" s="49" t="s">
        <v>175</v>
      </c>
      <c r="D220" s="49" t="s">
        <v>83</v>
      </c>
      <c r="E220" s="49" t="s">
        <v>174</v>
      </c>
      <c r="F220" s="49">
        <v>2016</v>
      </c>
      <c r="G220" s="50">
        <v>42536.583333333336</v>
      </c>
      <c r="H220" s="50">
        <v>42549.75</v>
      </c>
      <c r="I220" s="54">
        <v>42536</v>
      </c>
      <c r="J220" s="54">
        <v>42549</v>
      </c>
      <c r="K220" s="51" t="s">
        <v>527</v>
      </c>
      <c r="L220" s="51">
        <v>0.75</v>
      </c>
      <c r="M220" s="51" t="s">
        <v>542</v>
      </c>
      <c r="N220" s="51" t="s">
        <v>532</v>
      </c>
      <c r="O220" s="51" t="s">
        <v>524</v>
      </c>
      <c r="P220" s="49" t="s">
        <v>9</v>
      </c>
      <c r="Q220" s="49" t="s">
        <v>16</v>
      </c>
      <c r="R220" s="49" t="s">
        <v>109</v>
      </c>
      <c r="S220" s="49">
        <v>4</v>
      </c>
      <c r="T220" s="49">
        <v>11</v>
      </c>
      <c r="U220" s="63">
        <v>63</v>
      </c>
      <c r="V220" s="63">
        <v>693</v>
      </c>
    </row>
    <row r="221" spans="1:22" x14ac:dyDescent="0.25">
      <c r="A221" s="49">
        <v>4574</v>
      </c>
      <c r="B221" s="49" t="s">
        <v>45</v>
      </c>
      <c r="C221" s="49" t="s">
        <v>177</v>
      </c>
      <c r="D221" s="49" t="s">
        <v>68</v>
      </c>
      <c r="E221" s="49" t="s">
        <v>172</v>
      </c>
      <c r="F221" s="49">
        <v>2013</v>
      </c>
      <c r="G221" s="50">
        <v>42537.375</v>
      </c>
      <c r="H221" s="50">
        <v>42543.75</v>
      </c>
      <c r="I221" s="54">
        <v>42537</v>
      </c>
      <c r="J221" s="54">
        <v>42543</v>
      </c>
      <c r="K221" s="51" t="s">
        <v>525</v>
      </c>
      <c r="L221" s="51">
        <v>0.75</v>
      </c>
      <c r="M221" s="51" t="s">
        <v>540</v>
      </c>
      <c r="N221" s="51" t="s">
        <v>532</v>
      </c>
      <c r="O221" s="51" t="s">
        <v>524</v>
      </c>
      <c r="P221" s="49" t="s">
        <v>23</v>
      </c>
      <c r="Q221" s="49" t="s">
        <v>41</v>
      </c>
      <c r="R221" s="49" t="s">
        <v>113</v>
      </c>
      <c r="S221" s="49">
        <v>2</v>
      </c>
      <c r="T221" s="49">
        <v>8</v>
      </c>
      <c r="U221" s="63">
        <v>42</v>
      </c>
      <c r="V221" s="63">
        <v>336</v>
      </c>
    </row>
    <row r="222" spans="1:22" x14ac:dyDescent="0.25">
      <c r="A222" s="49">
        <v>4575</v>
      </c>
      <c r="B222" s="49" t="s">
        <v>7</v>
      </c>
      <c r="C222" s="49" t="s">
        <v>175</v>
      </c>
      <c r="D222" s="49" t="s">
        <v>78</v>
      </c>
      <c r="E222" s="49" t="s">
        <v>172</v>
      </c>
      <c r="F222" s="49">
        <v>2016</v>
      </c>
      <c r="G222" s="50">
        <v>42538.333333333336</v>
      </c>
      <c r="H222" s="50">
        <v>42551.5</v>
      </c>
      <c r="I222" s="54">
        <v>42538</v>
      </c>
      <c r="J222" s="54">
        <v>42551</v>
      </c>
      <c r="K222" s="51" t="s">
        <v>522</v>
      </c>
      <c r="L222" s="51">
        <v>0.5</v>
      </c>
      <c r="M222" s="51" t="s">
        <v>539</v>
      </c>
      <c r="N222" s="51" t="s">
        <v>532</v>
      </c>
      <c r="O222" s="51" t="s">
        <v>524</v>
      </c>
      <c r="P222" s="49" t="s">
        <v>23</v>
      </c>
      <c r="Q222" s="49" t="s">
        <v>16</v>
      </c>
      <c r="R222" s="49" t="s">
        <v>109</v>
      </c>
      <c r="S222" s="49">
        <v>3</v>
      </c>
      <c r="T222" s="49">
        <v>8</v>
      </c>
      <c r="U222" s="63">
        <v>62</v>
      </c>
      <c r="V222" s="63">
        <v>496</v>
      </c>
    </row>
    <row r="223" spans="1:22" x14ac:dyDescent="0.25">
      <c r="A223" s="49">
        <v>4576</v>
      </c>
      <c r="B223" s="49" t="s">
        <v>11</v>
      </c>
      <c r="C223" s="49" t="s">
        <v>175</v>
      </c>
      <c r="D223" s="49" t="s">
        <v>81</v>
      </c>
      <c r="E223" s="49" t="s">
        <v>172</v>
      </c>
      <c r="F223" s="49">
        <v>2016</v>
      </c>
      <c r="G223" s="50">
        <v>42539.375</v>
      </c>
      <c r="H223" s="50">
        <v>42544.75</v>
      </c>
      <c r="I223" s="54">
        <v>42539</v>
      </c>
      <c r="J223" s="54">
        <v>42544</v>
      </c>
      <c r="K223" s="51" t="s">
        <v>525</v>
      </c>
      <c r="L223" s="51">
        <v>0.75</v>
      </c>
      <c r="M223" s="51" t="s">
        <v>540</v>
      </c>
      <c r="N223" s="51" t="s">
        <v>532</v>
      </c>
      <c r="O223" s="51" t="s">
        <v>524</v>
      </c>
      <c r="P223" s="49" t="s">
        <v>9</v>
      </c>
      <c r="Q223" s="49" t="s">
        <v>16</v>
      </c>
      <c r="R223" s="49" t="s">
        <v>109</v>
      </c>
      <c r="S223" s="49">
        <v>4</v>
      </c>
      <c r="T223" s="49">
        <v>9</v>
      </c>
      <c r="U223" s="63">
        <v>43</v>
      </c>
      <c r="V223" s="63">
        <v>387</v>
      </c>
    </row>
    <row r="224" spans="1:22" x14ac:dyDescent="0.25">
      <c r="A224" s="49">
        <v>4577</v>
      </c>
      <c r="B224" s="49" t="s">
        <v>22</v>
      </c>
      <c r="C224" s="49" t="s">
        <v>176</v>
      </c>
      <c r="D224" s="49" t="s">
        <v>80</v>
      </c>
      <c r="E224" s="49" t="s">
        <v>173</v>
      </c>
      <c r="F224" s="49">
        <v>2016</v>
      </c>
      <c r="G224" s="50">
        <v>42541.791666666664</v>
      </c>
      <c r="H224" s="50">
        <v>42552.958333333336</v>
      </c>
      <c r="I224" s="54">
        <v>42541</v>
      </c>
      <c r="J224" s="54">
        <v>42552</v>
      </c>
      <c r="K224" s="51" t="s">
        <v>526</v>
      </c>
      <c r="L224" s="51">
        <v>0.95833333333333337</v>
      </c>
      <c r="M224" s="51" t="s">
        <v>541</v>
      </c>
      <c r="N224" s="51" t="s">
        <v>532</v>
      </c>
      <c r="O224" s="51" t="s">
        <v>524</v>
      </c>
      <c r="P224" s="49" t="s">
        <v>23</v>
      </c>
      <c r="Q224" s="49" t="s">
        <v>190</v>
      </c>
      <c r="R224" s="49" t="s">
        <v>109</v>
      </c>
      <c r="S224" s="49" t="s">
        <v>191</v>
      </c>
      <c r="T224" s="49">
        <v>11</v>
      </c>
      <c r="U224" s="63">
        <v>32</v>
      </c>
      <c r="V224" s="63">
        <v>352</v>
      </c>
    </row>
    <row r="225" spans="1:22" x14ac:dyDescent="0.25">
      <c r="A225" s="49">
        <v>4578</v>
      </c>
      <c r="B225" s="49" t="s">
        <v>29</v>
      </c>
      <c r="C225" s="49" t="s">
        <v>177</v>
      </c>
      <c r="D225" s="49" t="s">
        <v>77</v>
      </c>
      <c r="E225" s="49" t="s">
        <v>172</v>
      </c>
      <c r="F225" s="49">
        <v>2016</v>
      </c>
      <c r="G225" s="50">
        <v>42541.791666666664</v>
      </c>
      <c r="H225" s="50">
        <v>42552.958333333336</v>
      </c>
      <c r="I225" s="54">
        <v>42541</v>
      </c>
      <c r="J225" s="54">
        <v>42552</v>
      </c>
      <c r="K225" s="51" t="s">
        <v>526</v>
      </c>
      <c r="L225" s="51">
        <v>0.95833333333333337</v>
      </c>
      <c r="M225" s="51" t="s">
        <v>541</v>
      </c>
      <c r="N225" s="51" t="s">
        <v>532</v>
      </c>
      <c r="O225" s="51" t="s">
        <v>524</v>
      </c>
      <c r="P225" s="49" t="s">
        <v>23</v>
      </c>
      <c r="Q225" s="49" t="s">
        <v>31</v>
      </c>
      <c r="R225" s="49" t="s">
        <v>113</v>
      </c>
      <c r="S225" s="49">
        <v>2</v>
      </c>
      <c r="T225" s="49">
        <v>11</v>
      </c>
      <c r="U225" s="63">
        <v>35</v>
      </c>
      <c r="V225" s="63">
        <v>385</v>
      </c>
    </row>
    <row r="226" spans="1:22" x14ac:dyDescent="0.25">
      <c r="A226" s="49">
        <v>4579</v>
      </c>
      <c r="B226" s="49" t="s">
        <v>22</v>
      </c>
      <c r="C226" s="49" t="s">
        <v>176</v>
      </c>
      <c r="D226" s="49" t="s">
        <v>76</v>
      </c>
      <c r="E226" s="49" t="s">
        <v>174</v>
      </c>
      <c r="F226" s="49">
        <v>2016</v>
      </c>
      <c r="G226" s="50">
        <v>42542.791666666664</v>
      </c>
      <c r="H226" s="50">
        <v>42555.958333333336</v>
      </c>
      <c r="I226" s="54">
        <v>42542</v>
      </c>
      <c r="J226" s="54">
        <v>42555</v>
      </c>
      <c r="K226" s="51" t="s">
        <v>526</v>
      </c>
      <c r="L226" s="51">
        <v>0.95833333333333337</v>
      </c>
      <c r="M226" s="51" t="s">
        <v>541</v>
      </c>
      <c r="N226" s="51" t="s">
        <v>532</v>
      </c>
      <c r="O226" s="51" t="s">
        <v>524</v>
      </c>
      <c r="P226" s="49" t="s">
        <v>9</v>
      </c>
      <c r="Q226" s="49" t="s">
        <v>21</v>
      </c>
      <c r="R226" s="49" t="s">
        <v>113</v>
      </c>
      <c r="S226" s="49">
        <v>5</v>
      </c>
      <c r="T226" s="49">
        <v>12</v>
      </c>
      <c r="U226" s="63">
        <v>53</v>
      </c>
      <c r="V226" s="63">
        <v>636</v>
      </c>
    </row>
    <row r="227" spans="1:22" x14ac:dyDescent="0.25">
      <c r="A227" s="49">
        <v>4580</v>
      </c>
      <c r="B227" s="49" t="s">
        <v>19</v>
      </c>
      <c r="C227" s="49" t="s">
        <v>176</v>
      </c>
      <c r="D227" s="49" t="s">
        <v>81</v>
      </c>
      <c r="E227" s="49" t="s">
        <v>172</v>
      </c>
      <c r="F227" s="49">
        <v>2016</v>
      </c>
      <c r="G227" s="50">
        <v>42543.583333333336</v>
      </c>
      <c r="H227" s="50">
        <v>42556.75</v>
      </c>
      <c r="I227" s="54">
        <v>42543</v>
      </c>
      <c r="J227" s="54">
        <v>42556</v>
      </c>
      <c r="K227" s="51" t="s">
        <v>527</v>
      </c>
      <c r="L227" s="51">
        <v>0.75</v>
      </c>
      <c r="M227" s="51" t="s">
        <v>542</v>
      </c>
      <c r="N227" s="51" t="s">
        <v>532</v>
      </c>
      <c r="O227" s="51" t="s">
        <v>524</v>
      </c>
      <c r="P227" s="49" t="s">
        <v>9</v>
      </c>
      <c r="Q227" s="49" t="s">
        <v>38</v>
      </c>
      <c r="R227" s="49" t="s">
        <v>113</v>
      </c>
      <c r="S227" s="49">
        <v>2</v>
      </c>
      <c r="T227" s="49">
        <v>11</v>
      </c>
      <c r="U227" s="63">
        <v>43</v>
      </c>
      <c r="V227" s="63">
        <v>473</v>
      </c>
    </row>
    <row r="228" spans="1:22" x14ac:dyDescent="0.25">
      <c r="A228" s="49">
        <v>4581</v>
      </c>
      <c r="B228" s="49" t="s">
        <v>22</v>
      </c>
      <c r="C228" s="49" t="s">
        <v>176</v>
      </c>
      <c r="D228" s="49" t="s">
        <v>88</v>
      </c>
      <c r="E228" s="49" t="s">
        <v>170</v>
      </c>
      <c r="F228" s="49">
        <v>2016</v>
      </c>
      <c r="G228" s="50">
        <v>42544.375</v>
      </c>
      <c r="H228" s="50">
        <v>42550.75</v>
      </c>
      <c r="I228" s="54">
        <v>42544</v>
      </c>
      <c r="J228" s="54">
        <v>42550</v>
      </c>
      <c r="K228" s="51" t="s">
        <v>525</v>
      </c>
      <c r="L228" s="51">
        <v>0.75</v>
      </c>
      <c r="M228" s="51" t="s">
        <v>540</v>
      </c>
      <c r="N228" s="51" t="s">
        <v>532</v>
      </c>
      <c r="O228" s="51" t="s">
        <v>524</v>
      </c>
      <c r="P228" s="49" t="s">
        <v>23</v>
      </c>
      <c r="Q228" s="49" t="s">
        <v>18</v>
      </c>
      <c r="R228" s="49" t="s">
        <v>113</v>
      </c>
      <c r="S228" s="49">
        <v>5</v>
      </c>
      <c r="T228" s="49">
        <v>12</v>
      </c>
      <c r="U228" s="63">
        <v>42</v>
      </c>
      <c r="V228" s="63">
        <v>504</v>
      </c>
    </row>
    <row r="229" spans="1:22" x14ac:dyDescent="0.25">
      <c r="A229" s="49">
        <v>4582</v>
      </c>
      <c r="B229" s="49" t="s">
        <v>17</v>
      </c>
      <c r="C229" s="49" t="s">
        <v>176</v>
      </c>
      <c r="D229" s="49" t="s">
        <v>88</v>
      </c>
      <c r="E229" s="49" t="s">
        <v>170</v>
      </c>
      <c r="F229" s="49">
        <v>2016</v>
      </c>
      <c r="G229" s="50">
        <v>42545.333333333336</v>
      </c>
      <c r="H229" s="50">
        <v>42558.5</v>
      </c>
      <c r="I229" s="54">
        <v>42545</v>
      </c>
      <c r="J229" s="54">
        <v>42558</v>
      </c>
      <c r="K229" s="51" t="s">
        <v>522</v>
      </c>
      <c r="L229" s="51">
        <v>0.5</v>
      </c>
      <c r="M229" s="51" t="s">
        <v>539</v>
      </c>
      <c r="N229" s="51" t="s">
        <v>532</v>
      </c>
      <c r="O229" s="51" t="s">
        <v>524</v>
      </c>
      <c r="P229" s="49" t="s">
        <v>9</v>
      </c>
      <c r="Q229" s="49" t="s">
        <v>38</v>
      </c>
      <c r="R229" s="49" t="s">
        <v>113</v>
      </c>
      <c r="S229" s="49">
        <v>2</v>
      </c>
      <c r="T229" s="49">
        <v>12</v>
      </c>
      <c r="U229" s="63">
        <v>42</v>
      </c>
      <c r="V229" s="63">
        <v>504</v>
      </c>
    </row>
    <row r="230" spans="1:22" x14ac:dyDescent="0.25">
      <c r="A230" s="49">
        <v>4583</v>
      </c>
      <c r="B230" s="49" t="s">
        <v>7</v>
      </c>
      <c r="C230" s="49" t="s">
        <v>175</v>
      </c>
      <c r="D230" s="49" t="s">
        <v>86</v>
      </c>
      <c r="E230" s="49" t="s">
        <v>169</v>
      </c>
      <c r="F230" s="49">
        <v>2016</v>
      </c>
      <c r="G230" s="50">
        <v>42546.375</v>
      </c>
      <c r="H230" s="50">
        <v>42551.75</v>
      </c>
      <c r="I230" s="54">
        <v>42546</v>
      </c>
      <c r="J230" s="54">
        <v>42551</v>
      </c>
      <c r="K230" s="51" t="s">
        <v>525</v>
      </c>
      <c r="L230" s="51">
        <v>0.75</v>
      </c>
      <c r="M230" s="51" t="s">
        <v>540</v>
      </c>
      <c r="N230" s="51" t="s">
        <v>532</v>
      </c>
      <c r="O230" s="51" t="s">
        <v>524</v>
      </c>
      <c r="P230" s="49" t="s">
        <v>9</v>
      </c>
      <c r="Q230" s="49" t="s">
        <v>38</v>
      </c>
      <c r="R230" s="49" t="s">
        <v>113</v>
      </c>
      <c r="S230" s="49">
        <v>5</v>
      </c>
      <c r="T230" s="49">
        <v>8</v>
      </c>
      <c r="U230" s="63">
        <v>48</v>
      </c>
      <c r="V230" s="63">
        <v>384</v>
      </c>
    </row>
    <row r="231" spans="1:22" x14ac:dyDescent="0.25">
      <c r="A231" s="49">
        <v>4584</v>
      </c>
      <c r="B231" s="49" t="s">
        <v>17</v>
      </c>
      <c r="C231" s="49" t="s">
        <v>176</v>
      </c>
      <c r="D231" s="49" t="s">
        <v>79</v>
      </c>
      <c r="E231" s="49" t="s">
        <v>168</v>
      </c>
      <c r="F231" s="49">
        <v>2016</v>
      </c>
      <c r="G231" s="50">
        <v>42548.791666666664</v>
      </c>
      <c r="H231" s="50">
        <v>42559.958333333336</v>
      </c>
      <c r="I231" s="54">
        <v>42548</v>
      </c>
      <c r="J231" s="54">
        <v>42559</v>
      </c>
      <c r="K231" s="51" t="s">
        <v>526</v>
      </c>
      <c r="L231" s="51">
        <v>0.95833333333333337</v>
      </c>
      <c r="M231" s="51" t="s">
        <v>541</v>
      </c>
      <c r="N231" s="51" t="s">
        <v>532</v>
      </c>
      <c r="O231" s="51" t="s">
        <v>524</v>
      </c>
      <c r="P231" s="49" t="s">
        <v>23</v>
      </c>
      <c r="Q231" s="49" t="s">
        <v>28</v>
      </c>
      <c r="R231" s="49" t="s">
        <v>109</v>
      </c>
      <c r="S231" s="49">
        <v>4</v>
      </c>
      <c r="T231" s="49">
        <v>8</v>
      </c>
      <c r="U231" s="63">
        <v>48</v>
      </c>
      <c r="V231" s="63">
        <v>384</v>
      </c>
    </row>
    <row r="232" spans="1:22" x14ac:dyDescent="0.25">
      <c r="A232" s="49">
        <v>4585</v>
      </c>
      <c r="B232" s="49" t="s">
        <v>29</v>
      </c>
      <c r="C232" s="49" t="s">
        <v>177</v>
      </c>
      <c r="D232" s="49" t="s">
        <v>76</v>
      </c>
      <c r="E232" s="49" t="s">
        <v>174</v>
      </c>
      <c r="F232" s="49">
        <v>2016</v>
      </c>
      <c r="G232" s="50">
        <v>42548.791666666664</v>
      </c>
      <c r="H232" s="50">
        <v>42559.958333333336</v>
      </c>
      <c r="I232" s="54">
        <v>42548</v>
      </c>
      <c r="J232" s="54">
        <v>42559</v>
      </c>
      <c r="K232" s="51" t="s">
        <v>526</v>
      </c>
      <c r="L232" s="51">
        <v>0.95833333333333337</v>
      </c>
      <c r="M232" s="51" t="s">
        <v>541</v>
      </c>
      <c r="N232" s="51" t="s">
        <v>532</v>
      </c>
      <c r="O232" s="51" t="s">
        <v>524</v>
      </c>
      <c r="P232" s="49" t="s">
        <v>9</v>
      </c>
      <c r="Q232" s="49" t="s">
        <v>18</v>
      </c>
      <c r="R232" s="49" t="s">
        <v>113</v>
      </c>
      <c r="S232" s="49">
        <v>4</v>
      </c>
      <c r="T232" s="49">
        <v>9</v>
      </c>
      <c r="U232" s="63">
        <v>53</v>
      </c>
      <c r="V232" s="63">
        <v>477</v>
      </c>
    </row>
    <row r="233" spans="1:22" x14ac:dyDescent="0.25">
      <c r="A233" s="49">
        <v>4586</v>
      </c>
      <c r="B233" s="49" t="s">
        <v>45</v>
      </c>
      <c r="C233" s="49" t="s">
        <v>177</v>
      </c>
      <c r="D233" s="49" t="s">
        <v>80</v>
      </c>
      <c r="E233" s="49" t="s">
        <v>173</v>
      </c>
      <c r="F233" s="49">
        <v>2016</v>
      </c>
      <c r="G233" s="50">
        <v>42549.791666666664</v>
      </c>
      <c r="H233" s="50">
        <v>42562.958333333336</v>
      </c>
      <c r="I233" s="54">
        <v>42549</v>
      </c>
      <c r="J233" s="54">
        <v>42562</v>
      </c>
      <c r="K233" s="51" t="s">
        <v>526</v>
      </c>
      <c r="L233" s="51">
        <v>0.95833333333333337</v>
      </c>
      <c r="M233" s="51" t="s">
        <v>541</v>
      </c>
      <c r="N233" s="51" t="s">
        <v>532</v>
      </c>
      <c r="O233" s="51" t="s">
        <v>524</v>
      </c>
      <c r="P233" s="49" t="s">
        <v>23</v>
      </c>
      <c r="Q233" s="49" t="s">
        <v>12</v>
      </c>
      <c r="R233" s="49" t="s">
        <v>113</v>
      </c>
      <c r="S233" s="49">
        <v>2</v>
      </c>
      <c r="T233" s="49">
        <v>8</v>
      </c>
      <c r="U233" s="63">
        <v>32</v>
      </c>
      <c r="V233" s="63">
        <v>256</v>
      </c>
    </row>
    <row r="234" spans="1:22" x14ac:dyDescent="0.25">
      <c r="A234" s="49">
        <v>4587</v>
      </c>
      <c r="B234" s="49" t="s">
        <v>45</v>
      </c>
      <c r="C234" s="49" t="s">
        <v>177</v>
      </c>
      <c r="D234" s="49" t="s">
        <v>80</v>
      </c>
      <c r="E234" s="49" t="s">
        <v>173</v>
      </c>
      <c r="F234" s="49">
        <v>2016</v>
      </c>
      <c r="G234" s="50">
        <v>42550.583333333336</v>
      </c>
      <c r="H234" s="50">
        <v>42563.75</v>
      </c>
      <c r="I234" s="54">
        <v>42550</v>
      </c>
      <c r="J234" s="54">
        <v>42563</v>
      </c>
      <c r="K234" s="51" t="s">
        <v>527</v>
      </c>
      <c r="L234" s="51">
        <v>0.75</v>
      </c>
      <c r="M234" s="51" t="s">
        <v>542</v>
      </c>
      <c r="N234" s="51" t="s">
        <v>532</v>
      </c>
      <c r="O234" s="51" t="s">
        <v>524</v>
      </c>
      <c r="P234" s="49" t="s">
        <v>23</v>
      </c>
      <c r="Q234" s="49" t="s">
        <v>16</v>
      </c>
      <c r="R234" s="49" t="s">
        <v>109</v>
      </c>
      <c r="S234" s="49">
        <v>3</v>
      </c>
      <c r="T234" s="49">
        <v>11</v>
      </c>
      <c r="U234" s="63">
        <v>32</v>
      </c>
      <c r="V234" s="63">
        <v>352</v>
      </c>
    </row>
    <row r="235" spans="1:22" x14ac:dyDescent="0.25">
      <c r="A235" s="49">
        <v>4588</v>
      </c>
      <c r="B235" s="49" t="s">
        <v>7</v>
      </c>
      <c r="C235" s="49" t="s">
        <v>175</v>
      </c>
      <c r="D235" s="49" t="s">
        <v>77</v>
      </c>
      <c r="E235" s="49" t="s">
        <v>172</v>
      </c>
      <c r="F235" s="49">
        <v>2016</v>
      </c>
      <c r="G235" s="50">
        <v>42551.375</v>
      </c>
      <c r="H235" s="50">
        <v>42557.75</v>
      </c>
      <c r="I235" s="54">
        <v>42551</v>
      </c>
      <c r="J235" s="54">
        <v>42557</v>
      </c>
      <c r="K235" s="51" t="s">
        <v>525</v>
      </c>
      <c r="L235" s="51">
        <v>0.75</v>
      </c>
      <c r="M235" s="51" t="s">
        <v>540</v>
      </c>
      <c r="N235" s="51" t="s">
        <v>532</v>
      </c>
      <c r="O235" s="51" t="s">
        <v>524</v>
      </c>
      <c r="P235" s="49" t="s">
        <v>9</v>
      </c>
      <c r="Q235" s="49" t="s">
        <v>18</v>
      </c>
      <c r="R235" s="49" t="s">
        <v>113</v>
      </c>
      <c r="S235" s="49">
        <v>2</v>
      </c>
      <c r="T235" s="49">
        <v>12</v>
      </c>
      <c r="U235" s="63">
        <v>35</v>
      </c>
      <c r="V235" s="63">
        <v>420</v>
      </c>
    </row>
    <row r="236" spans="1:22" x14ac:dyDescent="0.25">
      <c r="A236" s="49">
        <v>4589</v>
      </c>
      <c r="B236" s="49" t="s">
        <v>7</v>
      </c>
      <c r="C236" s="49" t="s">
        <v>175</v>
      </c>
      <c r="D236" s="49" t="s">
        <v>83</v>
      </c>
      <c r="E236" s="49" t="s">
        <v>174</v>
      </c>
      <c r="F236" s="49">
        <v>2016</v>
      </c>
      <c r="G236" s="50">
        <v>42552.333333333336</v>
      </c>
      <c r="H236" s="50">
        <v>42565.5</v>
      </c>
      <c r="I236" s="54">
        <v>42552</v>
      </c>
      <c r="J236" s="54">
        <v>42565</v>
      </c>
      <c r="K236" s="51" t="s">
        <v>522</v>
      </c>
      <c r="L236" s="51">
        <v>0.5</v>
      </c>
      <c r="M236" s="51" t="s">
        <v>539</v>
      </c>
      <c r="N236" s="51" t="s">
        <v>533</v>
      </c>
      <c r="O236" s="51" t="s">
        <v>524</v>
      </c>
      <c r="P236" s="49" t="s">
        <v>9</v>
      </c>
      <c r="Q236" s="49" t="s">
        <v>41</v>
      </c>
      <c r="R236" s="49" t="s">
        <v>113</v>
      </c>
      <c r="S236" s="49">
        <v>3</v>
      </c>
      <c r="T236" s="49">
        <v>9</v>
      </c>
      <c r="U236" s="63">
        <v>63</v>
      </c>
      <c r="V236" s="63">
        <v>567</v>
      </c>
    </row>
    <row r="237" spans="1:22" x14ac:dyDescent="0.25">
      <c r="A237" s="49">
        <v>4590</v>
      </c>
      <c r="B237" s="49" t="s">
        <v>22</v>
      </c>
      <c r="C237" s="49" t="s">
        <v>176</v>
      </c>
      <c r="D237" s="49" t="s">
        <v>83</v>
      </c>
      <c r="E237" s="49" t="s">
        <v>174</v>
      </c>
      <c r="F237" s="49">
        <v>2016</v>
      </c>
      <c r="G237" s="50">
        <v>42553.375</v>
      </c>
      <c r="H237" s="50">
        <v>42558.75</v>
      </c>
      <c r="I237" s="54">
        <v>42553</v>
      </c>
      <c r="J237" s="54">
        <v>42558</v>
      </c>
      <c r="K237" s="51" t="s">
        <v>525</v>
      </c>
      <c r="L237" s="51">
        <v>0.75</v>
      </c>
      <c r="M237" s="51" t="s">
        <v>540</v>
      </c>
      <c r="N237" s="51" t="s">
        <v>533</v>
      </c>
      <c r="O237" s="51" t="s">
        <v>524</v>
      </c>
      <c r="P237" s="49" t="s">
        <v>9</v>
      </c>
      <c r="Q237" s="49" t="s">
        <v>190</v>
      </c>
      <c r="R237" s="49" t="s">
        <v>109</v>
      </c>
      <c r="S237" s="49">
        <v>5</v>
      </c>
      <c r="T237" s="49">
        <v>8</v>
      </c>
      <c r="U237" s="63">
        <v>63</v>
      </c>
      <c r="V237" s="63">
        <v>504</v>
      </c>
    </row>
    <row r="238" spans="1:22" x14ac:dyDescent="0.25">
      <c r="A238" s="49">
        <v>4591</v>
      </c>
      <c r="B238" s="49" t="s">
        <v>45</v>
      </c>
      <c r="C238" s="49" t="s">
        <v>177</v>
      </c>
      <c r="D238" s="49" t="s">
        <v>77</v>
      </c>
      <c r="E238" s="49" t="s">
        <v>172</v>
      </c>
      <c r="F238" s="49">
        <v>2016</v>
      </c>
      <c r="G238" s="50">
        <v>42555.791666666664</v>
      </c>
      <c r="H238" s="50">
        <v>42566.958333333336</v>
      </c>
      <c r="I238" s="54">
        <v>42555</v>
      </c>
      <c r="J238" s="54">
        <v>42566</v>
      </c>
      <c r="K238" s="51" t="s">
        <v>526</v>
      </c>
      <c r="L238" s="51">
        <v>0.95833333333333337</v>
      </c>
      <c r="M238" s="51" t="s">
        <v>541</v>
      </c>
      <c r="N238" s="51" t="s">
        <v>533</v>
      </c>
      <c r="O238" s="51" t="s">
        <v>524</v>
      </c>
      <c r="P238" s="49" t="s">
        <v>23</v>
      </c>
      <c r="Q238" s="49" t="s">
        <v>18</v>
      </c>
      <c r="R238" s="49" t="s">
        <v>113</v>
      </c>
      <c r="S238" s="49">
        <v>5</v>
      </c>
      <c r="T238" s="49">
        <v>9</v>
      </c>
      <c r="U238" s="63">
        <v>35</v>
      </c>
      <c r="V238" s="63">
        <v>315</v>
      </c>
    </row>
    <row r="239" spans="1:22" x14ac:dyDescent="0.25">
      <c r="A239" s="49">
        <v>4592</v>
      </c>
      <c r="B239" s="49" t="s">
        <v>39</v>
      </c>
      <c r="C239" s="49" t="s">
        <v>177</v>
      </c>
      <c r="D239" s="49" t="s">
        <v>88</v>
      </c>
      <c r="E239" s="49" t="s">
        <v>170</v>
      </c>
      <c r="F239" s="49">
        <v>2016</v>
      </c>
      <c r="G239" s="50">
        <v>42555.791666666664</v>
      </c>
      <c r="H239" s="50">
        <v>42566.958333333336</v>
      </c>
      <c r="I239" s="54">
        <v>42555</v>
      </c>
      <c r="J239" s="54">
        <v>42566</v>
      </c>
      <c r="K239" s="51" t="s">
        <v>526</v>
      </c>
      <c r="L239" s="51">
        <v>0.95833333333333337</v>
      </c>
      <c r="M239" s="51" t="s">
        <v>541</v>
      </c>
      <c r="N239" s="51" t="s">
        <v>533</v>
      </c>
      <c r="O239" s="51" t="s">
        <v>524</v>
      </c>
      <c r="P239" s="49" t="s">
        <v>9</v>
      </c>
      <c r="Q239" s="49" t="s">
        <v>38</v>
      </c>
      <c r="R239" s="49" t="s">
        <v>113</v>
      </c>
      <c r="S239" s="49">
        <v>3</v>
      </c>
      <c r="T239" s="49">
        <v>12</v>
      </c>
      <c r="U239" s="63">
        <v>42</v>
      </c>
      <c r="V239" s="63">
        <v>504</v>
      </c>
    </row>
    <row r="240" spans="1:22" x14ac:dyDescent="0.25">
      <c r="A240" s="49">
        <v>4593</v>
      </c>
      <c r="B240" s="49" t="s">
        <v>39</v>
      </c>
      <c r="C240" s="49" t="s">
        <v>177</v>
      </c>
      <c r="D240" s="49" t="s">
        <v>80</v>
      </c>
      <c r="E240" s="49" t="s">
        <v>173</v>
      </c>
      <c r="F240" s="49">
        <v>2016</v>
      </c>
      <c r="G240" s="50">
        <v>42556.791666666664</v>
      </c>
      <c r="H240" s="50">
        <v>42569.958333333336</v>
      </c>
      <c r="I240" s="54">
        <v>42556</v>
      </c>
      <c r="J240" s="54">
        <v>42569</v>
      </c>
      <c r="K240" s="51" t="s">
        <v>526</v>
      </c>
      <c r="L240" s="51">
        <v>0.95833333333333337</v>
      </c>
      <c r="M240" s="51" t="s">
        <v>541</v>
      </c>
      <c r="N240" s="51" t="s">
        <v>533</v>
      </c>
      <c r="O240" s="51" t="s">
        <v>524</v>
      </c>
      <c r="P240" s="49" t="s">
        <v>23</v>
      </c>
      <c r="Q240" s="49" t="s">
        <v>21</v>
      </c>
      <c r="R240" s="49" t="s">
        <v>113</v>
      </c>
      <c r="S240" s="49">
        <v>3</v>
      </c>
      <c r="T240" s="49">
        <v>11</v>
      </c>
      <c r="U240" s="63">
        <v>32</v>
      </c>
      <c r="V240" s="63">
        <v>352</v>
      </c>
    </row>
    <row r="241" spans="1:22" x14ac:dyDescent="0.25">
      <c r="A241" s="49">
        <v>4594</v>
      </c>
      <c r="B241" s="49" t="s">
        <v>39</v>
      </c>
      <c r="C241" s="49" t="s">
        <v>177</v>
      </c>
      <c r="D241" s="49" t="s">
        <v>76</v>
      </c>
      <c r="E241" s="49" t="s">
        <v>174</v>
      </c>
      <c r="F241" s="49">
        <v>2016</v>
      </c>
      <c r="G241" s="50">
        <v>42557.583333333336</v>
      </c>
      <c r="H241" s="50">
        <v>42570.75</v>
      </c>
      <c r="I241" s="54">
        <v>42557</v>
      </c>
      <c r="J241" s="54">
        <v>42570</v>
      </c>
      <c r="K241" s="51" t="s">
        <v>527</v>
      </c>
      <c r="L241" s="51">
        <v>0.75</v>
      </c>
      <c r="M241" s="51" t="s">
        <v>542</v>
      </c>
      <c r="N241" s="51" t="s">
        <v>533</v>
      </c>
      <c r="O241" s="51" t="s">
        <v>524</v>
      </c>
      <c r="P241" s="49" t="s">
        <v>9</v>
      </c>
      <c r="Q241" s="49" t="s">
        <v>28</v>
      </c>
      <c r="R241" s="49" t="s">
        <v>109</v>
      </c>
      <c r="S241" s="49">
        <v>2</v>
      </c>
      <c r="T241" s="49">
        <v>12</v>
      </c>
      <c r="U241" s="63">
        <v>53</v>
      </c>
      <c r="V241" s="63">
        <v>636</v>
      </c>
    </row>
    <row r="242" spans="1:22" x14ac:dyDescent="0.25">
      <c r="A242" s="49">
        <v>4595</v>
      </c>
      <c r="B242" s="49" t="s">
        <v>19</v>
      </c>
      <c r="C242" s="49" t="s">
        <v>176</v>
      </c>
      <c r="D242" s="49" t="s">
        <v>81</v>
      </c>
      <c r="E242" s="49" t="s">
        <v>172</v>
      </c>
      <c r="F242" s="49">
        <v>2016</v>
      </c>
      <c r="G242" s="50">
        <v>42558.375</v>
      </c>
      <c r="H242" s="50">
        <v>42564.75</v>
      </c>
      <c r="I242" s="54">
        <v>42558</v>
      </c>
      <c r="J242" s="54">
        <v>42564</v>
      </c>
      <c r="K242" s="51" t="s">
        <v>525</v>
      </c>
      <c r="L242" s="51">
        <v>0.75</v>
      </c>
      <c r="M242" s="51" t="s">
        <v>540</v>
      </c>
      <c r="N242" s="51" t="s">
        <v>533</v>
      </c>
      <c r="O242" s="51" t="s">
        <v>524</v>
      </c>
      <c r="P242" s="49" t="s">
        <v>23</v>
      </c>
      <c r="Q242" s="49" t="s">
        <v>190</v>
      </c>
      <c r="R242" s="49" t="s">
        <v>109</v>
      </c>
      <c r="S242" s="49">
        <v>3</v>
      </c>
      <c r="T242" s="49">
        <v>9</v>
      </c>
      <c r="U242" s="63">
        <v>43</v>
      </c>
      <c r="V242" s="63">
        <v>387</v>
      </c>
    </row>
    <row r="243" spans="1:22" x14ac:dyDescent="0.25">
      <c r="A243" s="49">
        <v>4596</v>
      </c>
      <c r="B243" s="49" t="s">
        <v>14</v>
      </c>
      <c r="C243" s="49" t="s">
        <v>175</v>
      </c>
      <c r="D243" s="49" t="s">
        <v>85</v>
      </c>
      <c r="E243" s="49" t="s">
        <v>170</v>
      </c>
      <c r="F243" s="49">
        <v>2016</v>
      </c>
      <c r="G243" s="50">
        <v>42559.333333333336</v>
      </c>
      <c r="H243" s="50">
        <v>42572.5</v>
      </c>
      <c r="I243" s="54">
        <v>42559</v>
      </c>
      <c r="J243" s="54">
        <v>42572</v>
      </c>
      <c r="K243" s="51" t="s">
        <v>522</v>
      </c>
      <c r="L243" s="51">
        <v>0.5</v>
      </c>
      <c r="M243" s="51" t="s">
        <v>539</v>
      </c>
      <c r="N243" s="51" t="s">
        <v>533</v>
      </c>
      <c r="O243" s="51" t="s">
        <v>524</v>
      </c>
      <c r="P243" s="49" t="s">
        <v>9</v>
      </c>
      <c r="Q243" s="49" t="s">
        <v>38</v>
      </c>
      <c r="R243" s="49" t="s">
        <v>113</v>
      </c>
      <c r="S243" s="49">
        <v>4</v>
      </c>
      <c r="T243" s="49">
        <v>12</v>
      </c>
      <c r="U243" s="63">
        <v>48</v>
      </c>
      <c r="V243" s="63">
        <v>576</v>
      </c>
    </row>
    <row r="244" spans="1:22" x14ac:dyDescent="0.25">
      <c r="A244" s="49">
        <v>4597</v>
      </c>
      <c r="B244" s="49" t="s">
        <v>7</v>
      </c>
      <c r="C244" s="49" t="s">
        <v>175</v>
      </c>
      <c r="D244" s="49" t="s">
        <v>80</v>
      </c>
      <c r="E244" s="49" t="s">
        <v>173</v>
      </c>
      <c r="F244" s="49">
        <v>2016</v>
      </c>
      <c r="G244" s="50">
        <v>42560.375</v>
      </c>
      <c r="H244" s="50">
        <v>42565.75</v>
      </c>
      <c r="I244" s="54">
        <v>42560</v>
      </c>
      <c r="J244" s="54">
        <v>42565</v>
      </c>
      <c r="K244" s="51" t="s">
        <v>525</v>
      </c>
      <c r="L244" s="51">
        <v>0.75</v>
      </c>
      <c r="M244" s="51" t="s">
        <v>540</v>
      </c>
      <c r="N244" s="51" t="s">
        <v>533</v>
      </c>
      <c r="O244" s="51" t="s">
        <v>524</v>
      </c>
      <c r="P244" s="49" t="s">
        <v>9</v>
      </c>
      <c r="Q244" s="49" t="s">
        <v>190</v>
      </c>
      <c r="R244" s="49" t="s">
        <v>109</v>
      </c>
      <c r="S244" s="49">
        <v>4</v>
      </c>
      <c r="T244" s="49">
        <v>12</v>
      </c>
      <c r="U244" s="63">
        <v>32</v>
      </c>
      <c r="V244" s="63">
        <v>384</v>
      </c>
    </row>
    <row r="245" spans="1:22" x14ac:dyDescent="0.25">
      <c r="A245" s="49">
        <v>4598</v>
      </c>
      <c r="B245" s="49" t="s">
        <v>14</v>
      </c>
      <c r="C245" s="49" t="s">
        <v>175</v>
      </c>
      <c r="D245" s="49" t="s">
        <v>79</v>
      </c>
      <c r="E245" s="49" t="s">
        <v>168</v>
      </c>
      <c r="F245" s="49">
        <v>2016</v>
      </c>
      <c r="G245" s="50">
        <v>42562.791666666664</v>
      </c>
      <c r="H245" s="50">
        <v>42573.958333333336</v>
      </c>
      <c r="I245" s="54">
        <v>42562</v>
      </c>
      <c r="J245" s="54">
        <v>42573</v>
      </c>
      <c r="K245" s="51" t="s">
        <v>526</v>
      </c>
      <c r="L245" s="51">
        <v>0.95833333333333337</v>
      </c>
      <c r="M245" s="51" t="s">
        <v>541</v>
      </c>
      <c r="N245" s="51" t="s">
        <v>533</v>
      </c>
      <c r="O245" s="51" t="s">
        <v>524</v>
      </c>
      <c r="P245" s="49" t="s">
        <v>23</v>
      </c>
      <c r="Q245" s="49" t="s">
        <v>16</v>
      </c>
      <c r="R245" s="49" t="s">
        <v>109</v>
      </c>
      <c r="S245" s="49">
        <v>5</v>
      </c>
      <c r="T245" s="49">
        <v>8</v>
      </c>
      <c r="U245" s="63">
        <v>48</v>
      </c>
      <c r="V245" s="63">
        <v>384</v>
      </c>
    </row>
    <row r="246" spans="1:22" x14ac:dyDescent="0.25">
      <c r="A246" s="49">
        <v>4599</v>
      </c>
      <c r="B246" s="49" t="s">
        <v>39</v>
      </c>
      <c r="C246" s="49" t="s">
        <v>177</v>
      </c>
      <c r="D246" s="49" t="s">
        <v>78</v>
      </c>
      <c r="E246" s="49" t="s">
        <v>172</v>
      </c>
      <c r="F246" s="49">
        <v>2016</v>
      </c>
      <c r="G246" s="50">
        <v>42562.791666666664</v>
      </c>
      <c r="H246" s="50">
        <v>42573.958333333336</v>
      </c>
      <c r="I246" s="54">
        <v>42562</v>
      </c>
      <c r="J246" s="54">
        <v>42573</v>
      </c>
      <c r="K246" s="51" t="s">
        <v>526</v>
      </c>
      <c r="L246" s="51">
        <v>0.95833333333333337</v>
      </c>
      <c r="M246" s="51" t="s">
        <v>541</v>
      </c>
      <c r="N246" s="51" t="s">
        <v>533</v>
      </c>
      <c r="O246" s="51" t="s">
        <v>524</v>
      </c>
      <c r="P246" s="49" t="s">
        <v>23</v>
      </c>
      <c r="Q246" s="49" t="s">
        <v>190</v>
      </c>
      <c r="R246" s="49" t="s">
        <v>109</v>
      </c>
      <c r="S246" s="49">
        <v>2</v>
      </c>
      <c r="T246" s="49">
        <v>8</v>
      </c>
      <c r="U246" s="63">
        <v>62</v>
      </c>
      <c r="V246" s="63">
        <v>496</v>
      </c>
    </row>
    <row r="247" spans="1:22" x14ac:dyDescent="0.25">
      <c r="A247" s="49">
        <v>4600</v>
      </c>
      <c r="B247" s="49" t="s">
        <v>11</v>
      </c>
      <c r="C247" s="49" t="s">
        <v>175</v>
      </c>
      <c r="D247" s="49" t="s">
        <v>83</v>
      </c>
      <c r="E247" s="49" t="s">
        <v>174</v>
      </c>
      <c r="F247" s="49">
        <v>2016</v>
      </c>
      <c r="G247" s="50">
        <v>42563.791666666664</v>
      </c>
      <c r="H247" s="50">
        <v>42576.958333333336</v>
      </c>
      <c r="I247" s="54">
        <v>42563</v>
      </c>
      <c r="J247" s="54">
        <v>42576</v>
      </c>
      <c r="K247" s="51" t="s">
        <v>526</v>
      </c>
      <c r="L247" s="51">
        <v>0.95833333333333337</v>
      </c>
      <c r="M247" s="51" t="s">
        <v>541</v>
      </c>
      <c r="N247" s="51" t="s">
        <v>533</v>
      </c>
      <c r="O247" s="51" t="s">
        <v>524</v>
      </c>
      <c r="P247" s="49" t="s">
        <v>9</v>
      </c>
      <c r="Q247" s="49" t="s">
        <v>37</v>
      </c>
      <c r="R247" s="49" t="s">
        <v>113</v>
      </c>
      <c r="S247" s="49">
        <v>3</v>
      </c>
      <c r="T247" s="49">
        <v>8</v>
      </c>
      <c r="U247" s="63">
        <v>63</v>
      </c>
      <c r="V247" s="63">
        <v>504</v>
      </c>
    </row>
    <row r="248" spans="1:22" x14ac:dyDescent="0.25">
      <c r="A248" s="49">
        <v>4601</v>
      </c>
      <c r="B248" s="49" t="s">
        <v>11</v>
      </c>
      <c r="C248" s="49" t="s">
        <v>175</v>
      </c>
      <c r="D248" s="49" t="s">
        <v>80</v>
      </c>
      <c r="E248" s="49" t="s">
        <v>173</v>
      </c>
      <c r="F248" s="49">
        <v>2016</v>
      </c>
      <c r="G248" s="50">
        <v>42564.583333333336</v>
      </c>
      <c r="H248" s="50">
        <v>42577.75</v>
      </c>
      <c r="I248" s="54">
        <v>42564</v>
      </c>
      <c r="J248" s="54">
        <v>42577</v>
      </c>
      <c r="K248" s="51" t="s">
        <v>527</v>
      </c>
      <c r="L248" s="51">
        <v>0.75</v>
      </c>
      <c r="M248" s="51" t="s">
        <v>542</v>
      </c>
      <c r="N248" s="51" t="s">
        <v>533</v>
      </c>
      <c r="O248" s="51" t="s">
        <v>524</v>
      </c>
      <c r="P248" s="49" t="s">
        <v>23</v>
      </c>
      <c r="Q248" s="49" t="s">
        <v>22</v>
      </c>
      <c r="R248" s="49" t="s">
        <v>109</v>
      </c>
      <c r="S248" s="49">
        <v>2</v>
      </c>
      <c r="T248" s="49">
        <v>10</v>
      </c>
      <c r="U248" s="63">
        <v>32</v>
      </c>
      <c r="V248" s="63">
        <v>320</v>
      </c>
    </row>
    <row r="249" spans="1:22" x14ac:dyDescent="0.25">
      <c r="A249" s="49">
        <v>4602</v>
      </c>
      <c r="B249" s="49" t="s">
        <v>45</v>
      </c>
      <c r="C249" s="49" t="s">
        <v>177</v>
      </c>
      <c r="D249" s="49" t="s">
        <v>81</v>
      </c>
      <c r="E249" s="49" t="s">
        <v>172</v>
      </c>
      <c r="F249" s="49">
        <v>2016</v>
      </c>
      <c r="G249" s="50">
        <v>42565.375</v>
      </c>
      <c r="H249" s="50">
        <v>42571.75</v>
      </c>
      <c r="I249" s="54">
        <v>42565</v>
      </c>
      <c r="J249" s="54">
        <v>42571</v>
      </c>
      <c r="K249" s="51" t="s">
        <v>525</v>
      </c>
      <c r="L249" s="51">
        <v>0.75</v>
      </c>
      <c r="M249" s="51" t="s">
        <v>540</v>
      </c>
      <c r="N249" s="51" t="s">
        <v>533</v>
      </c>
      <c r="O249" s="51" t="s">
        <v>524</v>
      </c>
      <c r="P249" s="49" t="s">
        <v>9</v>
      </c>
      <c r="Q249" s="49" t="s">
        <v>16</v>
      </c>
      <c r="R249" s="49" t="s">
        <v>109</v>
      </c>
      <c r="S249" s="49">
        <v>2</v>
      </c>
      <c r="T249" s="49">
        <v>10</v>
      </c>
      <c r="U249" s="63">
        <v>43</v>
      </c>
      <c r="V249" s="63">
        <v>430</v>
      </c>
    </row>
    <row r="250" spans="1:22" x14ac:dyDescent="0.25">
      <c r="A250" s="49">
        <v>4603</v>
      </c>
      <c r="B250" s="49" t="s">
        <v>7</v>
      </c>
      <c r="C250" s="49" t="s">
        <v>175</v>
      </c>
      <c r="D250" s="49" t="s">
        <v>80</v>
      </c>
      <c r="E250" s="49" t="s">
        <v>173</v>
      </c>
      <c r="F250" s="49">
        <v>2016</v>
      </c>
      <c r="G250" s="50">
        <v>42566.333333333336</v>
      </c>
      <c r="H250" s="50">
        <v>42579.5</v>
      </c>
      <c r="I250" s="54">
        <v>42566</v>
      </c>
      <c r="J250" s="54">
        <v>42579</v>
      </c>
      <c r="K250" s="51" t="s">
        <v>522</v>
      </c>
      <c r="L250" s="51">
        <v>0.5</v>
      </c>
      <c r="M250" s="51" t="s">
        <v>539</v>
      </c>
      <c r="N250" s="51" t="s">
        <v>533</v>
      </c>
      <c r="O250" s="51" t="s">
        <v>524</v>
      </c>
      <c r="P250" s="49" t="s">
        <v>23</v>
      </c>
      <c r="Q250" s="49" t="s">
        <v>16</v>
      </c>
      <c r="R250" s="49" t="s">
        <v>109</v>
      </c>
      <c r="S250" s="49">
        <v>3</v>
      </c>
      <c r="T250" s="49">
        <v>11</v>
      </c>
      <c r="U250" s="63">
        <v>32</v>
      </c>
      <c r="V250" s="63">
        <v>352</v>
      </c>
    </row>
    <row r="251" spans="1:22" x14ac:dyDescent="0.25">
      <c r="A251" s="49">
        <v>4604</v>
      </c>
      <c r="B251" s="49" t="s">
        <v>11</v>
      </c>
      <c r="C251" s="49" t="s">
        <v>175</v>
      </c>
      <c r="D251" s="49" t="s">
        <v>80</v>
      </c>
      <c r="E251" s="49" t="s">
        <v>173</v>
      </c>
      <c r="F251" s="49">
        <v>2016</v>
      </c>
      <c r="G251" s="50">
        <v>42567.375</v>
      </c>
      <c r="H251" s="50">
        <v>42572.75</v>
      </c>
      <c r="I251" s="54">
        <v>42567</v>
      </c>
      <c r="J251" s="54">
        <v>42572</v>
      </c>
      <c r="K251" s="51" t="s">
        <v>525</v>
      </c>
      <c r="L251" s="51">
        <v>0.75</v>
      </c>
      <c r="M251" s="51" t="s">
        <v>540</v>
      </c>
      <c r="N251" s="51" t="s">
        <v>533</v>
      </c>
      <c r="O251" s="51" t="s">
        <v>524</v>
      </c>
      <c r="P251" s="49" t="s">
        <v>9</v>
      </c>
      <c r="Q251" s="49" t="s">
        <v>22</v>
      </c>
      <c r="R251" s="49" t="s">
        <v>109</v>
      </c>
      <c r="S251" s="49">
        <v>4</v>
      </c>
      <c r="T251" s="49">
        <v>8</v>
      </c>
      <c r="U251" s="63">
        <v>32</v>
      </c>
      <c r="V251" s="63">
        <v>256</v>
      </c>
    </row>
    <row r="252" spans="1:22" x14ac:dyDescent="0.25">
      <c r="A252" s="49">
        <v>4605</v>
      </c>
      <c r="B252" s="49" t="s">
        <v>19</v>
      </c>
      <c r="C252" s="49" t="s">
        <v>176</v>
      </c>
      <c r="D252" s="49" t="s">
        <v>80</v>
      </c>
      <c r="E252" s="49" t="s">
        <v>173</v>
      </c>
      <c r="F252" s="49">
        <v>2016</v>
      </c>
      <c r="G252" s="50">
        <v>42569.791666666664</v>
      </c>
      <c r="H252" s="50">
        <v>42580.958333333336</v>
      </c>
      <c r="I252" s="54">
        <v>42569</v>
      </c>
      <c r="J252" s="54">
        <v>42580</v>
      </c>
      <c r="K252" s="51" t="s">
        <v>526</v>
      </c>
      <c r="L252" s="51">
        <v>0.95833333333333337</v>
      </c>
      <c r="M252" s="51" t="s">
        <v>541</v>
      </c>
      <c r="N252" s="51" t="s">
        <v>533</v>
      </c>
      <c r="O252" s="51" t="s">
        <v>524</v>
      </c>
      <c r="P252" s="49" t="s">
        <v>23</v>
      </c>
      <c r="Q252" s="49" t="s">
        <v>44</v>
      </c>
      <c r="R252" s="49" t="s">
        <v>113</v>
      </c>
      <c r="S252" s="49">
        <v>2</v>
      </c>
      <c r="T252" s="49">
        <v>9</v>
      </c>
      <c r="U252" s="63">
        <v>32</v>
      </c>
      <c r="V252" s="63">
        <v>288</v>
      </c>
    </row>
    <row r="253" spans="1:22" x14ac:dyDescent="0.25">
      <c r="A253" s="49">
        <v>4606</v>
      </c>
      <c r="B253" s="49" t="s">
        <v>19</v>
      </c>
      <c r="C253" s="49" t="s">
        <v>176</v>
      </c>
      <c r="D253" s="49" t="s">
        <v>80</v>
      </c>
      <c r="E253" s="49" t="s">
        <v>173</v>
      </c>
      <c r="F253" s="49">
        <v>2016</v>
      </c>
      <c r="G253" s="50">
        <v>42569.791666666664</v>
      </c>
      <c r="H253" s="50">
        <v>42580.958333333336</v>
      </c>
      <c r="I253" s="54">
        <v>42569</v>
      </c>
      <c r="J253" s="54">
        <v>42580</v>
      </c>
      <c r="K253" s="51" t="s">
        <v>526</v>
      </c>
      <c r="L253" s="51">
        <v>0.95833333333333337</v>
      </c>
      <c r="M253" s="51" t="s">
        <v>541</v>
      </c>
      <c r="N253" s="51" t="s">
        <v>533</v>
      </c>
      <c r="O253" s="51" t="s">
        <v>524</v>
      </c>
      <c r="P253" s="49" t="s">
        <v>23</v>
      </c>
      <c r="Q253" s="49" t="s">
        <v>18</v>
      </c>
      <c r="R253" s="49" t="s">
        <v>113</v>
      </c>
      <c r="S253" s="49">
        <v>5</v>
      </c>
      <c r="T253" s="49">
        <v>10</v>
      </c>
      <c r="U253" s="63">
        <v>32</v>
      </c>
      <c r="V253" s="63">
        <v>320</v>
      </c>
    </row>
    <row r="254" spans="1:22" x14ac:dyDescent="0.25">
      <c r="A254" s="49">
        <v>4607</v>
      </c>
      <c r="B254" s="49" t="s">
        <v>11</v>
      </c>
      <c r="C254" s="49" t="s">
        <v>175</v>
      </c>
      <c r="D254" s="49" t="s">
        <v>85</v>
      </c>
      <c r="E254" s="49" t="s">
        <v>170</v>
      </c>
      <c r="F254" s="49">
        <v>2016</v>
      </c>
      <c r="G254" s="50">
        <v>42570.791666666664</v>
      </c>
      <c r="H254" s="50">
        <v>42583.958333333336</v>
      </c>
      <c r="I254" s="54">
        <v>42570</v>
      </c>
      <c r="J254" s="54">
        <v>42583</v>
      </c>
      <c r="K254" s="51" t="s">
        <v>526</v>
      </c>
      <c r="L254" s="51">
        <v>0.95833333333333337</v>
      </c>
      <c r="M254" s="51" t="s">
        <v>541</v>
      </c>
      <c r="N254" s="51" t="s">
        <v>533</v>
      </c>
      <c r="O254" s="51" t="s">
        <v>524</v>
      </c>
      <c r="P254" s="49" t="s">
        <v>23</v>
      </c>
      <c r="Q254" s="49" t="s">
        <v>33</v>
      </c>
      <c r="R254" s="49" t="s">
        <v>113</v>
      </c>
      <c r="S254" s="49">
        <v>4</v>
      </c>
      <c r="T254" s="49">
        <v>9</v>
      </c>
      <c r="U254" s="63">
        <v>48</v>
      </c>
      <c r="V254" s="63">
        <v>432</v>
      </c>
    </row>
    <row r="255" spans="1:22" x14ac:dyDescent="0.25">
      <c r="A255" s="49">
        <v>4608</v>
      </c>
      <c r="B255" s="49" t="s">
        <v>14</v>
      </c>
      <c r="C255" s="49" t="s">
        <v>175</v>
      </c>
      <c r="D255" s="49" t="s">
        <v>85</v>
      </c>
      <c r="E255" s="49" t="s">
        <v>170</v>
      </c>
      <c r="F255" s="49">
        <v>2016</v>
      </c>
      <c r="G255" s="50">
        <v>42571.583333333336</v>
      </c>
      <c r="H255" s="50">
        <v>42584.75</v>
      </c>
      <c r="I255" s="54">
        <v>42571</v>
      </c>
      <c r="J255" s="54">
        <v>42584</v>
      </c>
      <c r="K255" s="51" t="s">
        <v>527</v>
      </c>
      <c r="L255" s="51">
        <v>0.75</v>
      </c>
      <c r="M255" s="51" t="s">
        <v>542</v>
      </c>
      <c r="N255" s="51" t="s">
        <v>533</v>
      </c>
      <c r="O255" s="51" t="s">
        <v>524</v>
      </c>
      <c r="P255" s="49" t="s">
        <v>23</v>
      </c>
      <c r="Q255" s="49" t="s">
        <v>16</v>
      </c>
      <c r="R255" s="49" t="s">
        <v>109</v>
      </c>
      <c r="S255" s="49">
        <v>4</v>
      </c>
      <c r="T255" s="49">
        <v>12</v>
      </c>
      <c r="U255" s="63">
        <v>48</v>
      </c>
      <c r="V255" s="63">
        <v>576</v>
      </c>
    </row>
    <row r="256" spans="1:22" x14ac:dyDescent="0.25">
      <c r="A256" s="49">
        <v>4609</v>
      </c>
      <c r="B256" s="49" t="s">
        <v>14</v>
      </c>
      <c r="C256" s="49" t="s">
        <v>175</v>
      </c>
      <c r="D256" s="49" t="s">
        <v>85</v>
      </c>
      <c r="E256" s="49" t="s">
        <v>170</v>
      </c>
      <c r="F256" s="49">
        <v>2016</v>
      </c>
      <c r="G256" s="50">
        <v>42572.375</v>
      </c>
      <c r="H256" s="50">
        <v>42578.75</v>
      </c>
      <c r="I256" s="54">
        <v>42572</v>
      </c>
      <c r="J256" s="54">
        <v>42578</v>
      </c>
      <c r="K256" s="51" t="s">
        <v>525</v>
      </c>
      <c r="L256" s="51">
        <v>0.75</v>
      </c>
      <c r="M256" s="51" t="s">
        <v>540</v>
      </c>
      <c r="N256" s="51" t="s">
        <v>533</v>
      </c>
      <c r="O256" s="51" t="s">
        <v>524</v>
      </c>
      <c r="P256" s="49" t="s">
        <v>23</v>
      </c>
      <c r="Q256" s="49" t="s">
        <v>41</v>
      </c>
      <c r="R256" s="49" t="s">
        <v>113</v>
      </c>
      <c r="S256" s="49">
        <v>2</v>
      </c>
      <c r="T256" s="49">
        <v>10</v>
      </c>
      <c r="U256" s="63">
        <v>48</v>
      </c>
      <c r="V256" s="63">
        <v>480</v>
      </c>
    </row>
    <row r="257" spans="1:22" x14ac:dyDescent="0.25">
      <c r="A257" s="49">
        <v>4610</v>
      </c>
      <c r="B257" s="49" t="s">
        <v>39</v>
      </c>
      <c r="C257" s="49" t="s">
        <v>177</v>
      </c>
      <c r="D257" s="49" t="s">
        <v>77</v>
      </c>
      <c r="E257" s="49" t="s">
        <v>172</v>
      </c>
      <c r="F257" s="49">
        <v>2016</v>
      </c>
      <c r="G257" s="50">
        <v>42573.333333333336</v>
      </c>
      <c r="H257" s="50">
        <v>42586.5</v>
      </c>
      <c r="I257" s="54">
        <v>42573</v>
      </c>
      <c r="J257" s="54">
        <v>42586</v>
      </c>
      <c r="K257" s="51" t="s">
        <v>522</v>
      </c>
      <c r="L257" s="51">
        <v>0.5</v>
      </c>
      <c r="M257" s="51" t="s">
        <v>539</v>
      </c>
      <c r="N257" s="51" t="s">
        <v>533</v>
      </c>
      <c r="O257" s="51" t="s">
        <v>524</v>
      </c>
      <c r="P257" s="49" t="s">
        <v>23</v>
      </c>
      <c r="Q257" s="49" t="s">
        <v>41</v>
      </c>
      <c r="R257" s="49" t="s">
        <v>113</v>
      </c>
      <c r="S257" s="49">
        <v>2</v>
      </c>
      <c r="T257" s="49">
        <v>12</v>
      </c>
      <c r="U257" s="63">
        <v>35</v>
      </c>
      <c r="V257" s="63">
        <v>420</v>
      </c>
    </row>
    <row r="258" spans="1:22" x14ac:dyDescent="0.25">
      <c r="A258" s="49">
        <v>4611</v>
      </c>
      <c r="B258" s="49" t="s">
        <v>14</v>
      </c>
      <c r="C258" s="49" t="s">
        <v>175</v>
      </c>
      <c r="D258" s="49" t="s">
        <v>82</v>
      </c>
      <c r="E258" s="49" t="s">
        <v>172</v>
      </c>
      <c r="F258" s="49">
        <v>2016</v>
      </c>
      <c r="G258" s="50">
        <v>42574.375</v>
      </c>
      <c r="H258" s="50">
        <v>42579.75</v>
      </c>
      <c r="I258" s="54">
        <v>42574</v>
      </c>
      <c r="J258" s="54">
        <v>42579</v>
      </c>
      <c r="K258" s="51" t="s">
        <v>525</v>
      </c>
      <c r="L258" s="51">
        <v>0.75</v>
      </c>
      <c r="M258" s="51" t="s">
        <v>540</v>
      </c>
      <c r="N258" s="51" t="s">
        <v>533</v>
      </c>
      <c r="O258" s="51" t="s">
        <v>524</v>
      </c>
      <c r="P258" s="49" t="s">
        <v>23</v>
      </c>
      <c r="Q258" s="49" t="s">
        <v>33</v>
      </c>
      <c r="R258" s="49" t="s">
        <v>113</v>
      </c>
      <c r="S258" s="49">
        <v>2</v>
      </c>
      <c r="T258" s="49">
        <v>11</v>
      </c>
      <c r="U258" s="63">
        <v>75</v>
      </c>
      <c r="V258" s="63">
        <v>825</v>
      </c>
    </row>
    <row r="259" spans="1:22" x14ac:dyDescent="0.25">
      <c r="A259" s="49">
        <v>4612</v>
      </c>
      <c r="B259" s="49" t="s">
        <v>14</v>
      </c>
      <c r="C259" s="49" t="s">
        <v>175</v>
      </c>
      <c r="D259" s="49" t="s">
        <v>88</v>
      </c>
      <c r="E259" s="49" t="s">
        <v>170</v>
      </c>
      <c r="F259" s="49">
        <v>2016</v>
      </c>
      <c r="G259" s="50">
        <v>42576.791666666664</v>
      </c>
      <c r="H259" s="50">
        <v>42587.958333333336</v>
      </c>
      <c r="I259" s="54">
        <v>42576</v>
      </c>
      <c r="J259" s="54">
        <v>42587</v>
      </c>
      <c r="K259" s="51" t="s">
        <v>526</v>
      </c>
      <c r="L259" s="51">
        <v>0.95833333333333337</v>
      </c>
      <c r="M259" s="51" t="s">
        <v>541</v>
      </c>
      <c r="N259" s="51" t="s">
        <v>533</v>
      </c>
      <c r="O259" s="51" t="s">
        <v>524</v>
      </c>
      <c r="P259" s="49" t="s">
        <v>9</v>
      </c>
      <c r="Q259" s="49" t="s">
        <v>18</v>
      </c>
      <c r="R259" s="49" t="s">
        <v>113</v>
      </c>
      <c r="S259" s="49">
        <v>2</v>
      </c>
      <c r="T259" s="49">
        <v>10</v>
      </c>
      <c r="U259" s="63">
        <v>42</v>
      </c>
      <c r="V259" s="63">
        <v>420</v>
      </c>
    </row>
    <row r="260" spans="1:22" x14ac:dyDescent="0.25">
      <c r="A260" s="49">
        <v>4613</v>
      </c>
      <c r="B260" s="49" t="s">
        <v>29</v>
      </c>
      <c r="C260" s="49" t="s">
        <v>177</v>
      </c>
      <c r="D260" s="49" t="s">
        <v>80</v>
      </c>
      <c r="E260" s="49" t="s">
        <v>173</v>
      </c>
      <c r="F260" s="49">
        <v>2016</v>
      </c>
      <c r="G260" s="50">
        <v>42576.791666666664</v>
      </c>
      <c r="H260" s="50">
        <v>42587.958333333336</v>
      </c>
      <c r="I260" s="54">
        <v>42576</v>
      </c>
      <c r="J260" s="54">
        <v>42587</v>
      </c>
      <c r="K260" s="51" t="s">
        <v>526</v>
      </c>
      <c r="L260" s="51">
        <v>0.95833333333333337</v>
      </c>
      <c r="M260" s="51" t="s">
        <v>541</v>
      </c>
      <c r="N260" s="51" t="s">
        <v>533</v>
      </c>
      <c r="O260" s="51" t="s">
        <v>524</v>
      </c>
      <c r="P260" s="49" t="s">
        <v>23</v>
      </c>
      <c r="Q260" s="49" t="s">
        <v>16</v>
      </c>
      <c r="R260" s="49" t="s">
        <v>109</v>
      </c>
      <c r="S260" s="49">
        <v>3</v>
      </c>
      <c r="T260" s="49">
        <v>11</v>
      </c>
      <c r="U260" s="63">
        <v>32</v>
      </c>
      <c r="V260" s="63">
        <v>352</v>
      </c>
    </row>
    <row r="261" spans="1:22" x14ac:dyDescent="0.25">
      <c r="A261" s="49">
        <v>4614</v>
      </c>
      <c r="B261" s="49" t="s">
        <v>7</v>
      </c>
      <c r="C261" s="49" t="s">
        <v>175</v>
      </c>
      <c r="D261" s="49" t="s">
        <v>79</v>
      </c>
      <c r="E261" s="49" t="s">
        <v>168</v>
      </c>
      <c r="F261" s="49">
        <v>2016</v>
      </c>
      <c r="G261" s="50">
        <v>42577.791666666664</v>
      </c>
      <c r="H261" s="50">
        <v>42590.958333333336</v>
      </c>
      <c r="I261" s="54">
        <v>42577</v>
      </c>
      <c r="J261" s="54">
        <v>42590</v>
      </c>
      <c r="K261" s="51" t="s">
        <v>526</v>
      </c>
      <c r="L261" s="51">
        <v>0.95833333333333337</v>
      </c>
      <c r="M261" s="51" t="s">
        <v>541</v>
      </c>
      <c r="N261" s="51" t="s">
        <v>533</v>
      </c>
      <c r="O261" s="51" t="s">
        <v>524</v>
      </c>
      <c r="P261" s="49" t="s">
        <v>23</v>
      </c>
      <c r="Q261" s="49" t="s">
        <v>21</v>
      </c>
      <c r="R261" s="49" t="s">
        <v>113</v>
      </c>
      <c r="S261" s="49">
        <v>5</v>
      </c>
      <c r="T261" s="49">
        <v>8</v>
      </c>
      <c r="U261" s="63">
        <v>48</v>
      </c>
      <c r="V261" s="63">
        <v>384</v>
      </c>
    </row>
    <row r="262" spans="1:22" x14ac:dyDescent="0.25">
      <c r="A262" s="49">
        <v>4615</v>
      </c>
      <c r="B262" s="49" t="s">
        <v>45</v>
      </c>
      <c r="C262" s="49" t="s">
        <v>177</v>
      </c>
      <c r="D262" s="49" t="s">
        <v>82</v>
      </c>
      <c r="E262" s="49" t="s">
        <v>172</v>
      </c>
      <c r="F262" s="49">
        <v>2016</v>
      </c>
      <c r="G262" s="50">
        <v>42578.583333333336</v>
      </c>
      <c r="H262" s="50">
        <v>42591.75</v>
      </c>
      <c r="I262" s="54">
        <v>42578</v>
      </c>
      <c r="J262" s="54">
        <v>42591</v>
      </c>
      <c r="K262" s="51" t="s">
        <v>527</v>
      </c>
      <c r="L262" s="51">
        <v>0.75</v>
      </c>
      <c r="M262" s="51" t="s">
        <v>542</v>
      </c>
      <c r="N262" s="51" t="s">
        <v>533</v>
      </c>
      <c r="O262" s="51" t="s">
        <v>524</v>
      </c>
      <c r="P262" s="49" t="s">
        <v>23</v>
      </c>
      <c r="Q262" s="49" t="s">
        <v>12</v>
      </c>
      <c r="R262" s="49" t="s">
        <v>113</v>
      </c>
      <c r="S262" s="49">
        <v>4</v>
      </c>
      <c r="T262" s="49">
        <v>10</v>
      </c>
      <c r="U262" s="63">
        <v>75</v>
      </c>
      <c r="V262" s="63">
        <v>750</v>
      </c>
    </row>
    <row r="263" spans="1:22" x14ac:dyDescent="0.25">
      <c r="A263" s="49">
        <v>4616</v>
      </c>
      <c r="B263" s="49" t="s">
        <v>39</v>
      </c>
      <c r="C263" s="49" t="s">
        <v>177</v>
      </c>
      <c r="D263" s="49" t="s">
        <v>89</v>
      </c>
      <c r="E263" s="49" t="s">
        <v>169</v>
      </c>
      <c r="F263" s="49">
        <v>2016</v>
      </c>
      <c r="G263" s="50">
        <v>42579.375</v>
      </c>
      <c r="H263" s="50">
        <v>42585.75</v>
      </c>
      <c r="I263" s="54">
        <v>42579</v>
      </c>
      <c r="J263" s="54">
        <v>42585</v>
      </c>
      <c r="K263" s="51" t="s">
        <v>525</v>
      </c>
      <c r="L263" s="51">
        <v>0.75</v>
      </c>
      <c r="M263" s="51" t="s">
        <v>540</v>
      </c>
      <c r="N263" s="51" t="s">
        <v>533</v>
      </c>
      <c r="O263" s="51" t="s">
        <v>524</v>
      </c>
      <c r="P263" s="49" t="s">
        <v>23</v>
      </c>
      <c r="Q263" s="49" t="s">
        <v>16</v>
      </c>
      <c r="R263" s="49" t="s">
        <v>109</v>
      </c>
      <c r="S263" s="49">
        <v>3</v>
      </c>
      <c r="T263" s="49">
        <v>11</v>
      </c>
      <c r="U263" s="63">
        <v>62</v>
      </c>
      <c r="V263" s="63">
        <v>682</v>
      </c>
    </row>
    <row r="264" spans="1:22" x14ac:dyDescent="0.25">
      <c r="A264" s="49">
        <v>4617</v>
      </c>
      <c r="B264" s="49" t="s">
        <v>17</v>
      </c>
      <c r="C264" s="49" t="s">
        <v>176</v>
      </c>
      <c r="D264" s="49" t="s">
        <v>77</v>
      </c>
      <c r="E264" s="49" t="s">
        <v>172</v>
      </c>
      <c r="F264" s="49">
        <v>2016</v>
      </c>
      <c r="G264" s="50">
        <v>42580.333333333336</v>
      </c>
      <c r="H264" s="50">
        <v>42593.5</v>
      </c>
      <c r="I264" s="54">
        <v>42580</v>
      </c>
      <c r="J264" s="54">
        <v>42593</v>
      </c>
      <c r="K264" s="51" t="s">
        <v>522</v>
      </c>
      <c r="L264" s="51">
        <v>0.5</v>
      </c>
      <c r="M264" s="51" t="s">
        <v>539</v>
      </c>
      <c r="N264" s="51" t="s">
        <v>533</v>
      </c>
      <c r="O264" s="51" t="s">
        <v>524</v>
      </c>
      <c r="P264" s="49" t="s">
        <v>9</v>
      </c>
      <c r="Q264" s="49" t="s">
        <v>38</v>
      </c>
      <c r="R264" s="49" t="s">
        <v>113</v>
      </c>
      <c r="S264" s="49">
        <v>4</v>
      </c>
      <c r="T264" s="49">
        <v>9</v>
      </c>
      <c r="U264" s="63">
        <v>35</v>
      </c>
      <c r="V264" s="63">
        <v>315</v>
      </c>
    </row>
    <row r="265" spans="1:22" x14ac:dyDescent="0.25">
      <c r="A265" s="49">
        <v>4618</v>
      </c>
      <c r="B265" s="49" t="s">
        <v>7</v>
      </c>
      <c r="C265" s="49" t="s">
        <v>175</v>
      </c>
      <c r="D265" s="49" t="s">
        <v>84</v>
      </c>
      <c r="E265" s="49" t="s">
        <v>172</v>
      </c>
      <c r="F265" s="49">
        <v>2016</v>
      </c>
      <c r="G265" s="50">
        <v>42581.375</v>
      </c>
      <c r="H265" s="50">
        <v>42586.75</v>
      </c>
      <c r="I265" s="54">
        <v>42581</v>
      </c>
      <c r="J265" s="54">
        <v>42586</v>
      </c>
      <c r="K265" s="51" t="s">
        <v>525</v>
      </c>
      <c r="L265" s="51">
        <v>0.75</v>
      </c>
      <c r="M265" s="51" t="s">
        <v>540</v>
      </c>
      <c r="N265" s="51" t="s">
        <v>533</v>
      </c>
      <c r="O265" s="51" t="s">
        <v>524</v>
      </c>
      <c r="P265" s="49" t="s">
        <v>23</v>
      </c>
      <c r="Q265" s="49" t="s">
        <v>33</v>
      </c>
      <c r="R265" s="49" t="s">
        <v>113</v>
      </c>
      <c r="S265" s="49">
        <v>5</v>
      </c>
      <c r="T265" s="49">
        <v>12</v>
      </c>
      <c r="U265" s="63">
        <v>52</v>
      </c>
      <c r="V265" s="63">
        <v>624</v>
      </c>
    </row>
    <row r="266" spans="1:22" x14ac:dyDescent="0.25">
      <c r="A266" s="49">
        <v>4619</v>
      </c>
      <c r="B266" s="49" t="s">
        <v>45</v>
      </c>
      <c r="C266" s="49" t="s">
        <v>177</v>
      </c>
      <c r="D266" s="49" t="s">
        <v>85</v>
      </c>
      <c r="E266" s="49" t="s">
        <v>170</v>
      </c>
      <c r="F266" s="49">
        <v>2016</v>
      </c>
      <c r="G266" s="50">
        <v>42583.791666666664</v>
      </c>
      <c r="H266" s="50">
        <v>42594.958333333336</v>
      </c>
      <c r="I266" s="54">
        <v>42583</v>
      </c>
      <c r="J266" s="54">
        <v>42594</v>
      </c>
      <c r="K266" s="51" t="s">
        <v>526</v>
      </c>
      <c r="L266" s="51">
        <v>0.95833333333333337</v>
      </c>
      <c r="M266" s="51" t="s">
        <v>541</v>
      </c>
      <c r="N266" s="51" t="s">
        <v>534</v>
      </c>
      <c r="O266" s="51" t="s">
        <v>524</v>
      </c>
      <c r="P266" s="49" t="s">
        <v>9</v>
      </c>
      <c r="Q266" s="49" t="s">
        <v>38</v>
      </c>
      <c r="R266" s="49" t="s">
        <v>113</v>
      </c>
      <c r="S266" s="49">
        <v>4</v>
      </c>
      <c r="T266" s="49">
        <v>8</v>
      </c>
      <c r="U266" s="63">
        <v>48</v>
      </c>
      <c r="V266" s="63">
        <v>384</v>
      </c>
    </row>
    <row r="267" spans="1:22" x14ac:dyDescent="0.25">
      <c r="A267" s="49">
        <v>4620</v>
      </c>
      <c r="B267" s="49" t="s">
        <v>29</v>
      </c>
      <c r="C267" s="49" t="s">
        <v>177</v>
      </c>
      <c r="D267" s="49" t="s">
        <v>84</v>
      </c>
      <c r="E267" s="49" t="s">
        <v>172</v>
      </c>
      <c r="F267" s="49">
        <v>2016</v>
      </c>
      <c r="G267" s="50">
        <v>42583.791666666664</v>
      </c>
      <c r="H267" s="50">
        <v>42594.958333333336</v>
      </c>
      <c r="I267" s="54">
        <v>42583</v>
      </c>
      <c r="J267" s="54">
        <v>42594</v>
      </c>
      <c r="K267" s="51" t="s">
        <v>526</v>
      </c>
      <c r="L267" s="51">
        <v>0.95833333333333337</v>
      </c>
      <c r="M267" s="51" t="s">
        <v>541</v>
      </c>
      <c r="N267" s="51" t="s">
        <v>534</v>
      </c>
      <c r="O267" s="51" t="s">
        <v>524</v>
      </c>
      <c r="P267" s="49" t="s">
        <v>23</v>
      </c>
      <c r="Q267" s="49" t="s">
        <v>16</v>
      </c>
      <c r="R267" s="49" t="s">
        <v>109</v>
      </c>
      <c r="S267" s="49">
        <v>2</v>
      </c>
      <c r="T267" s="49">
        <v>12</v>
      </c>
      <c r="U267" s="63">
        <v>52</v>
      </c>
      <c r="V267" s="63">
        <v>624</v>
      </c>
    </row>
    <row r="268" spans="1:22" x14ac:dyDescent="0.25">
      <c r="A268" s="49">
        <v>4621</v>
      </c>
      <c r="B268" s="49" t="s">
        <v>45</v>
      </c>
      <c r="C268" s="49" t="s">
        <v>177</v>
      </c>
      <c r="D268" s="49" t="s">
        <v>77</v>
      </c>
      <c r="E268" s="49" t="s">
        <v>172</v>
      </c>
      <c r="F268" s="49">
        <v>2016</v>
      </c>
      <c r="G268" s="50">
        <v>42584.791666666664</v>
      </c>
      <c r="H268" s="50">
        <v>42597.958333333336</v>
      </c>
      <c r="I268" s="54">
        <v>42584</v>
      </c>
      <c r="J268" s="54">
        <v>42597</v>
      </c>
      <c r="K268" s="51" t="s">
        <v>526</v>
      </c>
      <c r="L268" s="51">
        <v>0.95833333333333337</v>
      </c>
      <c r="M268" s="51" t="s">
        <v>541</v>
      </c>
      <c r="N268" s="51" t="s">
        <v>534</v>
      </c>
      <c r="O268" s="51" t="s">
        <v>524</v>
      </c>
      <c r="P268" s="49" t="s">
        <v>9</v>
      </c>
      <c r="Q268" s="49" t="s">
        <v>31</v>
      </c>
      <c r="R268" s="49" t="s">
        <v>113</v>
      </c>
      <c r="S268" s="49">
        <v>3</v>
      </c>
      <c r="T268" s="49">
        <v>8</v>
      </c>
      <c r="U268" s="63">
        <v>35</v>
      </c>
      <c r="V268" s="63">
        <v>280</v>
      </c>
    </row>
    <row r="269" spans="1:22" x14ac:dyDescent="0.25">
      <c r="A269" s="49">
        <v>4622</v>
      </c>
      <c r="B269" s="49" t="s">
        <v>29</v>
      </c>
      <c r="C269" s="49" t="s">
        <v>177</v>
      </c>
      <c r="D269" s="49" t="s">
        <v>80</v>
      </c>
      <c r="E269" s="49" t="s">
        <v>173</v>
      </c>
      <c r="F269" s="49">
        <v>2016</v>
      </c>
      <c r="G269" s="50">
        <v>42585.583333333336</v>
      </c>
      <c r="H269" s="50">
        <v>42598.75</v>
      </c>
      <c r="I269" s="54">
        <v>42585</v>
      </c>
      <c r="J269" s="54">
        <v>42598</v>
      </c>
      <c r="K269" s="51" t="s">
        <v>527</v>
      </c>
      <c r="L269" s="51">
        <v>0.75</v>
      </c>
      <c r="M269" s="51" t="s">
        <v>542</v>
      </c>
      <c r="N269" s="51" t="s">
        <v>534</v>
      </c>
      <c r="O269" s="51" t="s">
        <v>524</v>
      </c>
      <c r="P269" s="49" t="s">
        <v>23</v>
      </c>
      <c r="Q269" s="49" t="s">
        <v>38</v>
      </c>
      <c r="R269" s="49" t="s">
        <v>113</v>
      </c>
      <c r="S269" s="49">
        <v>3</v>
      </c>
      <c r="T269" s="49">
        <v>10</v>
      </c>
      <c r="U269" s="63">
        <v>32</v>
      </c>
      <c r="V269" s="63">
        <v>320</v>
      </c>
    </row>
    <row r="270" spans="1:22" x14ac:dyDescent="0.25">
      <c r="A270" s="49">
        <v>4623</v>
      </c>
      <c r="B270" s="49" t="s">
        <v>7</v>
      </c>
      <c r="C270" s="49" t="s">
        <v>175</v>
      </c>
      <c r="D270" s="49" t="s">
        <v>86</v>
      </c>
      <c r="E270" s="49" t="s">
        <v>169</v>
      </c>
      <c r="F270" s="49">
        <v>2016</v>
      </c>
      <c r="G270" s="50">
        <v>42586.375</v>
      </c>
      <c r="H270" s="50">
        <v>42592.75</v>
      </c>
      <c r="I270" s="54">
        <v>42586</v>
      </c>
      <c r="J270" s="54">
        <v>42592</v>
      </c>
      <c r="K270" s="51" t="s">
        <v>525</v>
      </c>
      <c r="L270" s="51">
        <v>0.75</v>
      </c>
      <c r="M270" s="51" t="s">
        <v>540</v>
      </c>
      <c r="N270" s="51" t="s">
        <v>534</v>
      </c>
      <c r="O270" s="51" t="s">
        <v>524</v>
      </c>
      <c r="P270" s="49" t="s">
        <v>9</v>
      </c>
      <c r="Q270" s="49" t="s">
        <v>190</v>
      </c>
      <c r="R270" s="49" t="s">
        <v>109</v>
      </c>
      <c r="S270" s="49" t="s">
        <v>191</v>
      </c>
      <c r="T270" s="49">
        <v>12</v>
      </c>
      <c r="U270" s="63">
        <v>48</v>
      </c>
      <c r="V270" s="63">
        <v>576</v>
      </c>
    </row>
    <row r="271" spans="1:22" x14ac:dyDescent="0.25">
      <c r="A271" s="49">
        <v>4624</v>
      </c>
      <c r="B271" s="49" t="s">
        <v>17</v>
      </c>
      <c r="C271" s="49" t="s">
        <v>176</v>
      </c>
      <c r="D271" s="49" t="s">
        <v>85</v>
      </c>
      <c r="E271" s="49" t="s">
        <v>170</v>
      </c>
      <c r="F271" s="49">
        <v>2016</v>
      </c>
      <c r="G271" s="50">
        <v>42587.333333333336</v>
      </c>
      <c r="H271" s="50">
        <v>42600.5</v>
      </c>
      <c r="I271" s="54">
        <v>42587</v>
      </c>
      <c r="J271" s="54">
        <v>42600</v>
      </c>
      <c r="K271" s="51" t="s">
        <v>522</v>
      </c>
      <c r="L271" s="51">
        <v>0.5</v>
      </c>
      <c r="M271" s="51" t="s">
        <v>539</v>
      </c>
      <c r="N271" s="51" t="s">
        <v>534</v>
      </c>
      <c r="O271" s="51" t="s">
        <v>524</v>
      </c>
      <c r="P271" s="49" t="s">
        <v>9</v>
      </c>
      <c r="Q271" s="49" t="s">
        <v>44</v>
      </c>
      <c r="R271" s="49" t="s">
        <v>113</v>
      </c>
      <c r="S271" s="49">
        <v>5</v>
      </c>
      <c r="T271" s="49">
        <v>9</v>
      </c>
      <c r="U271" s="63">
        <v>48</v>
      </c>
      <c r="V271" s="63">
        <v>432</v>
      </c>
    </row>
    <row r="272" spans="1:22" x14ac:dyDescent="0.25">
      <c r="A272" s="49">
        <v>4625</v>
      </c>
      <c r="B272" s="49" t="s">
        <v>29</v>
      </c>
      <c r="C272" s="49" t="s">
        <v>177</v>
      </c>
      <c r="D272" s="49" t="s">
        <v>86</v>
      </c>
      <c r="E272" s="49" t="s">
        <v>169</v>
      </c>
      <c r="F272" s="49">
        <v>2016</v>
      </c>
      <c r="G272" s="50">
        <v>42588.375</v>
      </c>
      <c r="H272" s="50">
        <v>42593.75</v>
      </c>
      <c r="I272" s="54">
        <v>42588</v>
      </c>
      <c r="J272" s="54">
        <v>42593</v>
      </c>
      <c r="K272" s="51" t="s">
        <v>525</v>
      </c>
      <c r="L272" s="51">
        <v>0.75</v>
      </c>
      <c r="M272" s="51" t="s">
        <v>540</v>
      </c>
      <c r="N272" s="51" t="s">
        <v>534</v>
      </c>
      <c r="O272" s="51" t="s">
        <v>524</v>
      </c>
      <c r="P272" s="49" t="s">
        <v>9</v>
      </c>
      <c r="Q272" s="49" t="s">
        <v>190</v>
      </c>
      <c r="R272" s="49" t="s">
        <v>109</v>
      </c>
      <c r="S272" s="49">
        <v>5</v>
      </c>
      <c r="T272" s="49">
        <v>12</v>
      </c>
      <c r="U272" s="63">
        <v>48</v>
      </c>
      <c r="V272" s="63">
        <v>576</v>
      </c>
    </row>
    <row r="273" spans="1:22" x14ac:dyDescent="0.25">
      <c r="A273" s="49">
        <v>4626</v>
      </c>
      <c r="B273" s="49" t="s">
        <v>11</v>
      </c>
      <c r="C273" s="49" t="s">
        <v>175</v>
      </c>
      <c r="D273" s="49" t="s">
        <v>88</v>
      </c>
      <c r="E273" s="49" t="s">
        <v>170</v>
      </c>
      <c r="F273" s="49">
        <v>2016</v>
      </c>
      <c r="G273" s="50">
        <v>42590.791666666664</v>
      </c>
      <c r="H273" s="50">
        <v>42601.958333333336</v>
      </c>
      <c r="I273" s="54">
        <v>42590</v>
      </c>
      <c r="J273" s="54">
        <v>42601</v>
      </c>
      <c r="K273" s="51" t="s">
        <v>526</v>
      </c>
      <c r="L273" s="51">
        <v>0.95833333333333337</v>
      </c>
      <c r="M273" s="51" t="s">
        <v>541</v>
      </c>
      <c r="N273" s="51" t="s">
        <v>534</v>
      </c>
      <c r="O273" s="51" t="s">
        <v>524</v>
      </c>
      <c r="P273" s="49" t="s">
        <v>23</v>
      </c>
      <c r="Q273" s="49" t="s">
        <v>28</v>
      </c>
      <c r="R273" s="49" t="s">
        <v>109</v>
      </c>
      <c r="S273" s="49">
        <v>5</v>
      </c>
      <c r="T273" s="49">
        <v>9</v>
      </c>
      <c r="U273" s="63">
        <v>42</v>
      </c>
      <c r="V273" s="63">
        <v>378</v>
      </c>
    </row>
    <row r="274" spans="1:22" x14ac:dyDescent="0.25">
      <c r="A274" s="49">
        <v>4627</v>
      </c>
      <c r="B274" s="49" t="s">
        <v>14</v>
      </c>
      <c r="C274" s="49" t="s">
        <v>175</v>
      </c>
      <c r="D274" s="49" t="s">
        <v>88</v>
      </c>
      <c r="E274" s="49" t="s">
        <v>170</v>
      </c>
      <c r="F274" s="49">
        <v>2016</v>
      </c>
      <c r="G274" s="50">
        <v>42590.791666666664</v>
      </c>
      <c r="H274" s="50">
        <v>42601.958333333336</v>
      </c>
      <c r="I274" s="54">
        <v>42590</v>
      </c>
      <c r="J274" s="54">
        <v>42601</v>
      </c>
      <c r="K274" s="51" t="s">
        <v>526</v>
      </c>
      <c r="L274" s="51">
        <v>0.95833333333333337</v>
      </c>
      <c r="M274" s="51" t="s">
        <v>541</v>
      </c>
      <c r="N274" s="51" t="s">
        <v>534</v>
      </c>
      <c r="O274" s="51" t="s">
        <v>524</v>
      </c>
      <c r="P274" s="49" t="s">
        <v>9</v>
      </c>
      <c r="Q274" s="49" t="s">
        <v>33</v>
      </c>
      <c r="R274" s="49" t="s">
        <v>113</v>
      </c>
      <c r="S274" s="49">
        <v>4</v>
      </c>
      <c r="T274" s="49">
        <v>12</v>
      </c>
      <c r="U274" s="63">
        <v>42</v>
      </c>
      <c r="V274" s="63">
        <v>504</v>
      </c>
    </row>
    <row r="275" spans="1:22" x14ac:dyDescent="0.25">
      <c r="A275" s="49">
        <v>4628</v>
      </c>
      <c r="B275" s="49" t="s">
        <v>7</v>
      </c>
      <c r="C275" s="49" t="s">
        <v>175</v>
      </c>
      <c r="D275" s="49" t="s">
        <v>83</v>
      </c>
      <c r="E275" s="49" t="s">
        <v>174</v>
      </c>
      <c r="F275" s="49">
        <v>2016</v>
      </c>
      <c r="G275" s="50">
        <v>42591.791666666664</v>
      </c>
      <c r="H275" s="50">
        <v>42604.958333333336</v>
      </c>
      <c r="I275" s="54">
        <v>42591</v>
      </c>
      <c r="J275" s="54">
        <v>42604</v>
      </c>
      <c r="K275" s="51" t="s">
        <v>526</v>
      </c>
      <c r="L275" s="51">
        <v>0.95833333333333337</v>
      </c>
      <c r="M275" s="51" t="s">
        <v>541</v>
      </c>
      <c r="N275" s="51" t="s">
        <v>534</v>
      </c>
      <c r="O275" s="51" t="s">
        <v>524</v>
      </c>
      <c r="P275" s="49" t="s">
        <v>9</v>
      </c>
      <c r="Q275" s="49" t="s">
        <v>31</v>
      </c>
      <c r="R275" s="49" t="s">
        <v>113</v>
      </c>
      <c r="S275" s="49">
        <v>2</v>
      </c>
      <c r="T275" s="49">
        <v>9</v>
      </c>
      <c r="U275" s="63">
        <v>63</v>
      </c>
      <c r="V275" s="63">
        <v>567</v>
      </c>
    </row>
    <row r="276" spans="1:22" x14ac:dyDescent="0.25">
      <c r="A276" s="49">
        <v>4629</v>
      </c>
      <c r="B276" s="49" t="s">
        <v>39</v>
      </c>
      <c r="C276" s="49" t="s">
        <v>177</v>
      </c>
      <c r="D276" s="49" t="s">
        <v>79</v>
      </c>
      <c r="E276" s="49" t="s">
        <v>168</v>
      </c>
      <c r="F276" s="49">
        <v>2016</v>
      </c>
      <c r="G276" s="50">
        <v>42592.583333333336</v>
      </c>
      <c r="H276" s="50">
        <v>42605.75</v>
      </c>
      <c r="I276" s="54">
        <v>42592</v>
      </c>
      <c r="J276" s="54">
        <v>42605</v>
      </c>
      <c r="K276" s="51" t="s">
        <v>527</v>
      </c>
      <c r="L276" s="51">
        <v>0.75</v>
      </c>
      <c r="M276" s="51" t="s">
        <v>542</v>
      </c>
      <c r="N276" s="51" t="s">
        <v>534</v>
      </c>
      <c r="O276" s="51" t="s">
        <v>524</v>
      </c>
      <c r="P276" s="49" t="s">
        <v>23</v>
      </c>
      <c r="Q276" s="49" t="s">
        <v>190</v>
      </c>
      <c r="R276" s="49" t="s">
        <v>109</v>
      </c>
      <c r="S276" s="49">
        <v>4</v>
      </c>
      <c r="T276" s="49">
        <v>9</v>
      </c>
      <c r="U276" s="63">
        <v>48</v>
      </c>
      <c r="V276" s="63">
        <v>432</v>
      </c>
    </row>
    <row r="277" spans="1:22" x14ac:dyDescent="0.25">
      <c r="A277" s="49">
        <v>4630</v>
      </c>
      <c r="B277" s="49" t="s">
        <v>22</v>
      </c>
      <c r="C277" s="49" t="s">
        <v>176</v>
      </c>
      <c r="D277" s="49" t="s">
        <v>81</v>
      </c>
      <c r="E277" s="49" t="s">
        <v>172</v>
      </c>
      <c r="F277" s="49">
        <v>2016</v>
      </c>
      <c r="G277" s="50">
        <v>42593.375</v>
      </c>
      <c r="H277" s="50">
        <v>42599.75</v>
      </c>
      <c r="I277" s="54">
        <v>42593</v>
      </c>
      <c r="J277" s="54">
        <v>42599</v>
      </c>
      <c r="K277" s="51" t="s">
        <v>525</v>
      </c>
      <c r="L277" s="51">
        <v>0.75</v>
      </c>
      <c r="M277" s="51" t="s">
        <v>540</v>
      </c>
      <c r="N277" s="51" t="s">
        <v>534</v>
      </c>
      <c r="O277" s="51" t="s">
        <v>524</v>
      </c>
      <c r="P277" s="49" t="s">
        <v>23</v>
      </c>
      <c r="Q277" s="49" t="s">
        <v>37</v>
      </c>
      <c r="R277" s="49" t="s">
        <v>113</v>
      </c>
      <c r="S277" s="49">
        <v>3</v>
      </c>
      <c r="T277" s="49">
        <v>9</v>
      </c>
      <c r="U277" s="63">
        <v>43</v>
      </c>
      <c r="V277" s="63">
        <v>387</v>
      </c>
    </row>
    <row r="278" spans="1:22" x14ac:dyDescent="0.25">
      <c r="A278" s="49">
        <v>4631</v>
      </c>
      <c r="B278" s="49" t="s">
        <v>29</v>
      </c>
      <c r="C278" s="49" t="s">
        <v>177</v>
      </c>
      <c r="D278" s="49" t="s">
        <v>80</v>
      </c>
      <c r="E278" s="49" t="s">
        <v>173</v>
      </c>
      <c r="F278" s="49">
        <v>2016</v>
      </c>
      <c r="G278" s="50">
        <v>42594.333333333336</v>
      </c>
      <c r="H278" s="50">
        <v>42607.5</v>
      </c>
      <c r="I278" s="54">
        <v>42594</v>
      </c>
      <c r="J278" s="54">
        <v>42607</v>
      </c>
      <c r="K278" s="51" t="s">
        <v>522</v>
      </c>
      <c r="L278" s="51">
        <v>0.5</v>
      </c>
      <c r="M278" s="51" t="s">
        <v>539</v>
      </c>
      <c r="N278" s="51" t="s">
        <v>534</v>
      </c>
      <c r="O278" s="51" t="s">
        <v>524</v>
      </c>
      <c r="P278" s="49" t="s">
        <v>23</v>
      </c>
      <c r="Q278" s="49" t="s">
        <v>22</v>
      </c>
      <c r="R278" s="49" t="s">
        <v>109</v>
      </c>
      <c r="S278" s="49">
        <v>2</v>
      </c>
      <c r="T278" s="49">
        <v>8</v>
      </c>
      <c r="U278" s="63">
        <v>32</v>
      </c>
      <c r="V278" s="63">
        <v>256</v>
      </c>
    </row>
    <row r="279" spans="1:22" x14ac:dyDescent="0.25">
      <c r="A279" s="49">
        <v>4632</v>
      </c>
      <c r="B279" s="49" t="s">
        <v>7</v>
      </c>
      <c r="C279" s="49" t="s">
        <v>175</v>
      </c>
      <c r="D279" s="49" t="s">
        <v>84</v>
      </c>
      <c r="E279" s="49" t="s">
        <v>172</v>
      </c>
      <c r="F279" s="49">
        <v>2016</v>
      </c>
      <c r="G279" s="50">
        <v>42595.375</v>
      </c>
      <c r="H279" s="50">
        <v>42600.75</v>
      </c>
      <c r="I279" s="54">
        <v>42595</v>
      </c>
      <c r="J279" s="54">
        <v>42600</v>
      </c>
      <c r="K279" s="51" t="s">
        <v>525</v>
      </c>
      <c r="L279" s="51">
        <v>0.75</v>
      </c>
      <c r="M279" s="51" t="s">
        <v>540</v>
      </c>
      <c r="N279" s="51" t="s">
        <v>534</v>
      </c>
      <c r="O279" s="51" t="s">
        <v>524</v>
      </c>
      <c r="P279" s="49" t="s">
        <v>23</v>
      </c>
      <c r="Q279" s="49" t="s">
        <v>41</v>
      </c>
      <c r="R279" s="49" t="s">
        <v>113</v>
      </c>
      <c r="S279" s="49">
        <v>4</v>
      </c>
      <c r="T279" s="49">
        <v>11</v>
      </c>
      <c r="U279" s="63">
        <v>52</v>
      </c>
      <c r="V279" s="63">
        <v>572</v>
      </c>
    </row>
    <row r="280" spans="1:22" x14ac:dyDescent="0.25">
      <c r="A280" s="49">
        <v>4633</v>
      </c>
      <c r="B280" s="49" t="s">
        <v>19</v>
      </c>
      <c r="C280" s="49" t="s">
        <v>176</v>
      </c>
      <c r="D280" s="49" t="s">
        <v>80</v>
      </c>
      <c r="E280" s="49" t="s">
        <v>173</v>
      </c>
      <c r="F280" s="49">
        <v>2016</v>
      </c>
      <c r="G280" s="50">
        <v>42597.791666666664</v>
      </c>
      <c r="H280" s="50">
        <v>42608.958333333336</v>
      </c>
      <c r="I280" s="54">
        <v>42597</v>
      </c>
      <c r="J280" s="54">
        <v>42608</v>
      </c>
      <c r="K280" s="51" t="s">
        <v>526</v>
      </c>
      <c r="L280" s="51">
        <v>0.95833333333333337</v>
      </c>
      <c r="M280" s="51" t="s">
        <v>541</v>
      </c>
      <c r="N280" s="51" t="s">
        <v>534</v>
      </c>
      <c r="O280" s="51" t="s">
        <v>524</v>
      </c>
      <c r="P280" s="49" t="s">
        <v>9</v>
      </c>
      <c r="Q280" s="49" t="s">
        <v>26</v>
      </c>
      <c r="R280" s="49" t="s">
        <v>113</v>
      </c>
      <c r="S280" s="49">
        <v>5</v>
      </c>
      <c r="T280" s="49">
        <v>12</v>
      </c>
      <c r="U280" s="63">
        <v>32</v>
      </c>
      <c r="V280" s="63">
        <v>384</v>
      </c>
    </row>
    <row r="281" spans="1:22" x14ac:dyDescent="0.25">
      <c r="A281" s="49">
        <v>4634</v>
      </c>
      <c r="B281" s="49" t="s">
        <v>45</v>
      </c>
      <c r="C281" s="49" t="s">
        <v>177</v>
      </c>
      <c r="D281" s="49" t="s">
        <v>77</v>
      </c>
      <c r="E281" s="49" t="s">
        <v>172</v>
      </c>
      <c r="F281" s="49">
        <v>2016</v>
      </c>
      <c r="G281" s="50">
        <v>42597.791666666664</v>
      </c>
      <c r="H281" s="50">
        <v>42608.958333333336</v>
      </c>
      <c r="I281" s="54">
        <v>42597</v>
      </c>
      <c r="J281" s="54">
        <v>42608</v>
      </c>
      <c r="K281" s="51" t="s">
        <v>526</v>
      </c>
      <c r="L281" s="51">
        <v>0.95833333333333337</v>
      </c>
      <c r="M281" s="51" t="s">
        <v>541</v>
      </c>
      <c r="N281" s="51" t="s">
        <v>534</v>
      </c>
      <c r="O281" s="51" t="s">
        <v>524</v>
      </c>
      <c r="P281" s="49" t="s">
        <v>9</v>
      </c>
      <c r="Q281" s="49" t="s">
        <v>16</v>
      </c>
      <c r="R281" s="49" t="s">
        <v>109</v>
      </c>
      <c r="S281" s="49">
        <v>5</v>
      </c>
      <c r="T281" s="49">
        <v>12</v>
      </c>
      <c r="U281" s="63">
        <v>35</v>
      </c>
      <c r="V281" s="63">
        <v>420</v>
      </c>
    </row>
    <row r="282" spans="1:22" x14ac:dyDescent="0.25">
      <c r="A282" s="49">
        <v>4635</v>
      </c>
      <c r="B282" s="49" t="s">
        <v>19</v>
      </c>
      <c r="C282" s="49" t="s">
        <v>176</v>
      </c>
      <c r="D282" s="49" t="s">
        <v>80</v>
      </c>
      <c r="E282" s="49" t="s">
        <v>173</v>
      </c>
      <c r="F282" s="49">
        <v>2016</v>
      </c>
      <c r="G282" s="50">
        <v>42598.791666666664</v>
      </c>
      <c r="H282" s="50">
        <v>42611.958333333336</v>
      </c>
      <c r="I282" s="54">
        <v>42598</v>
      </c>
      <c r="J282" s="54">
        <v>42611</v>
      </c>
      <c r="K282" s="51" t="s">
        <v>526</v>
      </c>
      <c r="L282" s="51">
        <v>0.95833333333333337</v>
      </c>
      <c r="M282" s="51" t="s">
        <v>541</v>
      </c>
      <c r="N282" s="51" t="s">
        <v>534</v>
      </c>
      <c r="O282" s="51" t="s">
        <v>524</v>
      </c>
      <c r="P282" s="49" t="s">
        <v>23</v>
      </c>
      <c r="Q282" s="49" t="s">
        <v>26</v>
      </c>
      <c r="R282" s="49" t="s">
        <v>113</v>
      </c>
      <c r="S282" s="49">
        <v>3</v>
      </c>
      <c r="T282" s="49">
        <v>12</v>
      </c>
      <c r="U282" s="63">
        <v>32</v>
      </c>
      <c r="V282" s="63">
        <v>384</v>
      </c>
    </row>
    <row r="283" spans="1:22" x14ac:dyDescent="0.25">
      <c r="A283" s="49">
        <v>4636</v>
      </c>
      <c r="B283" s="49" t="s">
        <v>7</v>
      </c>
      <c r="C283" s="49" t="s">
        <v>175</v>
      </c>
      <c r="D283" s="49" t="s">
        <v>89</v>
      </c>
      <c r="E283" s="49" t="s">
        <v>169</v>
      </c>
      <c r="F283" s="49">
        <v>2016</v>
      </c>
      <c r="G283" s="50">
        <v>42599.583333333336</v>
      </c>
      <c r="H283" s="50">
        <v>42612.75</v>
      </c>
      <c r="I283" s="54">
        <v>42599</v>
      </c>
      <c r="J283" s="54">
        <v>42612</v>
      </c>
      <c r="K283" s="51" t="s">
        <v>527</v>
      </c>
      <c r="L283" s="51">
        <v>0.75</v>
      </c>
      <c r="M283" s="51" t="s">
        <v>542</v>
      </c>
      <c r="N283" s="51" t="s">
        <v>534</v>
      </c>
      <c r="O283" s="51" t="s">
        <v>524</v>
      </c>
      <c r="P283" s="49" t="s">
        <v>23</v>
      </c>
      <c r="Q283" s="49" t="s">
        <v>16</v>
      </c>
      <c r="R283" s="49" t="s">
        <v>109</v>
      </c>
      <c r="S283" s="49">
        <v>3</v>
      </c>
      <c r="T283" s="49">
        <v>8</v>
      </c>
      <c r="U283" s="63">
        <v>62</v>
      </c>
      <c r="V283" s="63">
        <v>496</v>
      </c>
    </row>
    <row r="284" spans="1:22" x14ac:dyDescent="0.25">
      <c r="A284" s="49">
        <v>4637</v>
      </c>
      <c r="B284" s="49" t="s">
        <v>17</v>
      </c>
      <c r="C284" s="49" t="s">
        <v>176</v>
      </c>
      <c r="D284" s="49" t="s">
        <v>81</v>
      </c>
      <c r="E284" s="49" t="s">
        <v>172</v>
      </c>
      <c r="F284" s="49">
        <v>2016</v>
      </c>
      <c r="G284" s="50">
        <v>42600.375</v>
      </c>
      <c r="H284" s="50">
        <v>42606.75</v>
      </c>
      <c r="I284" s="54">
        <v>42600</v>
      </c>
      <c r="J284" s="54">
        <v>42606</v>
      </c>
      <c r="K284" s="51" t="s">
        <v>525</v>
      </c>
      <c r="L284" s="51">
        <v>0.75</v>
      </c>
      <c r="M284" s="51" t="s">
        <v>540</v>
      </c>
      <c r="N284" s="51" t="s">
        <v>534</v>
      </c>
      <c r="O284" s="51" t="s">
        <v>524</v>
      </c>
      <c r="P284" s="49" t="s">
        <v>23</v>
      </c>
      <c r="Q284" s="49" t="s">
        <v>33</v>
      </c>
      <c r="R284" s="49" t="s">
        <v>113</v>
      </c>
      <c r="S284" s="49">
        <v>4</v>
      </c>
      <c r="T284" s="49">
        <v>9</v>
      </c>
      <c r="U284" s="63">
        <v>43</v>
      </c>
      <c r="V284" s="63">
        <v>387</v>
      </c>
    </row>
    <row r="285" spans="1:22" x14ac:dyDescent="0.25">
      <c r="A285" s="49">
        <v>4638</v>
      </c>
      <c r="B285" s="49" t="s">
        <v>22</v>
      </c>
      <c r="C285" s="49" t="s">
        <v>176</v>
      </c>
      <c r="D285" s="49" t="s">
        <v>88</v>
      </c>
      <c r="E285" s="49" t="s">
        <v>170</v>
      </c>
      <c r="F285" s="49">
        <v>2016</v>
      </c>
      <c r="G285" s="50">
        <v>42601.333333333336</v>
      </c>
      <c r="H285" s="50">
        <v>42614.5</v>
      </c>
      <c r="I285" s="54">
        <v>42601</v>
      </c>
      <c r="J285" s="54">
        <v>42614</v>
      </c>
      <c r="K285" s="51" t="s">
        <v>522</v>
      </c>
      <c r="L285" s="51">
        <v>0.5</v>
      </c>
      <c r="M285" s="51" t="s">
        <v>539</v>
      </c>
      <c r="N285" s="51" t="s">
        <v>534</v>
      </c>
      <c r="O285" s="51" t="s">
        <v>524</v>
      </c>
      <c r="P285" s="49" t="s">
        <v>9</v>
      </c>
      <c r="Q285" s="49" t="s">
        <v>190</v>
      </c>
      <c r="R285" s="49" t="s">
        <v>109</v>
      </c>
      <c r="S285" s="49">
        <v>2</v>
      </c>
      <c r="T285" s="49">
        <v>8</v>
      </c>
      <c r="U285" s="63">
        <v>42</v>
      </c>
      <c r="V285" s="63">
        <v>336</v>
      </c>
    </row>
    <row r="286" spans="1:22" x14ac:dyDescent="0.25">
      <c r="A286" s="49">
        <v>4639</v>
      </c>
      <c r="B286" s="49" t="s">
        <v>29</v>
      </c>
      <c r="C286" s="49" t="s">
        <v>177</v>
      </c>
      <c r="D286" s="49" t="s">
        <v>85</v>
      </c>
      <c r="E286" s="49" t="s">
        <v>170</v>
      </c>
      <c r="F286" s="49">
        <v>2016</v>
      </c>
      <c r="G286" s="50">
        <v>42602.375</v>
      </c>
      <c r="H286" s="50">
        <v>42607.75</v>
      </c>
      <c r="I286" s="54">
        <v>42602</v>
      </c>
      <c r="J286" s="54">
        <v>42607</v>
      </c>
      <c r="K286" s="51" t="s">
        <v>525</v>
      </c>
      <c r="L286" s="51">
        <v>0.75</v>
      </c>
      <c r="M286" s="51" t="s">
        <v>540</v>
      </c>
      <c r="N286" s="51" t="s">
        <v>534</v>
      </c>
      <c r="O286" s="51" t="s">
        <v>524</v>
      </c>
      <c r="P286" s="49" t="s">
        <v>9</v>
      </c>
      <c r="Q286" s="49" t="s">
        <v>33</v>
      </c>
      <c r="R286" s="49" t="s">
        <v>113</v>
      </c>
      <c r="S286" s="49">
        <v>4</v>
      </c>
      <c r="T286" s="49">
        <v>9</v>
      </c>
      <c r="U286" s="63">
        <v>48</v>
      </c>
      <c r="V286" s="63">
        <v>432</v>
      </c>
    </row>
    <row r="287" spans="1:22" x14ac:dyDescent="0.25">
      <c r="A287" s="49">
        <v>4640</v>
      </c>
      <c r="B287" s="49" t="s">
        <v>11</v>
      </c>
      <c r="C287" s="49" t="s">
        <v>175</v>
      </c>
      <c r="D287" s="49" t="s">
        <v>88</v>
      </c>
      <c r="E287" s="49" t="s">
        <v>170</v>
      </c>
      <c r="F287" s="49">
        <v>2016</v>
      </c>
      <c r="G287" s="50">
        <v>42604.791666666664</v>
      </c>
      <c r="H287" s="50">
        <v>42615.958333333336</v>
      </c>
      <c r="I287" s="54">
        <v>42604</v>
      </c>
      <c r="J287" s="54">
        <v>42615</v>
      </c>
      <c r="K287" s="51" t="s">
        <v>526</v>
      </c>
      <c r="L287" s="51">
        <v>0.95833333333333337</v>
      </c>
      <c r="M287" s="51" t="s">
        <v>541</v>
      </c>
      <c r="N287" s="51" t="s">
        <v>534</v>
      </c>
      <c r="O287" s="51" t="s">
        <v>524</v>
      </c>
      <c r="P287" s="49" t="s">
        <v>9</v>
      </c>
      <c r="Q287" s="49" t="s">
        <v>16</v>
      </c>
      <c r="R287" s="49" t="s">
        <v>109</v>
      </c>
      <c r="S287" s="49">
        <v>3</v>
      </c>
      <c r="T287" s="49">
        <v>11</v>
      </c>
      <c r="U287" s="63">
        <v>42</v>
      </c>
      <c r="V287" s="63">
        <v>462</v>
      </c>
    </row>
    <row r="288" spans="1:22" x14ac:dyDescent="0.25">
      <c r="A288" s="49">
        <v>4641</v>
      </c>
      <c r="B288" s="49" t="s">
        <v>29</v>
      </c>
      <c r="C288" s="49" t="s">
        <v>177</v>
      </c>
      <c r="D288" s="49" t="s">
        <v>77</v>
      </c>
      <c r="E288" s="49" t="s">
        <v>172</v>
      </c>
      <c r="F288" s="49">
        <v>2016</v>
      </c>
      <c r="G288" s="50">
        <v>42604.791666666664</v>
      </c>
      <c r="H288" s="50">
        <v>42615.958333333336</v>
      </c>
      <c r="I288" s="54">
        <v>42604</v>
      </c>
      <c r="J288" s="54">
        <v>42615</v>
      </c>
      <c r="K288" s="51" t="s">
        <v>526</v>
      </c>
      <c r="L288" s="51">
        <v>0.95833333333333337</v>
      </c>
      <c r="M288" s="51" t="s">
        <v>541</v>
      </c>
      <c r="N288" s="51" t="s">
        <v>534</v>
      </c>
      <c r="O288" s="51" t="s">
        <v>524</v>
      </c>
      <c r="P288" s="49" t="s">
        <v>9</v>
      </c>
      <c r="Q288" s="49" t="s">
        <v>28</v>
      </c>
      <c r="R288" s="49" t="s">
        <v>109</v>
      </c>
      <c r="S288" s="49">
        <v>4</v>
      </c>
      <c r="T288" s="49">
        <v>11</v>
      </c>
      <c r="U288" s="63">
        <v>35</v>
      </c>
      <c r="V288" s="63">
        <v>385</v>
      </c>
    </row>
    <row r="289" spans="1:22" x14ac:dyDescent="0.25">
      <c r="A289" s="49">
        <v>4642</v>
      </c>
      <c r="B289" s="49" t="s">
        <v>39</v>
      </c>
      <c r="C289" s="49" t="s">
        <v>177</v>
      </c>
      <c r="D289" s="49" t="s">
        <v>76</v>
      </c>
      <c r="E289" s="49" t="s">
        <v>174</v>
      </c>
      <c r="F289" s="49">
        <v>2016</v>
      </c>
      <c r="G289" s="50">
        <v>42605.791666666664</v>
      </c>
      <c r="H289" s="50">
        <v>42618.958333333336</v>
      </c>
      <c r="I289" s="54">
        <v>42605</v>
      </c>
      <c r="J289" s="54">
        <v>42618</v>
      </c>
      <c r="K289" s="51" t="s">
        <v>526</v>
      </c>
      <c r="L289" s="51">
        <v>0.95833333333333337</v>
      </c>
      <c r="M289" s="51" t="s">
        <v>541</v>
      </c>
      <c r="N289" s="51" t="s">
        <v>534</v>
      </c>
      <c r="O289" s="51" t="s">
        <v>524</v>
      </c>
      <c r="P289" s="49" t="s">
        <v>9</v>
      </c>
      <c r="Q289" s="49" t="s">
        <v>31</v>
      </c>
      <c r="R289" s="49" t="s">
        <v>113</v>
      </c>
      <c r="S289" s="49">
        <v>5</v>
      </c>
      <c r="T289" s="49">
        <v>8</v>
      </c>
      <c r="U289" s="63">
        <v>53</v>
      </c>
      <c r="V289" s="63">
        <v>424</v>
      </c>
    </row>
    <row r="290" spans="1:22" x14ac:dyDescent="0.25">
      <c r="A290" s="49">
        <v>4643</v>
      </c>
      <c r="B290" s="49" t="s">
        <v>17</v>
      </c>
      <c r="C290" s="49" t="s">
        <v>176</v>
      </c>
      <c r="D290" s="49" t="s">
        <v>79</v>
      </c>
      <c r="E290" s="49" t="s">
        <v>168</v>
      </c>
      <c r="F290" s="49">
        <v>2016</v>
      </c>
      <c r="G290" s="50">
        <v>42606.583333333336</v>
      </c>
      <c r="H290" s="50">
        <v>42619.75</v>
      </c>
      <c r="I290" s="54">
        <v>42606</v>
      </c>
      <c r="J290" s="54">
        <v>42619</v>
      </c>
      <c r="K290" s="51" t="s">
        <v>527</v>
      </c>
      <c r="L290" s="51">
        <v>0.75</v>
      </c>
      <c r="M290" s="51" t="s">
        <v>542</v>
      </c>
      <c r="N290" s="51" t="s">
        <v>534</v>
      </c>
      <c r="O290" s="51" t="s">
        <v>524</v>
      </c>
      <c r="P290" s="49" t="s">
        <v>23</v>
      </c>
      <c r="Q290" s="49" t="s">
        <v>21</v>
      </c>
      <c r="R290" s="49" t="s">
        <v>113</v>
      </c>
      <c r="S290" s="49">
        <v>4</v>
      </c>
      <c r="T290" s="49">
        <v>9</v>
      </c>
      <c r="U290" s="63">
        <v>48</v>
      </c>
      <c r="V290" s="63">
        <v>432</v>
      </c>
    </row>
    <row r="291" spans="1:22" x14ac:dyDescent="0.25">
      <c r="A291" s="49">
        <v>4644</v>
      </c>
      <c r="B291" s="49" t="s">
        <v>17</v>
      </c>
      <c r="C291" s="49" t="s">
        <v>176</v>
      </c>
      <c r="D291" s="49" t="s">
        <v>78</v>
      </c>
      <c r="E291" s="49" t="s">
        <v>172</v>
      </c>
      <c r="F291" s="49">
        <v>2016</v>
      </c>
      <c r="G291" s="50">
        <v>42607.375</v>
      </c>
      <c r="H291" s="50">
        <v>42613.75</v>
      </c>
      <c r="I291" s="54">
        <v>42607</v>
      </c>
      <c r="J291" s="54">
        <v>42613</v>
      </c>
      <c r="K291" s="51" t="s">
        <v>525</v>
      </c>
      <c r="L291" s="51">
        <v>0.75</v>
      </c>
      <c r="M291" s="51" t="s">
        <v>540</v>
      </c>
      <c r="N291" s="51" t="s">
        <v>534</v>
      </c>
      <c r="O291" s="51" t="s">
        <v>524</v>
      </c>
      <c r="P291" s="49" t="s">
        <v>9</v>
      </c>
      <c r="Q291" s="49" t="s">
        <v>35</v>
      </c>
      <c r="R291" s="49" t="s">
        <v>109</v>
      </c>
      <c r="S291" s="49">
        <v>2</v>
      </c>
      <c r="T291" s="49">
        <v>10</v>
      </c>
      <c r="U291" s="63">
        <v>62</v>
      </c>
      <c r="V291" s="63">
        <v>620</v>
      </c>
    </row>
    <row r="292" spans="1:22" x14ac:dyDescent="0.25">
      <c r="A292" s="49">
        <v>4645</v>
      </c>
      <c r="B292" s="49" t="s">
        <v>14</v>
      </c>
      <c r="C292" s="49" t="s">
        <v>175</v>
      </c>
      <c r="D292" s="49" t="s">
        <v>80</v>
      </c>
      <c r="E292" s="49" t="s">
        <v>173</v>
      </c>
      <c r="F292" s="49">
        <v>2016</v>
      </c>
      <c r="G292" s="50">
        <v>42608.333333333336</v>
      </c>
      <c r="H292" s="50">
        <v>42621.5</v>
      </c>
      <c r="I292" s="54">
        <v>42608</v>
      </c>
      <c r="J292" s="54">
        <v>42621</v>
      </c>
      <c r="K292" s="51" t="s">
        <v>522</v>
      </c>
      <c r="L292" s="51">
        <v>0.5</v>
      </c>
      <c r="M292" s="51" t="s">
        <v>539</v>
      </c>
      <c r="N292" s="51" t="s">
        <v>534</v>
      </c>
      <c r="O292" s="51" t="s">
        <v>524</v>
      </c>
      <c r="P292" s="49" t="s">
        <v>23</v>
      </c>
      <c r="Q292" s="49" t="s">
        <v>35</v>
      </c>
      <c r="R292" s="49" t="s">
        <v>109</v>
      </c>
      <c r="S292" s="49">
        <v>5</v>
      </c>
      <c r="T292" s="49">
        <v>10</v>
      </c>
      <c r="U292" s="63">
        <v>32</v>
      </c>
      <c r="V292" s="63">
        <v>320</v>
      </c>
    </row>
    <row r="293" spans="1:22" x14ac:dyDescent="0.25">
      <c r="A293" s="49">
        <v>4646</v>
      </c>
      <c r="B293" s="49" t="s">
        <v>19</v>
      </c>
      <c r="C293" s="49" t="s">
        <v>176</v>
      </c>
      <c r="D293" s="49" t="s">
        <v>83</v>
      </c>
      <c r="E293" s="49" t="s">
        <v>174</v>
      </c>
      <c r="F293" s="49">
        <v>2016</v>
      </c>
      <c r="G293" s="50">
        <v>42609.375</v>
      </c>
      <c r="H293" s="50">
        <v>42614.75</v>
      </c>
      <c r="I293" s="54">
        <v>42609</v>
      </c>
      <c r="J293" s="54">
        <v>42614</v>
      </c>
      <c r="K293" s="51" t="s">
        <v>525</v>
      </c>
      <c r="L293" s="51">
        <v>0.75</v>
      </c>
      <c r="M293" s="51" t="s">
        <v>540</v>
      </c>
      <c r="N293" s="51" t="s">
        <v>534</v>
      </c>
      <c r="O293" s="51" t="s">
        <v>524</v>
      </c>
      <c r="P293" s="49" t="s">
        <v>9</v>
      </c>
      <c r="Q293" s="49" t="s">
        <v>38</v>
      </c>
      <c r="R293" s="49" t="s">
        <v>113</v>
      </c>
      <c r="S293" s="49">
        <v>3</v>
      </c>
      <c r="T293" s="49">
        <v>8</v>
      </c>
      <c r="U293" s="63">
        <v>63</v>
      </c>
      <c r="V293" s="63">
        <v>504</v>
      </c>
    </row>
    <row r="294" spans="1:22" x14ac:dyDescent="0.25">
      <c r="A294" s="49">
        <v>4647</v>
      </c>
      <c r="B294" s="49" t="s">
        <v>14</v>
      </c>
      <c r="C294" s="49" t="s">
        <v>175</v>
      </c>
      <c r="D294" s="49" t="s">
        <v>81</v>
      </c>
      <c r="E294" s="49" t="s">
        <v>172</v>
      </c>
      <c r="F294" s="49">
        <v>2016</v>
      </c>
      <c r="G294" s="50">
        <v>42611.791666666664</v>
      </c>
      <c r="H294" s="50">
        <v>42622.958333333336</v>
      </c>
      <c r="I294" s="54">
        <v>42611</v>
      </c>
      <c r="J294" s="54">
        <v>42622</v>
      </c>
      <c r="K294" s="51" t="s">
        <v>526</v>
      </c>
      <c r="L294" s="51">
        <v>0.95833333333333337</v>
      </c>
      <c r="M294" s="51" t="s">
        <v>541</v>
      </c>
      <c r="N294" s="51" t="s">
        <v>534</v>
      </c>
      <c r="O294" s="51" t="s">
        <v>524</v>
      </c>
      <c r="P294" s="49" t="s">
        <v>23</v>
      </c>
      <c r="Q294" s="49" t="s">
        <v>190</v>
      </c>
      <c r="R294" s="49" t="s">
        <v>109</v>
      </c>
      <c r="S294" s="49">
        <v>3</v>
      </c>
      <c r="T294" s="49">
        <v>8</v>
      </c>
      <c r="U294" s="63">
        <v>43</v>
      </c>
      <c r="V294" s="63">
        <v>344</v>
      </c>
    </row>
    <row r="295" spans="1:22" x14ac:dyDescent="0.25">
      <c r="A295" s="49">
        <v>4648</v>
      </c>
      <c r="B295" s="49" t="s">
        <v>19</v>
      </c>
      <c r="C295" s="49" t="s">
        <v>176</v>
      </c>
      <c r="D295" s="49" t="s">
        <v>79</v>
      </c>
      <c r="E295" s="49" t="s">
        <v>168</v>
      </c>
      <c r="F295" s="49">
        <v>2016</v>
      </c>
      <c r="G295" s="50">
        <v>42611.791666666664</v>
      </c>
      <c r="H295" s="50">
        <v>42622.958333333336</v>
      </c>
      <c r="I295" s="54">
        <v>42611</v>
      </c>
      <c r="J295" s="54">
        <v>42622</v>
      </c>
      <c r="K295" s="51" t="s">
        <v>526</v>
      </c>
      <c r="L295" s="51">
        <v>0.95833333333333337</v>
      </c>
      <c r="M295" s="51" t="s">
        <v>541</v>
      </c>
      <c r="N295" s="51" t="s">
        <v>534</v>
      </c>
      <c r="O295" s="51" t="s">
        <v>524</v>
      </c>
      <c r="P295" s="49" t="s">
        <v>23</v>
      </c>
      <c r="Q295" s="49" t="s">
        <v>22</v>
      </c>
      <c r="R295" s="49" t="s">
        <v>109</v>
      </c>
      <c r="S295" s="49">
        <v>5</v>
      </c>
      <c r="T295" s="49">
        <v>10</v>
      </c>
      <c r="U295" s="63">
        <v>48</v>
      </c>
      <c r="V295" s="63">
        <v>480</v>
      </c>
    </row>
    <row r="296" spans="1:22" x14ac:dyDescent="0.25">
      <c r="A296" s="49">
        <v>4649</v>
      </c>
      <c r="B296" s="49" t="s">
        <v>29</v>
      </c>
      <c r="C296" s="49" t="s">
        <v>177</v>
      </c>
      <c r="D296" s="49" t="s">
        <v>89</v>
      </c>
      <c r="E296" s="49" t="s">
        <v>169</v>
      </c>
      <c r="F296" s="49">
        <v>2016</v>
      </c>
      <c r="G296" s="50">
        <v>42612.791666666664</v>
      </c>
      <c r="H296" s="50">
        <v>42625.958333333336</v>
      </c>
      <c r="I296" s="54">
        <v>42612</v>
      </c>
      <c r="J296" s="54">
        <v>42625</v>
      </c>
      <c r="K296" s="51" t="s">
        <v>526</v>
      </c>
      <c r="L296" s="51">
        <v>0.95833333333333337</v>
      </c>
      <c r="M296" s="51" t="s">
        <v>541</v>
      </c>
      <c r="N296" s="51" t="s">
        <v>534</v>
      </c>
      <c r="O296" s="51" t="s">
        <v>524</v>
      </c>
      <c r="P296" s="49" t="s">
        <v>23</v>
      </c>
      <c r="Q296" s="49" t="s">
        <v>18</v>
      </c>
      <c r="R296" s="49" t="s">
        <v>113</v>
      </c>
      <c r="S296" s="49">
        <v>4</v>
      </c>
      <c r="T296" s="49">
        <v>9</v>
      </c>
      <c r="U296" s="63">
        <v>62</v>
      </c>
      <c r="V296" s="63">
        <v>558</v>
      </c>
    </row>
    <row r="297" spans="1:22" x14ac:dyDescent="0.25">
      <c r="A297" s="49">
        <v>4650</v>
      </c>
      <c r="B297" s="49" t="s">
        <v>22</v>
      </c>
      <c r="C297" s="49" t="s">
        <v>176</v>
      </c>
      <c r="D297" s="49" t="s">
        <v>84</v>
      </c>
      <c r="E297" s="49" t="s">
        <v>172</v>
      </c>
      <c r="F297" s="49">
        <v>2016</v>
      </c>
      <c r="G297" s="50">
        <v>42613.583333333336</v>
      </c>
      <c r="H297" s="50">
        <v>42626.75</v>
      </c>
      <c r="I297" s="54">
        <v>42613</v>
      </c>
      <c r="J297" s="54">
        <v>42626</v>
      </c>
      <c r="K297" s="51" t="s">
        <v>527</v>
      </c>
      <c r="L297" s="51">
        <v>0.75</v>
      </c>
      <c r="M297" s="51" t="s">
        <v>542</v>
      </c>
      <c r="N297" s="51" t="s">
        <v>534</v>
      </c>
      <c r="O297" s="51" t="s">
        <v>524</v>
      </c>
      <c r="P297" s="49" t="s">
        <v>23</v>
      </c>
      <c r="Q297" s="49" t="s">
        <v>12</v>
      </c>
      <c r="R297" s="49" t="s">
        <v>113</v>
      </c>
      <c r="S297" s="49">
        <v>3</v>
      </c>
      <c r="T297" s="49">
        <v>11</v>
      </c>
      <c r="U297" s="63">
        <v>52</v>
      </c>
      <c r="V297" s="63">
        <v>572</v>
      </c>
    </row>
    <row r="298" spans="1:22" x14ac:dyDescent="0.25">
      <c r="A298" s="49">
        <v>4651</v>
      </c>
      <c r="B298" s="49" t="s">
        <v>14</v>
      </c>
      <c r="C298" s="49" t="s">
        <v>175</v>
      </c>
      <c r="D298" s="49" t="s">
        <v>79</v>
      </c>
      <c r="E298" s="49" t="s">
        <v>168</v>
      </c>
      <c r="F298" s="49">
        <v>2016</v>
      </c>
      <c r="G298" s="50">
        <v>42614.375</v>
      </c>
      <c r="H298" s="50">
        <v>42620.75</v>
      </c>
      <c r="I298" s="54">
        <v>42614</v>
      </c>
      <c r="J298" s="54">
        <v>42620</v>
      </c>
      <c r="K298" s="51" t="s">
        <v>525</v>
      </c>
      <c r="L298" s="51">
        <v>0.75</v>
      </c>
      <c r="M298" s="51" t="s">
        <v>540</v>
      </c>
      <c r="N298" s="51" t="s">
        <v>535</v>
      </c>
      <c r="O298" s="51" t="s">
        <v>524</v>
      </c>
      <c r="P298" s="49" t="s">
        <v>23</v>
      </c>
      <c r="Q298" s="49" t="s">
        <v>37</v>
      </c>
      <c r="R298" s="49" t="s">
        <v>113</v>
      </c>
      <c r="S298" s="49">
        <v>3</v>
      </c>
      <c r="T298" s="49">
        <v>8</v>
      </c>
      <c r="U298" s="63">
        <v>48</v>
      </c>
      <c r="V298" s="63">
        <v>384</v>
      </c>
    </row>
    <row r="299" spans="1:22" x14ac:dyDescent="0.25">
      <c r="A299" s="49">
        <v>4652</v>
      </c>
      <c r="B299" s="49" t="s">
        <v>14</v>
      </c>
      <c r="C299" s="49" t="s">
        <v>175</v>
      </c>
      <c r="D299" s="49" t="s">
        <v>80</v>
      </c>
      <c r="E299" s="49" t="s">
        <v>173</v>
      </c>
      <c r="F299" s="49">
        <v>2016</v>
      </c>
      <c r="G299" s="50">
        <v>42615.333333333336</v>
      </c>
      <c r="H299" s="50">
        <v>42628.5</v>
      </c>
      <c r="I299" s="54">
        <v>42615</v>
      </c>
      <c r="J299" s="54">
        <v>42628</v>
      </c>
      <c r="K299" s="51" t="s">
        <v>522</v>
      </c>
      <c r="L299" s="51">
        <v>0.5</v>
      </c>
      <c r="M299" s="51" t="s">
        <v>539</v>
      </c>
      <c r="N299" s="51" t="s">
        <v>535</v>
      </c>
      <c r="O299" s="51" t="s">
        <v>524</v>
      </c>
      <c r="P299" s="49" t="s">
        <v>9</v>
      </c>
      <c r="Q299" s="49" t="s">
        <v>18</v>
      </c>
      <c r="R299" s="49" t="s">
        <v>113</v>
      </c>
      <c r="S299" s="49">
        <v>2</v>
      </c>
      <c r="T299" s="49">
        <v>9</v>
      </c>
      <c r="U299" s="63">
        <v>32</v>
      </c>
      <c r="V299" s="63">
        <v>288</v>
      </c>
    </row>
    <row r="300" spans="1:22" x14ac:dyDescent="0.25">
      <c r="A300" s="49">
        <v>4653</v>
      </c>
      <c r="B300" s="49" t="s">
        <v>14</v>
      </c>
      <c r="C300" s="49" t="s">
        <v>175</v>
      </c>
      <c r="D300" s="49" t="s">
        <v>85</v>
      </c>
      <c r="E300" s="49" t="s">
        <v>170</v>
      </c>
      <c r="F300" s="49">
        <v>2016</v>
      </c>
      <c r="G300" s="50">
        <v>42616.375</v>
      </c>
      <c r="H300" s="50">
        <v>42621.75</v>
      </c>
      <c r="I300" s="54">
        <v>42616</v>
      </c>
      <c r="J300" s="54">
        <v>42621</v>
      </c>
      <c r="K300" s="51" t="s">
        <v>525</v>
      </c>
      <c r="L300" s="51">
        <v>0.75</v>
      </c>
      <c r="M300" s="51" t="s">
        <v>540</v>
      </c>
      <c r="N300" s="51" t="s">
        <v>535</v>
      </c>
      <c r="O300" s="51" t="s">
        <v>524</v>
      </c>
      <c r="P300" s="49" t="s">
        <v>23</v>
      </c>
      <c r="Q300" s="49" t="s">
        <v>38</v>
      </c>
      <c r="R300" s="49" t="s">
        <v>113</v>
      </c>
      <c r="S300" s="49">
        <v>2</v>
      </c>
      <c r="T300" s="49">
        <v>9</v>
      </c>
      <c r="U300" s="63">
        <v>48</v>
      </c>
      <c r="V300" s="63">
        <v>432</v>
      </c>
    </row>
    <row r="301" spans="1:22" x14ac:dyDescent="0.25">
      <c r="A301" s="49">
        <v>4654</v>
      </c>
      <c r="B301" s="49" t="s">
        <v>17</v>
      </c>
      <c r="C301" s="49" t="s">
        <v>176</v>
      </c>
      <c r="D301" s="49" t="s">
        <v>84</v>
      </c>
      <c r="E301" s="49" t="s">
        <v>172</v>
      </c>
      <c r="F301" s="49">
        <v>2016</v>
      </c>
      <c r="G301" s="50">
        <v>42618.791666666664</v>
      </c>
      <c r="H301" s="50">
        <v>42629.958333333336</v>
      </c>
      <c r="I301" s="54">
        <v>42618</v>
      </c>
      <c r="J301" s="54">
        <v>42629</v>
      </c>
      <c r="K301" s="51" t="s">
        <v>526</v>
      </c>
      <c r="L301" s="51">
        <v>0.95833333333333337</v>
      </c>
      <c r="M301" s="51" t="s">
        <v>541</v>
      </c>
      <c r="N301" s="51" t="s">
        <v>535</v>
      </c>
      <c r="O301" s="51" t="s">
        <v>524</v>
      </c>
      <c r="P301" s="49" t="s">
        <v>23</v>
      </c>
      <c r="Q301" s="49" t="s">
        <v>18</v>
      </c>
      <c r="R301" s="49" t="s">
        <v>113</v>
      </c>
      <c r="S301" s="49">
        <v>3</v>
      </c>
      <c r="T301" s="49">
        <v>11</v>
      </c>
      <c r="U301" s="63">
        <v>52</v>
      </c>
      <c r="V301" s="63">
        <v>572</v>
      </c>
    </row>
    <row r="302" spans="1:22" x14ac:dyDescent="0.25">
      <c r="A302" s="49">
        <v>4655</v>
      </c>
      <c r="B302" s="49" t="s">
        <v>17</v>
      </c>
      <c r="C302" s="49" t="s">
        <v>176</v>
      </c>
      <c r="D302" s="49" t="s">
        <v>88</v>
      </c>
      <c r="E302" s="49" t="s">
        <v>170</v>
      </c>
      <c r="F302" s="49">
        <v>2016</v>
      </c>
      <c r="G302" s="50">
        <v>42618.791666666664</v>
      </c>
      <c r="H302" s="50">
        <v>42629.958333333336</v>
      </c>
      <c r="I302" s="54">
        <v>42618</v>
      </c>
      <c r="J302" s="54">
        <v>42629</v>
      </c>
      <c r="K302" s="51" t="s">
        <v>526</v>
      </c>
      <c r="L302" s="51">
        <v>0.95833333333333337</v>
      </c>
      <c r="M302" s="51" t="s">
        <v>541</v>
      </c>
      <c r="N302" s="51" t="s">
        <v>535</v>
      </c>
      <c r="O302" s="51" t="s">
        <v>524</v>
      </c>
      <c r="P302" s="49" t="s">
        <v>23</v>
      </c>
      <c r="Q302" s="49" t="s">
        <v>190</v>
      </c>
      <c r="R302" s="49" t="s">
        <v>109</v>
      </c>
      <c r="S302" s="49">
        <v>5</v>
      </c>
      <c r="T302" s="49">
        <v>12</v>
      </c>
      <c r="U302" s="63">
        <v>42</v>
      </c>
      <c r="V302" s="63">
        <v>504</v>
      </c>
    </row>
    <row r="303" spans="1:22" x14ac:dyDescent="0.25">
      <c r="A303" s="49">
        <v>4656</v>
      </c>
      <c r="B303" s="49" t="s">
        <v>14</v>
      </c>
      <c r="C303" s="49" t="s">
        <v>175</v>
      </c>
      <c r="D303" s="49" t="s">
        <v>78</v>
      </c>
      <c r="E303" s="49" t="s">
        <v>172</v>
      </c>
      <c r="F303" s="49">
        <v>2016</v>
      </c>
      <c r="G303" s="50">
        <v>42619.791666666664</v>
      </c>
      <c r="H303" s="50">
        <v>42632.958333333336</v>
      </c>
      <c r="I303" s="54">
        <v>42619</v>
      </c>
      <c r="J303" s="54">
        <v>42632</v>
      </c>
      <c r="K303" s="51" t="s">
        <v>526</v>
      </c>
      <c r="L303" s="51">
        <v>0.95833333333333337</v>
      </c>
      <c r="M303" s="51" t="s">
        <v>541</v>
      </c>
      <c r="N303" s="51" t="s">
        <v>535</v>
      </c>
      <c r="O303" s="51" t="s">
        <v>524</v>
      </c>
      <c r="P303" s="49" t="s">
        <v>9</v>
      </c>
      <c r="Q303" s="49" t="s">
        <v>16</v>
      </c>
      <c r="R303" s="49" t="s">
        <v>109</v>
      </c>
      <c r="S303" s="49">
        <v>2</v>
      </c>
      <c r="T303" s="49">
        <v>10</v>
      </c>
      <c r="U303" s="63">
        <v>62</v>
      </c>
      <c r="V303" s="63">
        <v>620</v>
      </c>
    </row>
    <row r="304" spans="1:22" x14ac:dyDescent="0.25">
      <c r="A304" s="49">
        <v>4657</v>
      </c>
      <c r="B304" s="49" t="s">
        <v>22</v>
      </c>
      <c r="C304" s="49" t="s">
        <v>176</v>
      </c>
      <c r="D304" s="49" t="s">
        <v>81</v>
      </c>
      <c r="E304" s="49" t="s">
        <v>172</v>
      </c>
      <c r="F304" s="49">
        <v>2016</v>
      </c>
      <c r="G304" s="50">
        <v>42620.583333333336</v>
      </c>
      <c r="H304" s="50">
        <v>42633.75</v>
      </c>
      <c r="I304" s="54">
        <v>42620</v>
      </c>
      <c r="J304" s="54">
        <v>42633</v>
      </c>
      <c r="K304" s="51" t="s">
        <v>527</v>
      </c>
      <c r="L304" s="51">
        <v>0.75</v>
      </c>
      <c r="M304" s="51" t="s">
        <v>542</v>
      </c>
      <c r="N304" s="51" t="s">
        <v>535</v>
      </c>
      <c r="O304" s="51" t="s">
        <v>524</v>
      </c>
      <c r="P304" s="49" t="s">
        <v>9</v>
      </c>
      <c r="Q304" s="49" t="s">
        <v>16</v>
      </c>
      <c r="R304" s="49" t="s">
        <v>109</v>
      </c>
      <c r="S304" s="49">
        <v>2</v>
      </c>
      <c r="T304" s="49">
        <v>10</v>
      </c>
      <c r="U304" s="63">
        <v>43</v>
      </c>
      <c r="V304" s="63">
        <v>430</v>
      </c>
    </row>
    <row r="305" spans="1:22" x14ac:dyDescent="0.25">
      <c r="A305" s="49">
        <v>4658</v>
      </c>
      <c r="B305" s="49" t="s">
        <v>19</v>
      </c>
      <c r="C305" s="49" t="s">
        <v>176</v>
      </c>
      <c r="D305" s="49" t="s">
        <v>79</v>
      </c>
      <c r="E305" s="49" t="s">
        <v>168</v>
      </c>
      <c r="F305" s="49">
        <v>2016</v>
      </c>
      <c r="G305" s="50">
        <v>42621.375</v>
      </c>
      <c r="H305" s="50">
        <v>42627.75</v>
      </c>
      <c r="I305" s="54">
        <v>42621</v>
      </c>
      <c r="J305" s="54">
        <v>42627</v>
      </c>
      <c r="K305" s="51" t="s">
        <v>525</v>
      </c>
      <c r="L305" s="51">
        <v>0.75</v>
      </c>
      <c r="M305" s="51" t="s">
        <v>540</v>
      </c>
      <c r="N305" s="51" t="s">
        <v>535</v>
      </c>
      <c r="O305" s="51" t="s">
        <v>524</v>
      </c>
      <c r="P305" s="49" t="s">
        <v>9</v>
      </c>
      <c r="Q305" s="49" t="s">
        <v>38</v>
      </c>
      <c r="R305" s="49" t="s">
        <v>113</v>
      </c>
      <c r="S305" s="49">
        <v>2</v>
      </c>
      <c r="T305" s="49">
        <v>12</v>
      </c>
      <c r="U305" s="63">
        <v>48</v>
      </c>
      <c r="V305" s="63">
        <v>576</v>
      </c>
    </row>
    <row r="306" spans="1:22" x14ac:dyDescent="0.25">
      <c r="A306" s="49">
        <v>4659</v>
      </c>
      <c r="B306" s="49" t="s">
        <v>22</v>
      </c>
      <c r="C306" s="49" t="s">
        <v>176</v>
      </c>
      <c r="D306" s="49" t="s">
        <v>80</v>
      </c>
      <c r="E306" s="49" t="s">
        <v>173</v>
      </c>
      <c r="F306" s="49">
        <v>2016</v>
      </c>
      <c r="G306" s="50">
        <v>42622.333333333336</v>
      </c>
      <c r="H306" s="50">
        <v>42635.5</v>
      </c>
      <c r="I306" s="54">
        <v>42622</v>
      </c>
      <c r="J306" s="54">
        <v>42635</v>
      </c>
      <c r="K306" s="51" t="s">
        <v>522</v>
      </c>
      <c r="L306" s="51">
        <v>0.5</v>
      </c>
      <c r="M306" s="51" t="s">
        <v>539</v>
      </c>
      <c r="N306" s="51" t="s">
        <v>535</v>
      </c>
      <c r="O306" s="51" t="s">
        <v>524</v>
      </c>
      <c r="P306" s="49" t="s">
        <v>23</v>
      </c>
      <c r="Q306" s="49" t="s">
        <v>31</v>
      </c>
      <c r="R306" s="49" t="s">
        <v>113</v>
      </c>
      <c r="S306" s="49">
        <v>5</v>
      </c>
      <c r="T306" s="49">
        <v>10</v>
      </c>
      <c r="U306" s="63">
        <v>32</v>
      </c>
      <c r="V306" s="63">
        <v>320</v>
      </c>
    </row>
    <row r="307" spans="1:22" x14ac:dyDescent="0.25">
      <c r="A307" s="49">
        <v>4660</v>
      </c>
      <c r="B307" s="49" t="s">
        <v>39</v>
      </c>
      <c r="C307" s="49" t="s">
        <v>177</v>
      </c>
      <c r="D307" s="49" t="s">
        <v>77</v>
      </c>
      <c r="E307" s="49" t="s">
        <v>172</v>
      </c>
      <c r="F307" s="49">
        <v>2016</v>
      </c>
      <c r="G307" s="50">
        <v>42623.375</v>
      </c>
      <c r="H307" s="50">
        <v>42628.75</v>
      </c>
      <c r="I307" s="54">
        <v>42623</v>
      </c>
      <c r="J307" s="54">
        <v>42628</v>
      </c>
      <c r="K307" s="51" t="s">
        <v>525</v>
      </c>
      <c r="L307" s="51">
        <v>0.75</v>
      </c>
      <c r="M307" s="51" t="s">
        <v>540</v>
      </c>
      <c r="N307" s="51" t="s">
        <v>535</v>
      </c>
      <c r="O307" s="51" t="s">
        <v>524</v>
      </c>
      <c r="P307" s="49" t="s">
        <v>9</v>
      </c>
      <c r="Q307" s="49" t="s">
        <v>38</v>
      </c>
      <c r="R307" s="49" t="s">
        <v>113</v>
      </c>
      <c r="S307" s="49">
        <v>2</v>
      </c>
      <c r="T307" s="49">
        <v>11</v>
      </c>
      <c r="U307" s="63">
        <v>35</v>
      </c>
      <c r="V307" s="63">
        <v>385</v>
      </c>
    </row>
    <row r="308" spans="1:22" x14ac:dyDescent="0.25">
      <c r="A308" s="49">
        <v>4661</v>
      </c>
      <c r="B308" s="49" t="s">
        <v>7</v>
      </c>
      <c r="C308" s="49" t="s">
        <v>175</v>
      </c>
      <c r="D308" s="49" t="s">
        <v>78</v>
      </c>
      <c r="E308" s="49" t="s">
        <v>172</v>
      </c>
      <c r="F308" s="49">
        <v>2016</v>
      </c>
      <c r="G308" s="50">
        <v>42625.791666666664</v>
      </c>
      <c r="H308" s="50">
        <v>42636.958333333336</v>
      </c>
      <c r="I308" s="54">
        <v>42625</v>
      </c>
      <c r="J308" s="54">
        <v>42636</v>
      </c>
      <c r="K308" s="51" t="s">
        <v>526</v>
      </c>
      <c r="L308" s="51">
        <v>0.95833333333333337</v>
      </c>
      <c r="M308" s="51" t="s">
        <v>541</v>
      </c>
      <c r="N308" s="51" t="s">
        <v>535</v>
      </c>
      <c r="O308" s="51" t="s">
        <v>524</v>
      </c>
      <c r="P308" s="49" t="s">
        <v>9</v>
      </c>
      <c r="Q308" s="49" t="s">
        <v>16</v>
      </c>
      <c r="R308" s="49" t="s">
        <v>109</v>
      </c>
      <c r="S308" s="49">
        <v>4</v>
      </c>
      <c r="T308" s="49">
        <v>9</v>
      </c>
      <c r="U308" s="63">
        <v>62</v>
      </c>
      <c r="V308" s="63">
        <v>558</v>
      </c>
    </row>
    <row r="309" spans="1:22" x14ac:dyDescent="0.25">
      <c r="A309" s="49">
        <v>4662</v>
      </c>
      <c r="B309" s="49" t="s">
        <v>45</v>
      </c>
      <c r="C309" s="49" t="s">
        <v>177</v>
      </c>
      <c r="D309" s="49" t="s">
        <v>76</v>
      </c>
      <c r="E309" s="49" t="s">
        <v>174</v>
      </c>
      <c r="F309" s="49">
        <v>2016</v>
      </c>
      <c r="G309" s="50">
        <v>42625.791666666664</v>
      </c>
      <c r="H309" s="50">
        <v>42636.958333333336</v>
      </c>
      <c r="I309" s="54">
        <v>42625</v>
      </c>
      <c r="J309" s="54">
        <v>42636</v>
      </c>
      <c r="K309" s="51" t="s">
        <v>526</v>
      </c>
      <c r="L309" s="51">
        <v>0.95833333333333337</v>
      </c>
      <c r="M309" s="51" t="s">
        <v>541</v>
      </c>
      <c r="N309" s="51" t="s">
        <v>535</v>
      </c>
      <c r="O309" s="51" t="s">
        <v>524</v>
      </c>
      <c r="P309" s="49" t="s">
        <v>23</v>
      </c>
      <c r="Q309" s="49" t="s">
        <v>190</v>
      </c>
      <c r="R309" s="49" t="s">
        <v>109</v>
      </c>
      <c r="S309" s="49">
        <v>3</v>
      </c>
      <c r="T309" s="49">
        <v>10</v>
      </c>
      <c r="U309" s="63">
        <v>53</v>
      </c>
      <c r="V309" s="63">
        <v>530</v>
      </c>
    </row>
    <row r="310" spans="1:22" x14ac:dyDescent="0.25">
      <c r="A310" s="49">
        <v>4663</v>
      </c>
      <c r="B310" s="49" t="s">
        <v>11</v>
      </c>
      <c r="C310" s="49" t="s">
        <v>175</v>
      </c>
      <c r="D310" s="49" t="s">
        <v>79</v>
      </c>
      <c r="E310" s="49" t="s">
        <v>168</v>
      </c>
      <c r="F310" s="49">
        <v>2016</v>
      </c>
      <c r="G310" s="50">
        <v>42626.791666666664</v>
      </c>
      <c r="H310" s="50">
        <v>42639.958333333336</v>
      </c>
      <c r="I310" s="54">
        <v>42626</v>
      </c>
      <c r="J310" s="54">
        <v>42639</v>
      </c>
      <c r="K310" s="51" t="s">
        <v>526</v>
      </c>
      <c r="L310" s="51">
        <v>0.95833333333333337</v>
      </c>
      <c r="M310" s="51" t="s">
        <v>541</v>
      </c>
      <c r="N310" s="51" t="s">
        <v>535</v>
      </c>
      <c r="O310" s="51" t="s">
        <v>524</v>
      </c>
      <c r="P310" s="49" t="s">
        <v>23</v>
      </c>
      <c r="Q310" s="49" t="s">
        <v>190</v>
      </c>
      <c r="R310" s="49" t="s">
        <v>109</v>
      </c>
      <c r="S310" s="49">
        <v>4</v>
      </c>
      <c r="T310" s="49">
        <v>10</v>
      </c>
      <c r="U310" s="63">
        <v>48</v>
      </c>
      <c r="V310" s="63">
        <v>480</v>
      </c>
    </row>
    <row r="311" spans="1:22" x14ac:dyDescent="0.25">
      <c r="A311" s="49">
        <v>4664</v>
      </c>
      <c r="B311" s="49" t="s">
        <v>45</v>
      </c>
      <c r="C311" s="49" t="s">
        <v>177</v>
      </c>
      <c r="D311" s="49" t="s">
        <v>85</v>
      </c>
      <c r="E311" s="49" t="s">
        <v>170</v>
      </c>
      <c r="F311" s="49">
        <v>2016</v>
      </c>
      <c r="G311" s="50">
        <v>42627.583333333336</v>
      </c>
      <c r="H311" s="50">
        <v>42640.75</v>
      </c>
      <c r="I311" s="54">
        <v>42627</v>
      </c>
      <c r="J311" s="54">
        <v>42640</v>
      </c>
      <c r="K311" s="51" t="s">
        <v>527</v>
      </c>
      <c r="L311" s="51">
        <v>0.75</v>
      </c>
      <c r="M311" s="51" t="s">
        <v>542</v>
      </c>
      <c r="N311" s="51" t="s">
        <v>535</v>
      </c>
      <c r="O311" s="51" t="s">
        <v>524</v>
      </c>
      <c r="P311" s="49" t="s">
        <v>9</v>
      </c>
      <c r="Q311" s="49" t="s">
        <v>24</v>
      </c>
      <c r="R311" s="49" t="s">
        <v>113</v>
      </c>
      <c r="S311" s="49">
        <v>3</v>
      </c>
      <c r="T311" s="49">
        <v>9</v>
      </c>
      <c r="U311" s="63">
        <v>48</v>
      </c>
      <c r="V311" s="63">
        <v>432</v>
      </c>
    </row>
    <row r="312" spans="1:22" x14ac:dyDescent="0.25">
      <c r="A312" s="49">
        <v>4665</v>
      </c>
      <c r="B312" s="49" t="s">
        <v>22</v>
      </c>
      <c r="C312" s="49" t="s">
        <v>176</v>
      </c>
      <c r="D312" s="49" t="s">
        <v>85</v>
      </c>
      <c r="E312" s="49" t="s">
        <v>170</v>
      </c>
      <c r="F312" s="49">
        <v>2016</v>
      </c>
      <c r="G312" s="50">
        <v>42628.375</v>
      </c>
      <c r="H312" s="50">
        <v>42634.75</v>
      </c>
      <c r="I312" s="54">
        <v>42628</v>
      </c>
      <c r="J312" s="54">
        <v>42634</v>
      </c>
      <c r="K312" s="51" t="s">
        <v>525</v>
      </c>
      <c r="L312" s="51">
        <v>0.75</v>
      </c>
      <c r="M312" s="51" t="s">
        <v>540</v>
      </c>
      <c r="N312" s="51" t="s">
        <v>535</v>
      </c>
      <c r="O312" s="51" t="s">
        <v>524</v>
      </c>
      <c r="P312" s="49" t="s">
        <v>9</v>
      </c>
      <c r="Q312" s="49" t="s">
        <v>18</v>
      </c>
      <c r="R312" s="49" t="s">
        <v>113</v>
      </c>
      <c r="S312" s="49">
        <v>4</v>
      </c>
      <c r="T312" s="49">
        <v>11</v>
      </c>
      <c r="U312" s="63">
        <v>48</v>
      </c>
      <c r="V312" s="63">
        <v>528</v>
      </c>
    </row>
    <row r="313" spans="1:22" x14ac:dyDescent="0.25">
      <c r="A313" s="49">
        <v>4666</v>
      </c>
      <c r="B313" s="49" t="s">
        <v>45</v>
      </c>
      <c r="C313" s="49" t="s">
        <v>177</v>
      </c>
      <c r="D313" s="49" t="s">
        <v>80</v>
      </c>
      <c r="E313" s="49" t="s">
        <v>173</v>
      </c>
      <c r="F313" s="49">
        <v>2016</v>
      </c>
      <c r="G313" s="50">
        <v>42629.333333333336</v>
      </c>
      <c r="H313" s="50">
        <v>42642.5</v>
      </c>
      <c r="I313" s="54">
        <v>42629</v>
      </c>
      <c r="J313" s="54">
        <v>42642</v>
      </c>
      <c r="K313" s="51" t="s">
        <v>522</v>
      </c>
      <c r="L313" s="51">
        <v>0.5</v>
      </c>
      <c r="M313" s="51" t="s">
        <v>539</v>
      </c>
      <c r="N313" s="51" t="s">
        <v>535</v>
      </c>
      <c r="O313" s="51" t="s">
        <v>524</v>
      </c>
      <c r="P313" s="49" t="s">
        <v>23</v>
      </c>
      <c r="Q313" s="49" t="s">
        <v>18</v>
      </c>
      <c r="R313" s="49" t="s">
        <v>113</v>
      </c>
      <c r="S313" s="49">
        <v>2</v>
      </c>
      <c r="T313" s="49">
        <v>8</v>
      </c>
      <c r="U313" s="63">
        <v>32</v>
      </c>
      <c r="V313" s="63">
        <v>256</v>
      </c>
    </row>
    <row r="314" spans="1:22" x14ac:dyDescent="0.25">
      <c r="A314" s="49">
        <v>4667</v>
      </c>
      <c r="B314" s="49" t="s">
        <v>11</v>
      </c>
      <c r="C314" s="49" t="s">
        <v>175</v>
      </c>
      <c r="D314" s="49" t="s">
        <v>86</v>
      </c>
      <c r="E314" s="49" t="s">
        <v>169</v>
      </c>
      <c r="F314" s="49">
        <v>2016</v>
      </c>
      <c r="G314" s="50">
        <v>42630.375</v>
      </c>
      <c r="H314" s="50">
        <v>42635.75</v>
      </c>
      <c r="I314" s="54">
        <v>42630</v>
      </c>
      <c r="J314" s="54">
        <v>42635</v>
      </c>
      <c r="K314" s="51" t="s">
        <v>525</v>
      </c>
      <c r="L314" s="51">
        <v>0.75</v>
      </c>
      <c r="M314" s="51" t="s">
        <v>540</v>
      </c>
      <c r="N314" s="51" t="s">
        <v>535</v>
      </c>
      <c r="O314" s="51" t="s">
        <v>524</v>
      </c>
      <c r="P314" s="49" t="s">
        <v>23</v>
      </c>
      <c r="Q314" s="49" t="s">
        <v>21</v>
      </c>
      <c r="R314" s="49" t="s">
        <v>113</v>
      </c>
      <c r="S314" s="49">
        <v>2</v>
      </c>
      <c r="T314" s="49">
        <v>9</v>
      </c>
      <c r="U314" s="63">
        <v>48</v>
      </c>
      <c r="V314" s="63">
        <v>432</v>
      </c>
    </row>
    <row r="315" spans="1:22" x14ac:dyDescent="0.25">
      <c r="A315" s="49">
        <v>4668</v>
      </c>
      <c r="B315" s="49" t="s">
        <v>17</v>
      </c>
      <c r="C315" s="49" t="s">
        <v>176</v>
      </c>
      <c r="D315" s="49" t="s">
        <v>81</v>
      </c>
      <c r="E315" s="49" t="s">
        <v>172</v>
      </c>
      <c r="F315" s="49">
        <v>2016</v>
      </c>
      <c r="G315" s="50">
        <v>42632.791666666664</v>
      </c>
      <c r="H315" s="50">
        <v>42643.958333333336</v>
      </c>
      <c r="I315" s="54">
        <v>42632</v>
      </c>
      <c r="J315" s="54">
        <v>42643</v>
      </c>
      <c r="K315" s="51" t="s">
        <v>526</v>
      </c>
      <c r="L315" s="51">
        <v>0.95833333333333337</v>
      </c>
      <c r="M315" s="51" t="s">
        <v>541</v>
      </c>
      <c r="N315" s="51" t="s">
        <v>535</v>
      </c>
      <c r="O315" s="51" t="s">
        <v>524</v>
      </c>
      <c r="P315" s="49" t="s">
        <v>9</v>
      </c>
      <c r="Q315" s="49" t="s">
        <v>22</v>
      </c>
      <c r="R315" s="49" t="s">
        <v>109</v>
      </c>
      <c r="S315" s="49">
        <v>3</v>
      </c>
      <c r="T315" s="49">
        <v>11</v>
      </c>
      <c r="U315" s="63">
        <v>43</v>
      </c>
      <c r="V315" s="63">
        <v>473</v>
      </c>
    </row>
    <row r="316" spans="1:22" x14ac:dyDescent="0.25">
      <c r="A316" s="49">
        <v>4669</v>
      </c>
      <c r="B316" s="49" t="s">
        <v>17</v>
      </c>
      <c r="C316" s="49" t="s">
        <v>176</v>
      </c>
      <c r="D316" s="49" t="s">
        <v>82</v>
      </c>
      <c r="E316" s="49" t="s">
        <v>172</v>
      </c>
      <c r="F316" s="49">
        <v>2016</v>
      </c>
      <c r="G316" s="50">
        <v>42632.791666666664</v>
      </c>
      <c r="H316" s="50">
        <v>42643.958333333336</v>
      </c>
      <c r="I316" s="54">
        <v>42632</v>
      </c>
      <c r="J316" s="54">
        <v>42643</v>
      </c>
      <c r="K316" s="51" t="s">
        <v>526</v>
      </c>
      <c r="L316" s="51">
        <v>0.95833333333333337</v>
      </c>
      <c r="M316" s="51" t="s">
        <v>541</v>
      </c>
      <c r="N316" s="51" t="s">
        <v>535</v>
      </c>
      <c r="O316" s="51" t="s">
        <v>524</v>
      </c>
      <c r="P316" s="49" t="s">
        <v>23</v>
      </c>
      <c r="Q316" s="49" t="s">
        <v>22</v>
      </c>
      <c r="R316" s="49" t="s">
        <v>109</v>
      </c>
      <c r="S316" s="49">
        <v>2</v>
      </c>
      <c r="T316" s="49">
        <v>9</v>
      </c>
      <c r="U316" s="63">
        <v>75</v>
      </c>
      <c r="V316" s="63">
        <v>675</v>
      </c>
    </row>
    <row r="317" spans="1:22" x14ac:dyDescent="0.25">
      <c r="A317" s="49">
        <v>4670</v>
      </c>
      <c r="B317" s="49" t="s">
        <v>19</v>
      </c>
      <c r="C317" s="49" t="s">
        <v>176</v>
      </c>
      <c r="D317" s="49" t="s">
        <v>85</v>
      </c>
      <c r="E317" s="49" t="s">
        <v>170</v>
      </c>
      <c r="F317" s="49">
        <v>2016</v>
      </c>
      <c r="G317" s="50">
        <v>42633.791666666664</v>
      </c>
      <c r="H317" s="50">
        <v>42646.958333333336</v>
      </c>
      <c r="I317" s="54">
        <v>42633</v>
      </c>
      <c r="J317" s="54">
        <v>42646</v>
      </c>
      <c r="K317" s="51" t="s">
        <v>526</v>
      </c>
      <c r="L317" s="51">
        <v>0.95833333333333337</v>
      </c>
      <c r="M317" s="51" t="s">
        <v>541</v>
      </c>
      <c r="N317" s="51" t="s">
        <v>535</v>
      </c>
      <c r="O317" s="51" t="s">
        <v>524</v>
      </c>
      <c r="P317" s="49" t="s">
        <v>23</v>
      </c>
      <c r="Q317" s="49" t="s">
        <v>16</v>
      </c>
      <c r="R317" s="49" t="s">
        <v>109</v>
      </c>
      <c r="S317" s="49">
        <v>4</v>
      </c>
      <c r="T317" s="49">
        <v>10</v>
      </c>
      <c r="U317" s="63">
        <v>48</v>
      </c>
      <c r="V317" s="63">
        <v>480</v>
      </c>
    </row>
    <row r="318" spans="1:22" x14ac:dyDescent="0.25">
      <c r="A318" s="49">
        <v>4671</v>
      </c>
      <c r="B318" s="49" t="s">
        <v>14</v>
      </c>
      <c r="C318" s="49" t="s">
        <v>175</v>
      </c>
      <c r="D318" s="49" t="s">
        <v>78</v>
      </c>
      <c r="E318" s="49" t="s">
        <v>172</v>
      </c>
      <c r="F318" s="49">
        <v>2016</v>
      </c>
      <c r="G318" s="50">
        <v>42634.583333333336</v>
      </c>
      <c r="H318" s="50">
        <v>42647.75</v>
      </c>
      <c r="I318" s="54">
        <v>42634</v>
      </c>
      <c r="J318" s="54">
        <v>42647</v>
      </c>
      <c r="K318" s="51" t="s">
        <v>527</v>
      </c>
      <c r="L318" s="51">
        <v>0.75</v>
      </c>
      <c r="M318" s="51" t="s">
        <v>542</v>
      </c>
      <c r="N318" s="51" t="s">
        <v>535</v>
      </c>
      <c r="O318" s="51" t="s">
        <v>524</v>
      </c>
      <c r="P318" s="49" t="s">
        <v>9</v>
      </c>
      <c r="Q318" s="49" t="s">
        <v>16</v>
      </c>
      <c r="R318" s="49" t="s">
        <v>109</v>
      </c>
      <c r="S318" s="49">
        <v>3</v>
      </c>
      <c r="T318" s="49">
        <v>9</v>
      </c>
      <c r="U318" s="63">
        <v>62</v>
      </c>
      <c r="V318" s="63">
        <v>558</v>
      </c>
    </row>
    <row r="319" spans="1:22" x14ac:dyDescent="0.25">
      <c r="A319" s="49">
        <v>4672</v>
      </c>
      <c r="B319" s="49" t="s">
        <v>45</v>
      </c>
      <c r="C319" s="49" t="s">
        <v>177</v>
      </c>
      <c r="D319" s="49" t="s">
        <v>85</v>
      </c>
      <c r="E319" s="49" t="s">
        <v>170</v>
      </c>
      <c r="F319" s="49">
        <v>2016</v>
      </c>
      <c r="G319" s="50">
        <v>42635.375</v>
      </c>
      <c r="H319" s="50">
        <v>42641.75</v>
      </c>
      <c r="I319" s="54">
        <v>42635</v>
      </c>
      <c r="J319" s="54">
        <v>42641</v>
      </c>
      <c r="K319" s="51" t="s">
        <v>525</v>
      </c>
      <c r="L319" s="51">
        <v>0.75</v>
      </c>
      <c r="M319" s="51" t="s">
        <v>540</v>
      </c>
      <c r="N319" s="51" t="s">
        <v>535</v>
      </c>
      <c r="O319" s="51" t="s">
        <v>524</v>
      </c>
      <c r="P319" s="49" t="s">
        <v>23</v>
      </c>
      <c r="Q319" s="49" t="s">
        <v>18</v>
      </c>
      <c r="R319" s="49" t="s">
        <v>113</v>
      </c>
      <c r="S319" s="49">
        <v>5</v>
      </c>
      <c r="T319" s="49">
        <v>10</v>
      </c>
      <c r="U319" s="63">
        <v>48</v>
      </c>
      <c r="V319" s="63">
        <v>480</v>
      </c>
    </row>
    <row r="320" spans="1:22" x14ac:dyDescent="0.25">
      <c r="A320" s="49">
        <v>4673</v>
      </c>
      <c r="B320" s="49" t="s">
        <v>11</v>
      </c>
      <c r="C320" s="49" t="s">
        <v>175</v>
      </c>
      <c r="D320" s="49" t="s">
        <v>77</v>
      </c>
      <c r="E320" s="49" t="s">
        <v>172</v>
      </c>
      <c r="F320" s="49">
        <v>2016</v>
      </c>
      <c r="G320" s="50">
        <v>42636.333333333336</v>
      </c>
      <c r="H320" s="50">
        <v>42649.5</v>
      </c>
      <c r="I320" s="54">
        <v>42636</v>
      </c>
      <c r="J320" s="54">
        <v>42649</v>
      </c>
      <c r="K320" s="51" t="s">
        <v>522</v>
      </c>
      <c r="L320" s="51">
        <v>0.5</v>
      </c>
      <c r="M320" s="51" t="s">
        <v>539</v>
      </c>
      <c r="N320" s="51" t="s">
        <v>535</v>
      </c>
      <c r="O320" s="51" t="s">
        <v>524</v>
      </c>
      <c r="P320" s="49" t="s">
        <v>9</v>
      </c>
      <c r="Q320" s="49" t="s">
        <v>38</v>
      </c>
      <c r="R320" s="49" t="s">
        <v>113</v>
      </c>
      <c r="S320" s="49">
        <v>4</v>
      </c>
      <c r="T320" s="49">
        <v>12</v>
      </c>
      <c r="U320" s="63">
        <v>35</v>
      </c>
      <c r="V320" s="63">
        <v>420</v>
      </c>
    </row>
    <row r="321" spans="1:22" x14ac:dyDescent="0.25">
      <c r="A321" s="49">
        <v>4674</v>
      </c>
      <c r="B321" s="49" t="s">
        <v>45</v>
      </c>
      <c r="C321" s="49" t="s">
        <v>177</v>
      </c>
      <c r="D321" s="49" t="s">
        <v>86</v>
      </c>
      <c r="E321" s="49" t="s">
        <v>169</v>
      </c>
      <c r="F321" s="49">
        <v>2016</v>
      </c>
      <c r="G321" s="50">
        <v>42637.375</v>
      </c>
      <c r="H321" s="50">
        <v>42642.75</v>
      </c>
      <c r="I321" s="54">
        <v>42637</v>
      </c>
      <c r="J321" s="54">
        <v>42642</v>
      </c>
      <c r="K321" s="51" t="s">
        <v>525</v>
      </c>
      <c r="L321" s="51">
        <v>0.75</v>
      </c>
      <c r="M321" s="51" t="s">
        <v>540</v>
      </c>
      <c r="N321" s="51" t="s">
        <v>535</v>
      </c>
      <c r="O321" s="51" t="s">
        <v>524</v>
      </c>
      <c r="P321" s="49" t="s">
        <v>23</v>
      </c>
      <c r="Q321" s="49" t="s">
        <v>16</v>
      </c>
      <c r="R321" s="49" t="s">
        <v>109</v>
      </c>
      <c r="S321" s="49">
        <v>3</v>
      </c>
      <c r="T321" s="49">
        <v>11</v>
      </c>
      <c r="U321" s="63">
        <v>48</v>
      </c>
      <c r="V321" s="63">
        <v>528</v>
      </c>
    </row>
    <row r="322" spans="1:22" x14ac:dyDescent="0.25">
      <c r="A322" s="49">
        <v>4675</v>
      </c>
      <c r="B322" s="49" t="s">
        <v>45</v>
      </c>
      <c r="C322" s="49" t="s">
        <v>177</v>
      </c>
      <c r="D322" s="49" t="s">
        <v>77</v>
      </c>
      <c r="E322" s="49" t="s">
        <v>172</v>
      </c>
      <c r="F322" s="49">
        <v>2016</v>
      </c>
      <c r="G322" s="50">
        <v>42639.791666666664</v>
      </c>
      <c r="H322" s="50">
        <v>42650.958333333336</v>
      </c>
      <c r="I322" s="54">
        <v>42639</v>
      </c>
      <c r="J322" s="54">
        <v>42650</v>
      </c>
      <c r="K322" s="51" t="s">
        <v>526</v>
      </c>
      <c r="L322" s="51">
        <v>0.95833333333333337</v>
      </c>
      <c r="M322" s="51" t="s">
        <v>541</v>
      </c>
      <c r="N322" s="51" t="s">
        <v>535</v>
      </c>
      <c r="O322" s="51" t="s">
        <v>524</v>
      </c>
      <c r="P322" s="49" t="s">
        <v>9</v>
      </c>
      <c r="Q322" s="49" t="s">
        <v>18</v>
      </c>
      <c r="R322" s="49" t="s">
        <v>113</v>
      </c>
      <c r="S322" s="49">
        <v>5</v>
      </c>
      <c r="T322" s="49">
        <v>9</v>
      </c>
      <c r="U322" s="63">
        <v>35</v>
      </c>
      <c r="V322" s="63">
        <v>315</v>
      </c>
    </row>
    <row r="323" spans="1:22" x14ac:dyDescent="0.25">
      <c r="A323" s="49">
        <v>4676</v>
      </c>
      <c r="B323" s="49" t="s">
        <v>17</v>
      </c>
      <c r="C323" s="49" t="s">
        <v>176</v>
      </c>
      <c r="D323" s="49" t="s">
        <v>79</v>
      </c>
      <c r="E323" s="49" t="s">
        <v>168</v>
      </c>
      <c r="F323" s="49">
        <v>2016</v>
      </c>
      <c r="G323" s="50">
        <v>42639.791666666664</v>
      </c>
      <c r="H323" s="50">
        <v>42650.958333333336</v>
      </c>
      <c r="I323" s="54">
        <v>42639</v>
      </c>
      <c r="J323" s="54">
        <v>42650</v>
      </c>
      <c r="K323" s="51" t="s">
        <v>526</v>
      </c>
      <c r="L323" s="51">
        <v>0.95833333333333337</v>
      </c>
      <c r="M323" s="51" t="s">
        <v>541</v>
      </c>
      <c r="N323" s="51" t="s">
        <v>535</v>
      </c>
      <c r="O323" s="51" t="s">
        <v>524</v>
      </c>
      <c r="P323" s="49" t="s">
        <v>23</v>
      </c>
      <c r="Q323" s="49" t="s">
        <v>16</v>
      </c>
      <c r="R323" s="49" t="s">
        <v>109</v>
      </c>
      <c r="S323" s="49">
        <v>4</v>
      </c>
      <c r="T323" s="49">
        <v>9</v>
      </c>
      <c r="U323" s="63">
        <v>48</v>
      </c>
      <c r="V323" s="63">
        <v>432</v>
      </c>
    </row>
    <row r="324" spans="1:22" x14ac:dyDescent="0.25">
      <c r="A324" s="49">
        <v>4677</v>
      </c>
      <c r="B324" s="49" t="s">
        <v>39</v>
      </c>
      <c r="C324" s="49" t="s">
        <v>177</v>
      </c>
      <c r="D324" s="49" t="s">
        <v>82</v>
      </c>
      <c r="E324" s="49" t="s">
        <v>172</v>
      </c>
      <c r="F324" s="49">
        <v>2016</v>
      </c>
      <c r="G324" s="50">
        <v>42640.791666666664</v>
      </c>
      <c r="H324" s="50">
        <v>42653.958333333336</v>
      </c>
      <c r="I324" s="54">
        <v>42640</v>
      </c>
      <c r="J324" s="54">
        <v>42653</v>
      </c>
      <c r="K324" s="51" t="s">
        <v>526</v>
      </c>
      <c r="L324" s="51">
        <v>0.95833333333333337</v>
      </c>
      <c r="M324" s="51" t="s">
        <v>541</v>
      </c>
      <c r="N324" s="51" t="s">
        <v>535</v>
      </c>
      <c r="O324" s="51" t="s">
        <v>524</v>
      </c>
      <c r="P324" s="49" t="s">
        <v>9</v>
      </c>
      <c r="Q324" s="49" t="s">
        <v>190</v>
      </c>
      <c r="R324" s="49" t="s">
        <v>109</v>
      </c>
      <c r="S324" s="49">
        <v>4</v>
      </c>
      <c r="T324" s="49">
        <v>8</v>
      </c>
      <c r="U324" s="63">
        <v>75</v>
      </c>
      <c r="V324" s="63">
        <v>600</v>
      </c>
    </row>
    <row r="325" spans="1:22" x14ac:dyDescent="0.25">
      <c r="A325" s="49">
        <v>4678</v>
      </c>
      <c r="B325" s="49" t="s">
        <v>22</v>
      </c>
      <c r="C325" s="49" t="s">
        <v>176</v>
      </c>
      <c r="D325" s="49" t="s">
        <v>82</v>
      </c>
      <c r="E325" s="49" t="s">
        <v>172</v>
      </c>
      <c r="F325" s="49">
        <v>2016</v>
      </c>
      <c r="G325" s="50">
        <v>42641.583333333336</v>
      </c>
      <c r="H325" s="50">
        <v>42654.75</v>
      </c>
      <c r="I325" s="54">
        <v>42641</v>
      </c>
      <c r="J325" s="54">
        <v>42654</v>
      </c>
      <c r="K325" s="51" t="s">
        <v>527</v>
      </c>
      <c r="L325" s="51">
        <v>0.75</v>
      </c>
      <c r="M325" s="51" t="s">
        <v>542</v>
      </c>
      <c r="N325" s="51" t="s">
        <v>535</v>
      </c>
      <c r="O325" s="51" t="s">
        <v>524</v>
      </c>
      <c r="P325" s="49" t="s">
        <v>23</v>
      </c>
      <c r="Q325" s="49" t="s">
        <v>16</v>
      </c>
      <c r="R325" s="49" t="s">
        <v>109</v>
      </c>
      <c r="S325" s="49">
        <v>3</v>
      </c>
      <c r="T325" s="49">
        <v>8</v>
      </c>
      <c r="U325" s="63">
        <v>75</v>
      </c>
      <c r="V325" s="63">
        <v>600</v>
      </c>
    </row>
    <row r="326" spans="1:22" x14ac:dyDescent="0.25">
      <c r="A326" s="49">
        <v>4679</v>
      </c>
      <c r="B326" s="49" t="s">
        <v>45</v>
      </c>
      <c r="C326" s="49" t="s">
        <v>177</v>
      </c>
      <c r="D326" s="49" t="s">
        <v>80</v>
      </c>
      <c r="E326" s="49" t="s">
        <v>173</v>
      </c>
      <c r="F326" s="49">
        <v>2016</v>
      </c>
      <c r="G326" s="50">
        <v>42642.375</v>
      </c>
      <c r="H326" s="50">
        <v>42648.75</v>
      </c>
      <c r="I326" s="54">
        <v>42642</v>
      </c>
      <c r="J326" s="54">
        <v>42648</v>
      </c>
      <c r="K326" s="51" t="s">
        <v>525</v>
      </c>
      <c r="L326" s="51">
        <v>0.75</v>
      </c>
      <c r="M326" s="51" t="s">
        <v>540</v>
      </c>
      <c r="N326" s="51" t="s">
        <v>535</v>
      </c>
      <c r="O326" s="51" t="s">
        <v>524</v>
      </c>
      <c r="P326" s="49" t="s">
        <v>9</v>
      </c>
      <c r="Q326" s="49" t="s">
        <v>16</v>
      </c>
      <c r="R326" s="49" t="s">
        <v>109</v>
      </c>
      <c r="S326" s="49">
        <v>4</v>
      </c>
      <c r="T326" s="49">
        <v>8</v>
      </c>
      <c r="U326" s="63">
        <v>32</v>
      </c>
      <c r="V326" s="63">
        <v>256</v>
      </c>
    </row>
    <row r="327" spans="1:22" x14ac:dyDescent="0.25">
      <c r="A327" s="49">
        <v>4680</v>
      </c>
      <c r="B327" s="49" t="s">
        <v>11</v>
      </c>
      <c r="C327" s="49" t="s">
        <v>175</v>
      </c>
      <c r="D327" s="49" t="s">
        <v>85</v>
      </c>
      <c r="E327" s="49" t="s">
        <v>170</v>
      </c>
      <c r="F327" s="49">
        <v>2016</v>
      </c>
      <c r="G327" s="50">
        <v>42643.333333333336</v>
      </c>
      <c r="H327" s="50">
        <v>42656.5</v>
      </c>
      <c r="I327" s="54">
        <v>42643</v>
      </c>
      <c r="J327" s="54">
        <v>42656</v>
      </c>
      <c r="K327" s="51" t="s">
        <v>522</v>
      </c>
      <c r="L327" s="51">
        <v>0.5</v>
      </c>
      <c r="M327" s="51" t="s">
        <v>539</v>
      </c>
      <c r="N327" s="51" t="s">
        <v>535</v>
      </c>
      <c r="O327" s="51" t="s">
        <v>524</v>
      </c>
      <c r="P327" s="49" t="s">
        <v>23</v>
      </c>
      <c r="Q327" s="49" t="s">
        <v>12</v>
      </c>
      <c r="R327" s="49" t="s">
        <v>113</v>
      </c>
      <c r="S327" s="49">
        <v>3</v>
      </c>
      <c r="T327" s="49">
        <v>12</v>
      </c>
      <c r="U327" s="63">
        <v>48</v>
      </c>
      <c r="V327" s="63">
        <v>576</v>
      </c>
    </row>
    <row r="328" spans="1:22" x14ac:dyDescent="0.25">
      <c r="A328" s="49">
        <v>4681</v>
      </c>
      <c r="B328" s="49" t="s">
        <v>29</v>
      </c>
      <c r="C328" s="49" t="s">
        <v>177</v>
      </c>
      <c r="D328" s="49" t="s">
        <v>78</v>
      </c>
      <c r="E328" s="49" t="s">
        <v>172</v>
      </c>
      <c r="F328" s="49">
        <v>2016</v>
      </c>
      <c r="G328" s="50">
        <v>42644.375</v>
      </c>
      <c r="H328" s="50">
        <v>42649.75</v>
      </c>
      <c r="I328" s="54">
        <v>42644</v>
      </c>
      <c r="J328" s="54">
        <v>42649</v>
      </c>
      <c r="K328" s="51" t="s">
        <v>525</v>
      </c>
      <c r="L328" s="51">
        <v>0.75</v>
      </c>
      <c r="M328" s="51" t="s">
        <v>540</v>
      </c>
      <c r="N328" s="51" t="s">
        <v>536</v>
      </c>
      <c r="O328" s="51" t="s">
        <v>524</v>
      </c>
      <c r="P328" s="49" t="s">
        <v>9</v>
      </c>
      <c r="Q328" s="49" t="s">
        <v>44</v>
      </c>
      <c r="R328" s="49" t="s">
        <v>113</v>
      </c>
      <c r="S328" s="49">
        <v>5</v>
      </c>
      <c r="T328" s="49">
        <v>11</v>
      </c>
      <c r="U328" s="63">
        <v>62</v>
      </c>
      <c r="V328" s="63">
        <v>682</v>
      </c>
    </row>
    <row r="329" spans="1:22" x14ac:dyDescent="0.25">
      <c r="A329" s="49">
        <v>4682</v>
      </c>
      <c r="B329" s="49" t="s">
        <v>22</v>
      </c>
      <c r="C329" s="49" t="s">
        <v>176</v>
      </c>
      <c r="D329" s="49" t="s">
        <v>89</v>
      </c>
      <c r="E329" s="49" t="s">
        <v>169</v>
      </c>
      <c r="F329" s="49">
        <v>2016</v>
      </c>
      <c r="G329" s="50">
        <v>42646.791666666664</v>
      </c>
      <c r="H329" s="50">
        <v>42657.958333333336</v>
      </c>
      <c r="I329" s="54">
        <v>42646</v>
      </c>
      <c r="J329" s="54">
        <v>42657</v>
      </c>
      <c r="K329" s="51" t="s">
        <v>526</v>
      </c>
      <c r="L329" s="51">
        <v>0.95833333333333337</v>
      </c>
      <c r="M329" s="51" t="s">
        <v>541</v>
      </c>
      <c r="N329" s="51" t="s">
        <v>536</v>
      </c>
      <c r="O329" s="51" t="s">
        <v>524</v>
      </c>
      <c r="P329" s="49" t="s">
        <v>23</v>
      </c>
      <c r="Q329" s="49" t="s">
        <v>190</v>
      </c>
      <c r="R329" s="49" t="s">
        <v>109</v>
      </c>
      <c r="S329" s="49" t="s">
        <v>191</v>
      </c>
      <c r="T329" s="49">
        <v>10</v>
      </c>
      <c r="U329" s="63">
        <v>62</v>
      </c>
      <c r="V329" s="63">
        <v>620</v>
      </c>
    </row>
    <row r="330" spans="1:22" x14ac:dyDescent="0.25">
      <c r="A330" s="49">
        <v>4683</v>
      </c>
      <c r="B330" s="49" t="s">
        <v>11</v>
      </c>
      <c r="C330" s="49" t="s">
        <v>175</v>
      </c>
      <c r="D330" s="49" t="s">
        <v>79</v>
      </c>
      <c r="E330" s="49" t="s">
        <v>168</v>
      </c>
      <c r="F330" s="49">
        <v>2016</v>
      </c>
      <c r="G330" s="50">
        <v>42646.791666666664</v>
      </c>
      <c r="H330" s="50">
        <v>42657.958333333336</v>
      </c>
      <c r="I330" s="54">
        <v>42646</v>
      </c>
      <c r="J330" s="54">
        <v>42657</v>
      </c>
      <c r="K330" s="51" t="s">
        <v>526</v>
      </c>
      <c r="L330" s="51">
        <v>0.95833333333333337</v>
      </c>
      <c r="M330" s="51" t="s">
        <v>541</v>
      </c>
      <c r="N330" s="51" t="s">
        <v>536</v>
      </c>
      <c r="O330" s="51" t="s">
        <v>524</v>
      </c>
      <c r="P330" s="49" t="s">
        <v>23</v>
      </c>
      <c r="Q330" s="49" t="s">
        <v>28</v>
      </c>
      <c r="R330" s="49" t="s">
        <v>109</v>
      </c>
      <c r="S330" s="49">
        <v>2</v>
      </c>
      <c r="T330" s="49">
        <v>8</v>
      </c>
      <c r="U330" s="63">
        <v>48</v>
      </c>
      <c r="V330" s="63">
        <v>384</v>
      </c>
    </row>
    <row r="331" spans="1:22" x14ac:dyDescent="0.25">
      <c r="A331" s="49">
        <v>4684</v>
      </c>
      <c r="B331" s="49" t="s">
        <v>39</v>
      </c>
      <c r="C331" s="49" t="s">
        <v>177</v>
      </c>
      <c r="D331" s="49" t="s">
        <v>89</v>
      </c>
      <c r="E331" s="49" t="s">
        <v>169</v>
      </c>
      <c r="F331" s="49">
        <v>2016</v>
      </c>
      <c r="G331" s="50">
        <v>42647.791666666664</v>
      </c>
      <c r="H331" s="50">
        <v>42660.958333333336</v>
      </c>
      <c r="I331" s="54">
        <v>42647</v>
      </c>
      <c r="J331" s="54">
        <v>42660</v>
      </c>
      <c r="K331" s="51" t="s">
        <v>526</v>
      </c>
      <c r="L331" s="51">
        <v>0.95833333333333337</v>
      </c>
      <c r="M331" s="51" t="s">
        <v>541</v>
      </c>
      <c r="N331" s="51" t="s">
        <v>536</v>
      </c>
      <c r="O331" s="51" t="s">
        <v>524</v>
      </c>
      <c r="P331" s="49" t="s">
        <v>23</v>
      </c>
      <c r="Q331" s="49" t="s">
        <v>18</v>
      </c>
      <c r="R331" s="49" t="s">
        <v>113</v>
      </c>
      <c r="S331" s="49">
        <v>5</v>
      </c>
      <c r="T331" s="49">
        <v>10</v>
      </c>
      <c r="U331" s="63">
        <v>62</v>
      </c>
      <c r="V331" s="63">
        <v>620</v>
      </c>
    </row>
    <row r="332" spans="1:22" x14ac:dyDescent="0.25">
      <c r="A332" s="49">
        <v>4685</v>
      </c>
      <c r="B332" s="49" t="s">
        <v>39</v>
      </c>
      <c r="C332" s="49" t="s">
        <v>177</v>
      </c>
      <c r="D332" s="49" t="s">
        <v>83</v>
      </c>
      <c r="E332" s="49" t="s">
        <v>174</v>
      </c>
      <c r="F332" s="49">
        <v>2016</v>
      </c>
      <c r="G332" s="50">
        <v>42648.583333333336</v>
      </c>
      <c r="H332" s="50">
        <v>42661.75</v>
      </c>
      <c r="I332" s="54">
        <v>42648</v>
      </c>
      <c r="J332" s="54">
        <v>42661</v>
      </c>
      <c r="K332" s="51" t="s">
        <v>527</v>
      </c>
      <c r="L332" s="51">
        <v>0.75</v>
      </c>
      <c r="M332" s="51" t="s">
        <v>542</v>
      </c>
      <c r="N332" s="51" t="s">
        <v>536</v>
      </c>
      <c r="O332" s="51" t="s">
        <v>524</v>
      </c>
      <c r="P332" s="49" t="s">
        <v>9</v>
      </c>
      <c r="Q332" s="49" t="s">
        <v>190</v>
      </c>
      <c r="R332" s="49" t="s">
        <v>109</v>
      </c>
      <c r="S332" s="49">
        <v>2</v>
      </c>
      <c r="T332" s="49">
        <v>8</v>
      </c>
      <c r="U332" s="63">
        <v>63</v>
      </c>
      <c r="V332" s="63">
        <v>504</v>
      </c>
    </row>
    <row r="333" spans="1:22" x14ac:dyDescent="0.25">
      <c r="A333" s="49">
        <v>4686</v>
      </c>
      <c r="B333" s="49" t="s">
        <v>19</v>
      </c>
      <c r="C333" s="49" t="s">
        <v>176</v>
      </c>
      <c r="D333" s="49" t="s">
        <v>78</v>
      </c>
      <c r="E333" s="49" t="s">
        <v>172</v>
      </c>
      <c r="F333" s="49">
        <v>2016</v>
      </c>
      <c r="G333" s="50">
        <v>42649.375</v>
      </c>
      <c r="H333" s="50">
        <v>42655.75</v>
      </c>
      <c r="I333" s="54">
        <v>42649</v>
      </c>
      <c r="J333" s="54">
        <v>42655</v>
      </c>
      <c r="K333" s="51" t="s">
        <v>525</v>
      </c>
      <c r="L333" s="51">
        <v>0.75</v>
      </c>
      <c r="M333" s="51" t="s">
        <v>540</v>
      </c>
      <c r="N333" s="51" t="s">
        <v>536</v>
      </c>
      <c r="O333" s="51" t="s">
        <v>524</v>
      </c>
      <c r="P333" s="49" t="s">
        <v>9</v>
      </c>
      <c r="Q333" s="49" t="s">
        <v>41</v>
      </c>
      <c r="R333" s="49" t="s">
        <v>113</v>
      </c>
      <c r="S333" s="49">
        <v>5</v>
      </c>
      <c r="T333" s="49">
        <v>12</v>
      </c>
      <c r="U333" s="63">
        <v>62</v>
      </c>
      <c r="V333" s="63">
        <v>744</v>
      </c>
    </row>
    <row r="334" spans="1:22" x14ac:dyDescent="0.25">
      <c r="A334" s="49">
        <v>4687</v>
      </c>
      <c r="B334" s="49" t="s">
        <v>11</v>
      </c>
      <c r="C334" s="49" t="s">
        <v>175</v>
      </c>
      <c r="D334" s="49" t="s">
        <v>79</v>
      </c>
      <c r="E334" s="49" t="s">
        <v>168</v>
      </c>
      <c r="F334" s="49">
        <v>2016</v>
      </c>
      <c r="G334" s="50">
        <v>42650.333333333336</v>
      </c>
      <c r="H334" s="50">
        <v>42663.5</v>
      </c>
      <c r="I334" s="54">
        <v>42650</v>
      </c>
      <c r="J334" s="54">
        <v>42663</v>
      </c>
      <c r="K334" s="51" t="s">
        <v>522</v>
      </c>
      <c r="L334" s="51">
        <v>0.5</v>
      </c>
      <c r="M334" s="51" t="s">
        <v>539</v>
      </c>
      <c r="N334" s="51" t="s">
        <v>536</v>
      </c>
      <c r="O334" s="51" t="s">
        <v>524</v>
      </c>
      <c r="P334" s="49" t="s">
        <v>9</v>
      </c>
      <c r="Q334" s="49" t="s">
        <v>26</v>
      </c>
      <c r="R334" s="49" t="s">
        <v>113</v>
      </c>
      <c r="S334" s="49">
        <v>2</v>
      </c>
      <c r="T334" s="49">
        <v>10</v>
      </c>
      <c r="U334" s="63">
        <v>48</v>
      </c>
      <c r="V334" s="63">
        <v>480</v>
      </c>
    </row>
    <row r="335" spans="1:22" x14ac:dyDescent="0.25">
      <c r="A335" s="49">
        <v>4688</v>
      </c>
      <c r="B335" s="49" t="s">
        <v>19</v>
      </c>
      <c r="C335" s="49" t="s">
        <v>176</v>
      </c>
      <c r="D335" s="49" t="s">
        <v>76</v>
      </c>
      <c r="E335" s="49" t="s">
        <v>174</v>
      </c>
      <c r="F335" s="49">
        <v>2016</v>
      </c>
      <c r="G335" s="50">
        <v>42651.375</v>
      </c>
      <c r="H335" s="50">
        <v>42656.75</v>
      </c>
      <c r="I335" s="54">
        <v>42651</v>
      </c>
      <c r="J335" s="54">
        <v>42656</v>
      </c>
      <c r="K335" s="51" t="s">
        <v>525</v>
      </c>
      <c r="L335" s="51">
        <v>0.75</v>
      </c>
      <c r="M335" s="51" t="s">
        <v>540</v>
      </c>
      <c r="N335" s="51" t="s">
        <v>536</v>
      </c>
      <c r="O335" s="51" t="s">
        <v>524</v>
      </c>
      <c r="P335" s="49" t="s">
        <v>9</v>
      </c>
      <c r="Q335" s="49" t="s">
        <v>33</v>
      </c>
      <c r="R335" s="49" t="s">
        <v>113</v>
      </c>
      <c r="S335" s="49">
        <v>3</v>
      </c>
      <c r="T335" s="49">
        <v>11</v>
      </c>
      <c r="U335" s="63">
        <v>53</v>
      </c>
      <c r="V335" s="63">
        <v>583</v>
      </c>
    </row>
    <row r="336" spans="1:22" x14ac:dyDescent="0.25">
      <c r="A336" s="49">
        <v>4689</v>
      </c>
      <c r="B336" s="49" t="s">
        <v>11</v>
      </c>
      <c r="C336" s="49" t="s">
        <v>175</v>
      </c>
      <c r="D336" s="49" t="s">
        <v>76</v>
      </c>
      <c r="E336" s="49" t="s">
        <v>174</v>
      </c>
      <c r="F336" s="49">
        <v>2016</v>
      </c>
      <c r="G336" s="50">
        <v>42653.791666666664</v>
      </c>
      <c r="H336" s="50">
        <v>42664.958333333336</v>
      </c>
      <c r="I336" s="54">
        <v>42653</v>
      </c>
      <c r="J336" s="54">
        <v>42664</v>
      </c>
      <c r="K336" s="51" t="s">
        <v>526</v>
      </c>
      <c r="L336" s="51">
        <v>0.95833333333333337</v>
      </c>
      <c r="M336" s="51" t="s">
        <v>541</v>
      </c>
      <c r="N336" s="51" t="s">
        <v>536</v>
      </c>
      <c r="O336" s="51" t="s">
        <v>524</v>
      </c>
      <c r="P336" s="49" t="s">
        <v>9</v>
      </c>
      <c r="Q336" s="49" t="s">
        <v>33</v>
      </c>
      <c r="R336" s="49" t="s">
        <v>113</v>
      </c>
      <c r="S336" s="49">
        <v>3</v>
      </c>
      <c r="T336" s="49">
        <v>8</v>
      </c>
      <c r="U336" s="63">
        <v>53</v>
      </c>
      <c r="V336" s="63">
        <v>424</v>
      </c>
    </row>
    <row r="337" spans="1:22" x14ac:dyDescent="0.25">
      <c r="A337" s="49">
        <v>4690</v>
      </c>
      <c r="B337" s="49" t="s">
        <v>39</v>
      </c>
      <c r="C337" s="49" t="s">
        <v>177</v>
      </c>
      <c r="D337" s="49" t="s">
        <v>79</v>
      </c>
      <c r="E337" s="49" t="s">
        <v>168</v>
      </c>
      <c r="F337" s="49">
        <v>2016</v>
      </c>
      <c r="G337" s="50">
        <v>42653.791666666664</v>
      </c>
      <c r="H337" s="50">
        <v>42664.958333333336</v>
      </c>
      <c r="I337" s="54">
        <v>42653</v>
      </c>
      <c r="J337" s="54">
        <v>42664</v>
      </c>
      <c r="K337" s="51" t="s">
        <v>526</v>
      </c>
      <c r="L337" s="51">
        <v>0.95833333333333337</v>
      </c>
      <c r="M337" s="51" t="s">
        <v>541</v>
      </c>
      <c r="N337" s="51" t="s">
        <v>536</v>
      </c>
      <c r="O337" s="51" t="s">
        <v>524</v>
      </c>
      <c r="P337" s="49" t="s">
        <v>9</v>
      </c>
      <c r="Q337" s="49" t="s">
        <v>21</v>
      </c>
      <c r="R337" s="49" t="s">
        <v>113</v>
      </c>
      <c r="S337" s="49">
        <v>3</v>
      </c>
      <c r="T337" s="49">
        <v>8</v>
      </c>
      <c r="U337" s="63">
        <v>48</v>
      </c>
      <c r="V337" s="63">
        <v>384</v>
      </c>
    </row>
    <row r="338" spans="1:22" x14ac:dyDescent="0.25">
      <c r="A338" s="49">
        <v>4691</v>
      </c>
      <c r="B338" s="49" t="s">
        <v>45</v>
      </c>
      <c r="C338" s="49" t="s">
        <v>177</v>
      </c>
      <c r="D338" s="49" t="s">
        <v>85</v>
      </c>
      <c r="E338" s="49" t="s">
        <v>170</v>
      </c>
      <c r="F338" s="49">
        <v>2016</v>
      </c>
      <c r="G338" s="50">
        <v>42654.791666666664</v>
      </c>
      <c r="H338" s="50">
        <v>42667.958333333336</v>
      </c>
      <c r="I338" s="54">
        <v>42654</v>
      </c>
      <c r="J338" s="54">
        <v>42667</v>
      </c>
      <c r="K338" s="51" t="s">
        <v>526</v>
      </c>
      <c r="L338" s="51">
        <v>0.95833333333333337</v>
      </c>
      <c r="M338" s="51" t="s">
        <v>541</v>
      </c>
      <c r="N338" s="51" t="s">
        <v>536</v>
      </c>
      <c r="O338" s="51" t="s">
        <v>524</v>
      </c>
      <c r="P338" s="49" t="s">
        <v>23</v>
      </c>
      <c r="Q338" s="49" t="s">
        <v>16</v>
      </c>
      <c r="R338" s="49" t="s">
        <v>109</v>
      </c>
      <c r="S338" s="49">
        <v>2</v>
      </c>
      <c r="T338" s="49">
        <v>8</v>
      </c>
      <c r="U338" s="63">
        <v>48</v>
      </c>
      <c r="V338" s="63">
        <v>384</v>
      </c>
    </row>
    <row r="339" spans="1:22" x14ac:dyDescent="0.25">
      <c r="A339" s="49">
        <v>4692</v>
      </c>
      <c r="B339" s="49" t="s">
        <v>7</v>
      </c>
      <c r="C339" s="49" t="s">
        <v>175</v>
      </c>
      <c r="D339" s="49" t="s">
        <v>77</v>
      </c>
      <c r="E339" s="49" t="s">
        <v>172</v>
      </c>
      <c r="F339" s="49">
        <v>2016</v>
      </c>
      <c r="G339" s="50">
        <v>42655.583333333336</v>
      </c>
      <c r="H339" s="50">
        <v>42668.75</v>
      </c>
      <c r="I339" s="54">
        <v>42655</v>
      </c>
      <c r="J339" s="54">
        <v>42668</v>
      </c>
      <c r="K339" s="51" t="s">
        <v>527</v>
      </c>
      <c r="L339" s="51">
        <v>0.75</v>
      </c>
      <c r="M339" s="51" t="s">
        <v>542</v>
      </c>
      <c r="N339" s="51" t="s">
        <v>536</v>
      </c>
      <c r="O339" s="51" t="s">
        <v>524</v>
      </c>
      <c r="P339" s="49" t="s">
        <v>9</v>
      </c>
      <c r="Q339" s="49" t="s">
        <v>31</v>
      </c>
      <c r="R339" s="49" t="s">
        <v>113</v>
      </c>
      <c r="S339" s="49">
        <v>2</v>
      </c>
      <c r="T339" s="49">
        <v>10</v>
      </c>
      <c r="U339" s="63">
        <v>35</v>
      </c>
      <c r="V339" s="63">
        <v>350</v>
      </c>
    </row>
    <row r="340" spans="1:22" x14ac:dyDescent="0.25">
      <c r="A340" s="49">
        <v>4693</v>
      </c>
      <c r="B340" s="49" t="s">
        <v>39</v>
      </c>
      <c r="C340" s="49" t="s">
        <v>177</v>
      </c>
      <c r="D340" s="49" t="s">
        <v>89</v>
      </c>
      <c r="E340" s="49" t="s">
        <v>169</v>
      </c>
      <c r="F340" s="49">
        <v>2016</v>
      </c>
      <c r="G340" s="50">
        <v>42656.375</v>
      </c>
      <c r="H340" s="50">
        <v>42662.75</v>
      </c>
      <c r="I340" s="54">
        <v>42656</v>
      </c>
      <c r="J340" s="54">
        <v>42662</v>
      </c>
      <c r="K340" s="51" t="s">
        <v>525</v>
      </c>
      <c r="L340" s="51">
        <v>0.75</v>
      </c>
      <c r="M340" s="51" t="s">
        <v>540</v>
      </c>
      <c r="N340" s="51" t="s">
        <v>536</v>
      </c>
      <c r="O340" s="51" t="s">
        <v>524</v>
      </c>
      <c r="P340" s="49" t="s">
        <v>9</v>
      </c>
      <c r="Q340" s="49" t="s">
        <v>37</v>
      </c>
      <c r="R340" s="49" t="s">
        <v>113</v>
      </c>
      <c r="S340" s="49">
        <v>2</v>
      </c>
      <c r="T340" s="49">
        <v>11</v>
      </c>
      <c r="U340" s="63">
        <v>62</v>
      </c>
      <c r="V340" s="63">
        <v>682</v>
      </c>
    </row>
    <row r="341" spans="1:22" x14ac:dyDescent="0.25">
      <c r="A341" s="49">
        <v>4694</v>
      </c>
      <c r="B341" s="49" t="s">
        <v>14</v>
      </c>
      <c r="C341" s="49" t="s">
        <v>175</v>
      </c>
      <c r="D341" s="49" t="s">
        <v>76</v>
      </c>
      <c r="E341" s="49" t="s">
        <v>174</v>
      </c>
      <c r="F341" s="49">
        <v>2016</v>
      </c>
      <c r="G341" s="50">
        <v>42657.333333333336</v>
      </c>
      <c r="H341" s="50">
        <v>42670.5</v>
      </c>
      <c r="I341" s="54">
        <v>42657</v>
      </c>
      <c r="J341" s="54">
        <v>42670</v>
      </c>
      <c r="K341" s="51" t="s">
        <v>522</v>
      </c>
      <c r="L341" s="51">
        <v>0.5</v>
      </c>
      <c r="M341" s="51" t="s">
        <v>539</v>
      </c>
      <c r="N341" s="51" t="s">
        <v>536</v>
      </c>
      <c r="O341" s="51" t="s">
        <v>524</v>
      </c>
      <c r="P341" s="49" t="s">
        <v>9</v>
      </c>
      <c r="Q341" s="49" t="s">
        <v>21</v>
      </c>
      <c r="R341" s="49" t="s">
        <v>113</v>
      </c>
      <c r="S341" s="49">
        <v>2</v>
      </c>
      <c r="T341" s="49">
        <v>11</v>
      </c>
      <c r="U341" s="63">
        <v>53</v>
      </c>
      <c r="V341" s="63">
        <v>583</v>
      </c>
    </row>
    <row r="342" spans="1:22" x14ac:dyDescent="0.25">
      <c r="A342" s="49">
        <v>4695</v>
      </c>
      <c r="B342" s="49" t="s">
        <v>29</v>
      </c>
      <c r="C342" s="49" t="s">
        <v>177</v>
      </c>
      <c r="D342" s="49" t="s">
        <v>89</v>
      </c>
      <c r="E342" s="49" t="s">
        <v>169</v>
      </c>
      <c r="F342" s="49">
        <v>2016</v>
      </c>
      <c r="G342" s="50">
        <v>42658.375</v>
      </c>
      <c r="H342" s="50">
        <v>42663.75</v>
      </c>
      <c r="I342" s="54">
        <v>42658</v>
      </c>
      <c r="J342" s="54">
        <v>42663</v>
      </c>
      <c r="K342" s="51" t="s">
        <v>525</v>
      </c>
      <c r="L342" s="51">
        <v>0.75</v>
      </c>
      <c r="M342" s="51" t="s">
        <v>540</v>
      </c>
      <c r="N342" s="51" t="s">
        <v>536</v>
      </c>
      <c r="O342" s="51" t="s">
        <v>524</v>
      </c>
      <c r="P342" s="49" t="s">
        <v>23</v>
      </c>
      <c r="Q342" s="49" t="s">
        <v>33</v>
      </c>
      <c r="R342" s="49" t="s">
        <v>113</v>
      </c>
      <c r="S342" s="49">
        <v>2</v>
      </c>
      <c r="T342" s="49">
        <v>8</v>
      </c>
      <c r="U342" s="63">
        <v>62</v>
      </c>
      <c r="V342" s="63">
        <v>496</v>
      </c>
    </row>
    <row r="343" spans="1:22" x14ac:dyDescent="0.25">
      <c r="A343" s="49">
        <v>4696</v>
      </c>
      <c r="B343" s="49" t="s">
        <v>39</v>
      </c>
      <c r="C343" s="49" t="s">
        <v>177</v>
      </c>
      <c r="D343" s="49" t="s">
        <v>88</v>
      </c>
      <c r="E343" s="49" t="s">
        <v>170</v>
      </c>
      <c r="F343" s="49">
        <v>2016</v>
      </c>
      <c r="G343" s="50">
        <v>42660.791666666664</v>
      </c>
      <c r="H343" s="50">
        <v>42671.958333333336</v>
      </c>
      <c r="I343" s="54">
        <v>42660</v>
      </c>
      <c r="J343" s="54">
        <v>42671</v>
      </c>
      <c r="K343" s="51" t="s">
        <v>526</v>
      </c>
      <c r="L343" s="51">
        <v>0.95833333333333337</v>
      </c>
      <c r="M343" s="51" t="s">
        <v>541</v>
      </c>
      <c r="N343" s="51" t="s">
        <v>536</v>
      </c>
      <c r="O343" s="51" t="s">
        <v>524</v>
      </c>
      <c r="P343" s="49" t="s">
        <v>23</v>
      </c>
      <c r="Q343" s="49" t="s">
        <v>16</v>
      </c>
      <c r="R343" s="49" t="s">
        <v>109</v>
      </c>
      <c r="S343" s="49">
        <v>2</v>
      </c>
      <c r="T343" s="49">
        <v>9</v>
      </c>
      <c r="U343" s="63">
        <v>42</v>
      </c>
      <c r="V343" s="63">
        <v>378</v>
      </c>
    </row>
    <row r="344" spans="1:22" x14ac:dyDescent="0.25">
      <c r="A344" s="49">
        <v>4697</v>
      </c>
      <c r="B344" s="49" t="s">
        <v>45</v>
      </c>
      <c r="C344" s="49" t="s">
        <v>177</v>
      </c>
      <c r="D344" s="49" t="s">
        <v>84</v>
      </c>
      <c r="E344" s="49" t="s">
        <v>172</v>
      </c>
      <c r="F344" s="49">
        <v>2016</v>
      </c>
      <c r="G344" s="50">
        <v>42660.791666666664</v>
      </c>
      <c r="H344" s="50">
        <v>42671.958333333336</v>
      </c>
      <c r="I344" s="54">
        <v>42660</v>
      </c>
      <c r="J344" s="54">
        <v>42671</v>
      </c>
      <c r="K344" s="51" t="s">
        <v>526</v>
      </c>
      <c r="L344" s="51">
        <v>0.95833333333333337</v>
      </c>
      <c r="M344" s="51" t="s">
        <v>541</v>
      </c>
      <c r="N344" s="51" t="s">
        <v>536</v>
      </c>
      <c r="O344" s="51" t="s">
        <v>524</v>
      </c>
      <c r="P344" s="49" t="s">
        <v>9</v>
      </c>
      <c r="Q344" s="49" t="s">
        <v>18</v>
      </c>
      <c r="R344" s="49" t="s">
        <v>113</v>
      </c>
      <c r="S344" s="49">
        <v>3</v>
      </c>
      <c r="T344" s="49">
        <v>10</v>
      </c>
      <c r="U344" s="63">
        <v>52</v>
      </c>
      <c r="V344" s="63">
        <v>520</v>
      </c>
    </row>
    <row r="345" spans="1:22" x14ac:dyDescent="0.25">
      <c r="A345" s="49">
        <v>4698</v>
      </c>
      <c r="B345" s="49" t="s">
        <v>29</v>
      </c>
      <c r="C345" s="49" t="s">
        <v>177</v>
      </c>
      <c r="D345" s="49" t="s">
        <v>76</v>
      </c>
      <c r="E345" s="49" t="s">
        <v>174</v>
      </c>
      <c r="F345" s="49">
        <v>2016</v>
      </c>
      <c r="G345" s="50">
        <v>42661.791666666664</v>
      </c>
      <c r="H345" s="50">
        <v>42674.958333333336</v>
      </c>
      <c r="I345" s="54">
        <v>42661</v>
      </c>
      <c r="J345" s="54">
        <v>42674</v>
      </c>
      <c r="K345" s="51" t="s">
        <v>526</v>
      </c>
      <c r="L345" s="51">
        <v>0.95833333333333337</v>
      </c>
      <c r="M345" s="51" t="s">
        <v>541</v>
      </c>
      <c r="N345" s="51" t="s">
        <v>536</v>
      </c>
      <c r="O345" s="51" t="s">
        <v>524</v>
      </c>
      <c r="P345" s="49" t="s">
        <v>9</v>
      </c>
      <c r="Q345" s="49" t="s">
        <v>28</v>
      </c>
      <c r="R345" s="49" t="s">
        <v>109</v>
      </c>
      <c r="S345" s="49">
        <v>3</v>
      </c>
      <c r="T345" s="49">
        <v>12</v>
      </c>
      <c r="U345" s="63">
        <v>53</v>
      </c>
      <c r="V345" s="63">
        <v>636</v>
      </c>
    </row>
    <row r="346" spans="1:22" x14ac:dyDescent="0.25">
      <c r="A346" s="49">
        <v>4699</v>
      </c>
      <c r="B346" s="49" t="s">
        <v>29</v>
      </c>
      <c r="C346" s="49" t="s">
        <v>177</v>
      </c>
      <c r="D346" s="49" t="s">
        <v>77</v>
      </c>
      <c r="E346" s="49" t="s">
        <v>172</v>
      </c>
      <c r="F346" s="49">
        <v>2016</v>
      </c>
      <c r="G346" s="50">
        <v>42662.583333333336</v>
      </c>
      <c r="H346" s="50">
        <v>42675.75</v>
      </c>
      <c r="I346" s="54">
        <v>42662</v>
      </c>
      <c r="J346" s="54">
        <v>42675</v>
      </c>
      <c r="K346" s="51" t="s">
        <v>527</v>
      </c>
      <c r="L346" s="51">
        <v>0.75</v>
      </c>
      <c r="M346" s="51" t="s">
        <v>542</v>
      </c>
      <c r="N346" s="51" t="s">
        <v>536</v>
      </c>
      <c r="O346" s="51" t="s">
        <v>524</v>
      </c>
      <c r="P346" s="49" t="s">
        <v>9</v>
      </c>
      <c r="Q346" s="49" t="s">
        <v>31</v>
      </c>
      <c r="R346" s="49" t="s">
        <v>113</v>
      </c>
      <c r="S346" s="49">
        <v>2</v>
      </c>
      <c r="T346" s="49">
        <v>11</v>
      </c>
      <c r="U346" s="63">
        <v>35</v>
      </c>
      <c r="V346" s="63">
        <v>385</v>
      </c>
    </row>
    <row r="347" spans="1:22" x14ac:dyDescent="0.25">
      <c r="A347" s="49">
        <v>4700</v>
      </c>
      <c r="B347" s="49" t="s">
        <v>7</v>
      </c>
      <c r="C347" s="49" t="s">
        <v>175</v>
      </c>
      <c r="D347" s="49" t="s">
        <v>89</v>
      </c>
      <c r="E347" s="49" t="s">
        <v>169</v>
      </c>
      <c r="F347" s="49">
        <v>2016</v>
      </c>
      <c r="G347" s="50">
        <v>42663.375</v>
      </c>
      <c r="H347" s="50">
        <v>42669.75</v>
      </c>
      <c r="I347" s="54">
        <v>42663</v>
      </c>
      <c r="J347" s="54">
        <v>42669</v>
      </c>
      <c r="K347" s="51" t="s">
        <v>525</v>
      </c>
      <c r="L347" s="51">
        <v>0.75</v>
      </c>
      <c r="M347" s="51" t="s">
        <v>540</v>
      </c>
      <c r="N347" s="51" t="s">
        <v>536</v>
      </c>
      <c r="O347" s="51" t="s">
        <v>524</v>
      </c>
      <c r="P347" s="49" t="s">
        <v>23</v>
      </c>
      <c r="Q347" s="49" t="s">
        <v>16</v>
      </c>
      <c r="R347" s="49" t="s">
        <v>109</v>
      </c>
      <c r="S347" s="49">
        <v>3</v>
      </c>
      <c r="T347" s="49">
        <v>10</v>
      </c>
      <c r="U347" s="63">
        <v>62</v>
      </c>
      <c r="V347" s="63">
        <v>620</v>
      </c>
    </row>
    <row r="348" spans="1:22" x14ac:dyDescent="0.25">
      <c r="A348" s="49">
        <v>4701</v>
      </c>
      <c r="B348" s="49" t="s">
        <v>11</v>
      </c>
      <c r="C348" s="49" t="s">
        <v>175</v>
      </c>
      <c r="D348" s="49" t="s">
        <v>80</v>
      </c>
      <c r="E348" s="49" t="s">
        <v>173</v>
      </c>
      <c r="F348" s="49">
        <v>2016</v>
      </c>
      <c r="G348" s="50">
        <v>42664.333333333336</v>
      </c>
      <c r="H348" s="50">
        <v>42677.5</v>
      </c>
      <c r="I348" s="54">
        <v>42664</v>
      </c>
      <c r="J348" s="54">
        <v>42677</v>
      </c>
      <c r="K348" s="51" t="s">
        <v>522</v>
      </c>
      <c r="L348" s="51">
        <v>0.5</v>
      </c>
      <c r="M348" s="51" t="s">
        <v>539</v>
      </c>
      <c r="N348" s="51" t="s">
        <v>536</v>
      </c>
      <c r="O348" s="51" t="s">
        <v>524</v>
      </c>
      <c r="P348" s="49" t="s">
        <v>23</v>
      </c>
      <c r="Q348" s="49" t="s">
        <v>18</v>
      </c>
      <c r="R348" s="49" t="s">
        <v>113</v>
      </c>
      <c r="S348" s="49">
        <v>2</v>
      </c>
      <c r="T348" s="49">
        <v>10</v>
      </c>
      <c r="U348" s="63">
        <v>32</v>
      </c>
      <c r="V348" s="63">
        <v>320</v>
      </c>
    </row>
    <row r="349" spans="1:22" x14ac:dyDescent="0.25">
      <c r="A349" s="49">
        <v>4702</v>
      </c>
      <c r="B349" s="49" t="s">
        <v>7</v>
      </c>
      <c r="C349" s="49" t="s">
        <v>175</v>
      </c>
      <c r="D349" s="49" t="s">
        <v>80</v>
      </c>
      <c r="E349" s="49" t="s">
        <v>173</v>
      </c>
      <c r="F349" s="49">
        <v>2016</v>
      </c>
      <c r="G349" s="50">
        <v>42665.375</v>
      </c>
      <c r="H349" s="50">
        <v>42670.75</v>
      </c>
      <c r="I349" s="54">
        <v>42665</v>
      </c>
      <c r="J349" s="54">
        <v>42670</v>
      </c>
      <c r="K349" s="51" t="s">
        <v>525</v>
      </c>
      <c r="L349" s="51">
        <v>0.75</v>
      </c>
      <c r="M349" s="51" t="s">
        <v>540</v>
      </c>
      <c r="N349" s="51" t="s">
        <v>536</v>
      </c>
      <c r="O349" s="51" t="s">
        <v>524</v>
      </c>
      <c r="P349" s="49" t="s">
        <v>23</v>
      </c>
      <c r="Q349" s="49" t="s">
        <v>38</v>
      </c>
      <c r="R349" s="49" t="s">
        <v>113</v>
      </c>
      <c r="S349" s="49">
        <v>5</v>
      </c>
      <c r="T349" s="49">
        <v>11</v>
      </c>
      <c r="U349" s="63">
        <v>32</v>
      </c>
      <c r="V349" s="63">
        <v>352</v>
      </c>
    </row>
    <row r="350" spans="1:22" x14ac:dyDescent="0.25">
      <c r="A350" s="49">
        <v>4703</v>
      </c>
      <c r="B350" s="49" t="s">
        <v>11</v>
      </c>
      <c r="C350" s="49" t="s">
        <v>175</v>
      </c>
      <c r="D350" s="49" t="s">
        <v>77</v>
      </c>
      <c r="E350" s="49" t="s">
        <v>172</v>
      </c>
      <c r="F350" s="49">
        <v>2016</v>
      </c>
      <c r="G350" s="50">
        <v>42667.791666666664</v>
      </c>
      <c r="H350" s="50">
        <v>42678.958333333336</v>
      </c>
      <c r="I350" s="54">
        <v>42667</v>
      </c>
      <c r="J350" s="54">
        <v>42678</v>
      </c>
      <c r="K350" s="51" t="s">
        <v>526</v>
      </c>
      <c r="L350" s="51">
        <v>0.95833333333333337</v>
      </c>
      <c r="M350" s="51" t="s">
        <v>541</v>
      </c>
      <c r="N350" s="51" t="s">
        <v>536</v>
      </c>
      <c r="O350" s="51" t="s">
        <v>524</v>
      </c>
      <c r="P350" s="49" t="s">
        <v>9</v>
      </c>
      <c r="Q350" s="49" t="s">
        <v>38</v>
      </c>
      <c r="R350" s="49" t="s">
        <v>113</v>
      </c>
      <c r="S350" s="49">
        <v>2</v>
      </c>
      <c r="T350" s="49">
        <v>10</v>
      </c>
      <c r="U350" s="63">
        <v>35</v>
      </c>
      <c r="V350" s="63">
        <v>350</v>
      </c>
    </row>
    <row r="351" spans="1:22" x14ac:dyDescent="0.25">
      <c r="A351" s="49">
        <v>4704</v>
      </c>
      <c r="B351" s="49" t="s">
        <v>19</v>
      </c>
      <c r="C351" s="49" t="s">
        <v>176</v>
      </c>
      <c r="D351" s="49" t="s">
        <v>80</v>
      </c>
      <c r="E351" s="49" t="s">
        <v>173</v>
      </c>
      <c r="F351" s="49">
        <v>2016</v>
      </c>
      <c r="G351" s="50">
        <v>42667.791666666664</v>
      </c>
      <c r="H351" s="50">
        <v>42678.958333333336</v>
      </c>
      <c r="I351" s="54">
        <v>42667</v>
      </c>
      <c r="J351" s="54">
        <v>42678</v>
      </c>
      <c r="K351" s="51" t="s">
        <v>526</v>
      </c>
      <c r="L351" s="51">
        <v>0.95833333333333337</v>
      </c>
      <c r="M351" s="51" t="s">
        <v>541</v>
      </c>
      <c r="N351" s="51" t="s">
        <v>536</v>
      </c>
      <c r="O351" s="51" t="s">
        <v>524</v>
      </c>
      <c r="P351" s="49" t="s">
        <v>23</v>
      </c>
      <c r="Q351" s="49" t="s">
        <v>12</v>
      </c>
      <c r="R351" s="49" t="s">
        <v>113</v>
      </c>
      <c r="S351" s="49">
        <v>3</v>
      </c>
      <c r="T351" s="49">
        <v>10</v>
      </c>
      <c r="U351" s="63">
        <v>32</v>
      </c>
      <c r="V351" s="63">
        <v>320</v>
      </c>
    </row>
    <row r="352" spans="1:22" x14ac:dyDescent="0.25">
      <c r="A352" s="49">
        <v>4705</v>
      </c>
      <c r="B352" s="49" t="s">
        <v>39</v>
      </c>
      <c r="C352" s="49" t="s">
        <v>177</v>
      </c>
      <c r="D352" s="49" t="s">
        <v>81</v>
      </c>
      <c r="E352" s="49" t="s">
        <v>172</v>
      </c>
      <c r="F352" s="49">
        <v>2016</v>
      </c>
      <c r="G352" s="50">
        <v>42668.791666666664</v>
      </c>
      <c r="H352" s="50">
        <v>42681.958333333336</v>
      </c>
      <c r="I352" s="54">
        <v>42668</v>
      </c>
      <c r="J352" s="54">
        <v>42681</v>
      </c>
      <c r="K352" s="51" t="s">
        <v>526</v>
      </c>
      <c r="L352" s="51">
        <v>0.95833333333333337</v>
      </c>
      <c r="M352" s="51" t="s">
        <v>541</v>
      </c>
      <c r="N352" s="51" t="s">
        <v>536</v>
      </c>
      <c r="O352" s="51" t="s">
        <v>524</v>
      </c>
      <c r="P352" s="49" t="s">
        <v>23</v>
      </c>
      <c r="Q352" s="49" t="s">
        <v>35</v>
      </c>
      <c r="R352" s="49" t="s">
        <v>109</v>
      </c>
      <c r="S352" s="49">
        <v>2</v>
      </c>
      <c r="T352" s="49">
        <v>11</v>
      </c>
      <c r="U352" s="63">
        <v>43</v>
      </c>
      <c r="V352" s="63">
        <v>473</v>
      </c>
    </row>
    <row r="353" spans="1:22" x14ac:dyDescent="0.25">
      <c r="A353" s="49">
        <v>4706</v>
      </c>
      <c r="B353" s="49" t="s">
        <v>17</v>
      </c>
      <c r="C353" s="49" t="s">
        <v>176</v>
      </c>
      <c r="D353" s="49" t="s">
        <v>80</v>
      </c>
      <c r="E353" s="49" t="s">
        <v>173</v>
      </c>
      <c r="F353" s="49">
        <v>2016</v>
      </c>
      <c r="G353" s="50">
        <v>42669.583333333336</v>
      </c>
      <c r="H353" s="50">
        <v>42682.75</v>
      </c>
      <c r="I353" s="54">
        <v>42669</v>
      </c>
      <c r="J353" s="54">
        <v>42682</v>
      </c>
      <c r="K353" s="51" t="s">
        <v>527</v>
      </c>
      <c r="L353" s="51">
        <v>0.75</v>
      </c>
      <c r="M353" s="51" t="s">
        <v>542</v>
      </c>
      <c r="N353" s="51" t="s">
        <v>536</v>
      </c>
      <c r="O353" s="51" t="s">
        <v>524</v>
      </c>
      <c r="P353" s="49" t="s">
        <v>23</v>
      </c>
      <c r="Q353" s="49" t="s">
        <v>35</v>
      </c>
      <c r="R353" s="49" t="s">
        <v>109</v>
      </c>
      <c r="S353" s="49">
        <v>2</v>
      </c>
      <c r="T353" s="49">
        <v>10</v>
      </c>
      <c r="U353" s="63">
        <v>32</v>
      </c>
      <c r="V353" s="63">
        <v>320</v>
      </c>
    </row>
    <row r="354" spans="1:22" x14ac:dyDescent="0.25">
      <c r="A354" s="49">
        <v>4707</v>
      </c>
      <c r="B354" s="49" t="s">
        <v>39</v>
      </c>
      <c r="C354" s="49" t="s">
        <v>177</v>
      </c>
      <c r="D354" s="49" t="s">
        <v>80</v>
      </c>
      <c r="E354" s="49" t="s">
        <v>173</v>
      </c>
      <c r="F354" s="49">
        <v>2016</v>
      </c>
      <c r="G354" s="50">
        <v>42670.375</v>
      </c>
      <c r="H354" s="50">
        <v>42676.75</v>
      </c>
      <c r="I354" s="54">
        <v>42670</v>
      </c>
      <c r="J354" s="54">
        <v>42676</v>
      </c>
      <c r="K354" s="51" t="s">
        <v>525</v>
      </c>
      <c r="L354" s="51">
        <v>0.75</v>
      </c>
      <c r="M354" s="51" t="s">
        <v>540</v>
      </c>
      <c r="N354" s="51" t="s">
        <v>536</v>
      </c>
      <c r="O354" s="51" t="s">
        <v>524</v>
      </c>
      <c r="P354" s="49" t="s">
        <v>23</v>
      </c>
      <c r="Q354" s="49" t="s">
        <v>21</v>
      </c>
      <c r="R354" s="49" t="s">
        <v>113</v>
      </c>
      <c r="S354" s="49">
        <v>5</v>
      </c>
      <c r="T354" s="49">
        <v>11</v>
      </c>
      <c r="U354" s="63">
        <v>32</v>
      </c>
      <c r="V354" s="63">
        <v>352</v>
      </c>
    </row>
    <row r="355" spans="1:22" x14ac:dyDescent="0.25">
      <c r="A355" s="49">
        <v>4708</v>
      </c>
      <c r="B355" s="49" t="s">
        <v>19</v>
      </c>
      <c r="C355" s="49" t="s">
        <v>176</v>
      </c>
      <c r="D355" s="49" t="s">
        <v>78</v>
      </c>
      <c r="E355" s="49" t="s">
        <v>172</v>
      </c>
      <c r="F355" s="49">
        <v>2016</v>
      </c>
      <c r="G355" s="50">
        <v>42671.333333333336</v>
      </c>
      <c r="H355" s="50">
        <v>42684.5</v>
      </c>
      <c r="I355" s="54">
        <v>42671</v>
      </c>
      <c r="J355" s="54">
        <v>42684</v>
      </c>
      <c r="K355" s="51" t="s">
        <v>522</v>
      </c>
      <c r="L355" s="51">
        <v>0.5</v>
      </c>
      <c r="M355" s="51" t="s">
        <v>539</v>
      </c>
      <c r="N355" s="51" t="s">
        <v>536</v>
      </c>
      <c r="O355" s="51" t="s">
        <v>524</v>
      </c>
      <c r="P355" s="49" t="s">
        <v>9</v>
      </c>
      <c r="Q355" s="49" t="s">
        <v>190</v>
      </c>
      <c r="R355" s="49" t="s">
        <v>109</v>
      </c>
      <c r="S355" s="49">
        <v>3</v>
      </c>
      <c r="T355" s="49">
        <v>9</v>
      </c>
      <c r="U355" s="63">
        <v>62</v>
      </c>
      <c r="V355" s="63">
        <v>558</v>
      </c>
    </row>
    <row r="356" spans="1:22" x14ac:dyDescent="0.25">
      <c r="A356" s="49">
        <v>4709</v>
      </c>
      <c r="B356" s="49" t="s">
        <v>14</v>
      </c>
      <c r="C356" s="49" t="s">
        <v>175</v>
      </c>
      <c r="D356" s="49" t="s">
        <v>85</v>
      </c>
      <c r="E356" s="49" t="s">
        <v>170</v>
      </c>
      <c r="F356" s="49">
        <v>2016</v>
      </c>
      <c r="G356" s="50">
        <v>42672.375</v>
      </c>
      <c r="H356" s="50">
        <v>42677.75</v>
      </c>
      <c r="I356" s="54">
        <v>42672</v>
      </c>
      <c r="J356" s="54">
        <v>42677</v>
      </c>
      <c r="K356" s="51" t="s">
        <v>525</v>
      </c>
      <c r="L356" s="51">
        <v>0.75</v>
      </c>
      <c r="M356" s="51" t="s">
        <v>540</v>
      </c>
      <c r="N356" s="51" t="s">
        <v>536</v>
      </c>
      <c r="O356" s="51" t="s">
        <v>524</v>
      </c>
      <c r="P356" s="49" t="s">
        <v>9</v>
      </c>
      <c r="Q356" s="49" t="s">
        <v>37</v>
      </c>
      <c r="R356" s="49" t="s">
        <v>113</v>
      </c>
      <c r="S356" s="49">
        <v>5</v>
      </c>
      <c r="T356" s="49">
        <v>10</v>
      </c>
      <c r="U356" s="63">
        <v>48</v>
      </c>
      <c r="V356" s="63">
        <v>480</v>
      </c>
    </row>
    <row r="357" spans="1:22" x14ac:dyDescent="0.25">
      <c r="A357" s="49">
        <v>4710</v>
      </c>
      <c r="B357" s="49" t="s">
        <v>7</v>
      </c>
      <c r="C357" s="49" t="s">
        <v>175</v>
      </c>
      <c r="D357" s="49" t="s">
        <v>81</v>
      </c>
      <c r="E357" s="49" t="s">
        <v>172</v>
      </c>
      <c r="F357" s="49">
        <v>2016</v>
      </c>
      <c r="G357" s="50">
        <v>42674.791666666664</v>
      </c>
      <c r="H357" s="50">
        <v>42685.958333333336</v>
      </c>
      <c r="I357" s="54">
        <v>42674</v>
      </c>
      <c r="J357" s="54">
        <v>42685</v>
      </c>
      <c r="K357" s="51" t="s">
        <v>526</v>
      </c>
      <c r="L357" s="51">
        <v>0.95833333333333337</v>
      </c>
      <c r="M357" s="51" t="s">
        <v>541</v>
      </c>
      <c r="N357" s="51" t="s">
        <v>536</v>
      </c>
      <c r="O357" s="51" t="s">
        <v>524</v>
      </c>
      <c r="P357" s="49" t="s">
        <v>23</v>
      </c>
      <c r="Q357" s="49" t="s">
        <v>16</v>
      </c>
      <c r="R357" s="49" t="s">
        <v>109</v>
      </c>
      <c r="S357" s="49">
        <v>2</v>
      </c>
      <c r="T357" s="49">
        <v>10</v>
      </c>
      <c r="U357" s="63">
        <v>43</v>
      </c>
      <c r="V357" s="63">
        <v>430</v>
      </c>
    </row>
    <row r="358" spans="1:22" x14ac:dyDescent="0.25">
      <c r="A358" s="49">
        <v>4711</v>
      </c>
      <c r="B358" s="49" t="s">
        <v>14</v>
      </c>
      <c r="C358" s="49" t="s">
        <v>175</v>
      </c>
      <c r="D358" s="49" t="s">
        <v>78</v>
      </c>
      <c r="E358" s="49" t="s">
        <v>172</v>
      </c>
      <c r="F358" s="49">
        <v>2016</v>
      </c>
      <c r="G358" s="50">
        <v>42674.791666666664</v>
      </c>
      <c r="H358" s="50">
        <v>42685.958333333336</v>
      </c>
      <c r="I358" s="54">
        <v>42674</v>
      </c>
      <c r="J358" s="54">
        <v>42685</v>
      </c>
      <c r="K358" s="51" t="s">
        <v>526</v>
      </c>
      <c r="L358" s="51">
        <v>0.95833333333333337</v>
      </c>
      <c r="M358" s="51" t="s">
        <v>541</v>
      </c>
      <c r="N358" s="51" t="s">
        <v>536</v>
      </c>
      <c r="O358" s="51" t="s">
        <v>524</v>
      </c>
      <c r="P358" s="49" t="s">
        <v>23</v>
      </c>
      <c r="Q358" s="49" t="s">
        <v>12</v>
      </c>
      <c r="R358" s="49" t="s">
        <v>113</v>
      </c>
      <c r="S358" s="49">
        <v>5</v>
      </c>
      <c r="T358" s="49">
        <v>12</v>
      </c>
      <c r="U358" s="63">
        <v>62</v>
      </c>
      <c r="V358" s="63">
        <v>744</v>
      </c>
    </row>
    <row r="359" spans="1:22" x14ac:dyDescent="0.25">
      <c r="A359" s="49">
        <v>4712</v>
      </c>
      <c r="B359" s="49" t="s">
        <v>29</v>
      </c>
      <c r="C359" s="49" t="s">
        <v>177</v>
      </c>
      <c r="D359" s="49" t="s">
        <v>88</v>
      </c>
      <c r="E359" s="49" t="s">
        <v>170</v>
      </c>
      <c r="F359" s="49">
        <v>2016</v>
      </c>
      <c r="G359" s="50">
        <v>42675.791666666664</v>
      </c>
      <c r="H359" s="50">
        <v>42688.958333333336</v>
      </c>
      <c r="I359" s="54">
        <v>42675</v>
      </c>
      <c r="J359" s="54">
        <v>42688</v>
      </c>
      <c r="K359" s="51" t="s">
        <v>526</v>
      </c>
      <c r="L359" s="51">
        <v>0.95833333333333337</v>
      </c>
      <c r="M359" s="51" t="s">
        <v>541</v>
      </c>
      <c r="N359" s="51" t="s">
        <v>537</v>
      </c>
      <c r="O359" s="51" t="s">
        <v>524</v>
      </c>
      <c r="P359" s="49" t="s">
        <v>9</v>
      </c>
      <c r="Q359" s="49" t="s">
        <v>38</v>
      </c>
      <c r="R359" s="49" t="s">
        <v>113</v>
      </c>
      <c r="S359" s="49">
        <v>3</v>
      </c>
      <c r="T359" s="49">
        <v>9</v>
      </c>
      <c r="U359" s="63">
        <v>42</v>
      </c>
      <c r="V359" s="63">
        <v>378</v>
      </c>
    </row>
    <row r="360" spans="1:22" x14ac:dyDescent="0.25">
      <c r="A360" s="49">
        <v>4713</v>
      </c>
      <c r="B360" s="49" t="s">
        <v>17</v>
      </c>
      <c r="C360" s="49" t="s">
        <v>176</v>
      </c>
      <c r="D360" s="49" t="s">
        <v>76</v>
      </c>
      <c r="E360" s="49" t="s">
        <v>174</v>
      </c>
      <c r="F360" s="49">
        <v>2016</v>
      </c>
      <c r="G360" s="50">
        <v>42676.583333333336</v>
      </c>
      <c r="H360" s="50">
        <v>42689.75</v>
      </c>
      <c r="I360" s="54">
        <v>42676</v>
      </c>
      <c r="J360" s="54">
        <v>42689</v>
      </c>
      <c r="K360" s="51" t="s">
        <v>527</v>
      </c>
      <c r="L360" s="51">
        <v>0.75</v>
      </c>
      <c r="M360" s="51" t="s">
        <v>542</v>
      </c>
      <c r="N360" s="51" t="s">
        <v>537</v>
      </c>
      <c r="O360" s="51" t="s">
        <v>524</v>
      </c>
      <c r="P360" s="49" t="s">
        <v>9</v>
      </c>
      <c r="Q360" s="49" t="s">
        <v>22</v>
      </c>
      <c r="R360" s="49" t="s">
        <v>109</v>
      </c>
      <c r="S360" s="49">
        <v>4</v>
      </c>
      <c r="T360" s="49">
        <v>10</v>
      </c>
      <c r="U360" s="63">
        <v>53</v>
      </c>
      <c r="V360" s="63">
        <v>530</v>
      </c>
    </row>
    <row r="361" spans="1:22" x14ac:dyDescent="0.25">
      <c r="A361" s="49">
        <v>4714</v>
      </c>
      <c r="B361" s="49" t="s">
        <v>14</v>
      </c>
      <c r="C361" s="49" t="s">
        <v>175</v>
      </c>
      <c r="D361" s="49" t="s">
        <v>79</v>
      </c>
      <c r="E361" s="49" t="s">
        <v>168</v>
      </c>
      <c r="F361" s="49">
        <v>2016</v>
      </c>
      <c r="G361" s="50">
        <v>42677.375</v>
      </c>
      <c r="H361" s="50">
        <v>42683.75</v>
      </c>
      <c r="I361" s="54">
        <v>42677</v>
      </c>
      <c r="J361" s="54">
        <v>42683</v>
      </c>
      <c r="K361" s="51" t="s">
        <v>525</v>
      </c>
      <c r="L361" s="51">
        <v>0.75</v>
      </c>
      <c r="M361" s="51" t="s">
        <v>540</v>
      </c>
      <c r="N361" s="51" t="s">
        <v>537</v>
      </c>
      <c r="O361" s="51" t="s">
        <v>524</v>
      </c>
      <c r="P361" s="49" t="s">
        <v>23</v>
      </c>
      <c r="Q361" s="49" t="s">
        <v>22</v>
      </c>
      <c r="R361" s="49" t="s">
        <v>109</v>
      </c>
      <c r="S361" s="49">
        <v>2</v>
      </c>
      <c r="T361" s="49">
        <v>12</v>
      </c>
      <c r="U361" s="63">
        <v>48</v>
      </c>
      <c r="V361" s="63">
        <v>576</v>
      </c>
    </row>
    <row r="362" spans="1:22" x14ac:dyDescent="0.25">
      <c r="A362" s="49">
        <v>4715</v>
      </c>
      <c r="B362" s="49" t="s">
        <v>19</v>
      </c>
      <c r="C362" s="49" t="s">
        <v>176</v>
      </c>
      <c r="D362" s="49" t="s">
        <v>85</v>
      </c>
      <c r="E362" s="49" t="s">
        <v>170</v>
      </c>
      <c r="F362" s="49">
        <v>2016</v>
      </c>
      <c r="G362" s="50">
        <v>42678.333333333336</v>
      </c>
      <c r="H362" s="50">
        <v>42691.5</v>
      </c>
      <c r="I362" s="54">
        <v>42678</v>
      </c>
      <c r="J362" s="54">
        <v>42691</v>
      </c>
      <c r="K362" s="51" t="s">
        <v>522</v>
      </c>
      <c r="L362" s="51">
        <v>0.5</v>
      </c>
      <c r="M362" s="51" t="s">
        <v>539</v>
      </c>
      <c r="N362" s="51" t="s">
        <v>537</v>
      </c>
      <c r="O362" s="51" t="s">
        <v>524</v>
      </c>
      <c r="P362" s="49" t="s">
        <v>23</v>
      </c>
      <c r="Q362" s="49" t="s">
        <v>190</v>
      </c>
      <c r="R362" s="49" t="s">
        <v>109</v>
      </c>
      <c r="S362" s="49">
        <v>4</v>
      </c>
      <c r="T362" s="49">
        <v>8</v>
      </c>
      <c r="U362" s="63">
        <v>48</v>
      </c>
      <c r="V362" s="63">
        <v>384</v>
      </c>
    </row>
    <row r="363" spans="1:22" x14ac:dyDescent="0.25">
      <c r="A363" s="49">
        <v>4716</v>
      </c>
      <c r="B363" s="49" t="s">
        <v>39</v>
      </c>
      <c r="C363" s="49" t="s">
        <v>177</v>
      </c>
      <c r="D363" s="49" t="s">
        <v>80</v>
      </c>
      <c r="E363" s="49" t="s">
        <v>173</v>
      </c>
      <c r="F363" s="49">
        <v>2016</v>
      </c>
      <c r="G363" s="50">
        <v>42679.375</v>
      </c>
      <c r="H363" s="50">
        <v>42684.75</v>
      </c>
      <c r="I363" s="54">
        <v>42679</v>
      </c>
      <c r="J363" s="54">
        <v>42684</v>
      </c>
      <c r="K363" s="51" t="s">
        <v>525</v>
      </c>
      <c r="L363" s="51">
        <v>0.75</v>
      </c>
      <c r="M363" s="51" t="s">
        <v>540</v>
      </c>
      <c r="N363" s="51" t="s">
        <v>537</v>
      </c>
      <c r="O363" s="51" t="s">
        <v>524</v>
      </c>
      <c r="P363" s="49" t="s">
        <v>23</v>
      </c>
      <c r="Q363" s="49" t="s">
        <v>38</v>
      </c>
      <c r="R363" s="49" t="s">
        <v>113</v>
      </c>
      <c r="S363" s="49">
        <v>4</v>
      </c>
      <c r="T363" s="49">
        <v>9</v>
      </c>
      <c r="U363" s="63">
        <v>32</v>
      </c>
      <c r="V363" s="63">
        <v>288</v>
      </c>
    </row>
    <row r="364" spans="1:22" x14ac:dyDescent="0.25">
      <c r="A364" s="49">
        <v>4717</v>
      </c>
      <c r="B364" s="49" t="s">
        <v>29</v>
      </c>
      <c r="C364" s="49" t="s">
        <v>177</v>
      </c>
      <c r="D364" s="49" t="s">
        <v>80</v>
      </c>
      <c r="E364" s="49" t="s">
        <v>173</v>
      </c>
      <c r="F364" s="49">
        <v>2016</v>
      </c>
      <c r="G364" s="50">
        <v>42681.791666666664</v>
      </c>
      <c r="H364" s="50">
        <v>42692.958333333336</v>
      </c>
      <c r="I364" s="54">
        <v>42681</v>
      </c>
      <c r="J364" s="54">
        <v>42692</v>
      </c>
      <c r="K364" s="51" t="s">
        <v>526</v>
      </c>
      <c r="L364" s="51">
        <v>0.95833333333333337</v>
      </c>
      <c r="M364" s="51" t="s">
        <v>541</v>
      </c>
      <c r="N364" s="51" t="s">
        <v>537</v>
      </c>
      <c r="O364" s="51" t="s">
        <v>524</v>
      </c>
      <c r="P364" s="49" t="s">
        <v>23</v>
      </c>
      <c r="Q364" s="49" t="s">
        <v>38</v>
      </c>
      <c r="R364" s="49" t="s">
        <v>113</v>
      </c>
      <c r="S364" s="49">
        <v>4</v>
      </c>
      <c r="T364" s="49">
        <v>12</v>
      </c>
      <c r="U364" s="63">
        <v>32</v>
      </c>
      <c r="V364" s="63">
        <v>384</v>
      </c>
    </row>
    <row r="365" spans="1:22" x14ac:dyDescent="0.25">
      <c r="A365" s="49">
        <v>4718</v>
      </c>
      <c r="B365" s="49" t="s">
        <v>7</v>
      </c>
      <c r="C365" s="49" t="s">
        <v>175</v>
      </c>
      <c r="D365" s="49" t="s">
        <v>84</v>
      </c>
      <c r="E365" s="49" t="s">
        <v>172</v>
      </c>
      <c r="F365" s="49">
        <v>2016</v>
      </c>
      <c r="G365" s="50">
        <v>42681.791666666664</v>
      </c>
      <c r="H365" s="50">
        <v>42692.958333333336</v>
      </c>
      <c r="I365" s="54">
        <v>42681</v>
      </c>
      <c r="J365" s="54">
        <v>42692</v>
      </c>
      <c r="K365" s="51" t="s">
        <v>526</v>
      </c>
      <c r="L365" s="51">
        <v>0.95833333333333337</v>
      </c>
      <c r="M365" s="51" t="s">
        <v>541</v>
      </c>
      <c r="N365" s="51" t="s">
        <v>537</v>
      </c>
      <c r="O365" s="51" t="s">
        <v>524</v>
      </c>
      <c r="P365" s="49" t="s">
        <v>23</v>
      </c>
      <c r="Q365" s="49" t="s">
        <v>190</v>
      </c>
      <c r="R365" s="49" t="s">
        <v>109</v>
      </c>
      <c r="S365" s="49">
        <v>2</v>
      </c>
      <c r="T365" s="49">
        <v>10</v>
      </c>
      <c r="U365" s="63">
        <v>52</v>
      </c>
      <c r="V365" s="63">
        <v>520</v>
      </c>
    </row>
    <row r="366" spans="1:22" x14ac:dyDescent="0.25">
      <c r="A366" s="49">
        <v>4719</v>
      </c>
      <c r="B366" s="49" t="s">
        <v>17</v>
      </c>
      <c r="C366" s="49" t="s">
        <v>176</v>
      </c>
      <c r="D366" s="49" t="s">
        <v>81</v>
      </c>
      <c r="E366" s="49" t="s">
        <v>172</v>
      </c>
      <c r="F366" s="49">
        <v>2016</v>
      </c>
      <c r="G366" s="50">
        <v>42682.791666666664</v>
      </c>
      <c r="H366" s="50">
        <v>42695.958333333336</v>
      </c>
      <c r="I366" s="54">
        <v>42682</v>
      </c>
      <c r="J366" s="54">
        <v>42695</v>
      </c>
      <c r="K366" s="51" t="s">
        <v>526</v>
      </c>
      <c r="L366" s="51">
        <v>0.95833333333333337</v>
      </c>
      <c r="M366" s="51" t="s">
        <v>541</v>
      </c>
      <c r="N366" s="51" t="s">
        <v>537</v>
      </c>
      <c r="O366" s="51" t="s">
        <v>524</v>
      </c>
      <c r="P366" s="49" t="s">
        <v>9</v>
      </c>
      <c r="Q366" s="49" t="s">
        <v>28</v>
      </c>
      <c r="R366" s="49" t="s">
        <v>109</v>
      </c>
      <c r="S366" s="49">
        <v>2</v>
      </c>
      <c r="T366" s="49">
        <v>9</v>
      </c>
      <c r="U366" s="63">
        <v>43</v>
      </c>
      <c r="V366" s="63">
        <v>387</v>
      </c>
    </row>
    <row r="367" spans="1:22" x14ac:dyDescent="0.25">
      <c r="A367" s="49">
        <v>4720</v>
      </c>
      <c r="B367" s="49" t="s">
        <v>11</v>
      </c>
      <c r="C367" s="49" t="s">
        <v>175</v>
      </c>
      <c r="D367" s="49" t="s">
        <v>89</v>
      </c>
      <c r="E367" s="49" t="s">
        <v>169</v>
      </c>
      <c r="F367" s="49">
        <v>2016</v>
      </c>
      <c r="G367" s="50">
        <v>42683.583333333336</v>
      </c>
      <c r="H367" s="50">
        <v>42696.75</v>
      </c>
      <c r="I367" s="54">
        <v>42683</v>
      </c>
      <c r="J367" s="54">
        <v>42696</v>
      </c>
      <c r="K367" s="51" t="s">
        <v>527</v>
      </c>
      <c r="L367" s="51">
        <v>0.75</v>
      </c>
      <c r="M367" s="51" t="s">
        <v>542</v>
      </c>
      <c r="N367" s="51" t="s">
        <v>537</v>
      </c>
      <c r="O367" s="51" t="s">
        <v>524</v>
      </c>
      <c r="P367" s="49" t="s">
        <v>23</v>
      </c>
      <c r="Q367" s="49" t="s">
        <v>35</v>
      </c>
      <c r="R367" s="49" t="s">
        <v>109</v>
      </c>
      <c r="S367" s="49">
        <v>3</v>
      </c>
      <c r="T367" s="49">
        <v>11</v>
      </c>
      <c r="U367" s="63">
        <v>62</v>
      </c>
      <c r="V367" s="63">
        <v>682</v>
      </c>
    </row>
    <row r="368" spans="1:22" x14ac:dyDescent="0.25">
      <c r="A368" s="49">
        <v>4721</v>
      </c>
      <c r="B368" s="49" t="s">
        <v>39</v>
      </c>
      <c r="C368" s="49" t="s">
        <v>177</v>
      </c>
      <c r="D368" s="49" t="s">
        <v>80</v>
      </c>
      <c r="E368" s="49" t="s">
        <v>173</v>
      </c>
      <c r="F368" s="49">
        <v>2016</v>
      </c>
      <c r="G368" s="50">
        <v>42684.375</v>
      </c>
      <c r="H368" s="50">
        <v>42690.75</v>
      </c>
      <c r="I368" s="54">
        <v>42684</v>
      </c>
      <c r="J368" s="54">
        <v>42690</v>
      </c>
      <c r="K368" s="51" t="s">
        <v>525</v>
      </c>
      <c r="L368" s="51">
        <v>0.75</v>
      </c>
      <c r="M368" s="51" t="s">
        <v>540</v>
      </c>
      <c r="N368" s="51" t="s">
        <v>537</v>
      </c>
      <c r="O368" s="51" t="s">
        <v>524</v>
      </c>
      <c r="P368" s="49" t="s">
        <v>9</v>
      </c>
      <c r="Q368" s="49" t="s">
        <v>16</v>
      </c>
      <c r="R368" s="49" t="s">
        <v>109</v>
      </c>
      <c r="S368" s="49">
        <v>3</v>
      </c>
      <c r="T368" s="49">
        <v>9</v>
      </c>
      <c r="U368" s="63">
        <v>32</v>
      </c>
      <c r="V368" s="63">
        <v>288</v>
      </c>
    </row>
    <row r="369" spans="1:22" x14ac:dyDescent="0.25">
      <c r="A369" s="49">
        <v>4722</v>
      </c>
      <c r="B369" s="49" t="s">
        <v>29</v>
      </c>
      <c r="C369" s="49" t="s">
        <v>177</v>
      </c>
      <c r="D369" s="49" t="s">
        <v>86</v>
      </c>
      <c r="E369" s="49" t="s">
        <v>169</v>
      </c>
      <c r="F369" s="49">
        <v>2016</v>
      </c>
      <c r="G369" s="50">
        <v>42685.333333333336</v>
      </c>
      <c r="H369" s="50">
        <v>42698.5</v>
      </c>
      <c r="I369" s="54">
        <v>42685</v>
      </c>
      <c r="J369" s="54">
        <v>42698</v>
      </c>
      <c r="K369" s="51" t="s">
        <v>522</v>
      </c>
      <c r="L369" s="51">
        <v>0.5</v>
      </c>
      <c r="M369" s="51" t="s">
        <v>539</v>
      </c>
      <c r="N369" s="51" t="s">
        <v>537</v>
      </c>
      <c r="O369" s="51" t="s">
        <v>524</v>
      </c>
      <c r="P369" s="49" t="s">
        <v>9</v>
      </c>
      <c r="Q369" s="49" t="s">
        <v>16</v>
      </c>
      <c r="R369" s="49" t="s">
        <v>109</v>
      </c>
      <c r="S369" s="49">
        <v>4</v>
      </c>
      <c r="T369" s="49">
        <v>10</v>
      </c>
      <c r="U369" s="63">
        <v>48</v>
      </c>
      <c r="V369" s="63">
        <v>480</v>
      </c>
    </row>
    <row r="370" spans="1:22" x14ac:dyDescent="0.25">
      <c r="A370" s="49">
        <v>4723</v>
      </c>
      <c r="B370" s="49" t="s">
        <v>17</v>
      </c>
      <c r="C370" s="49" t="s">
        <v>176</v>
      </c>
      <c r="D370" s="49" t="s">
        <v>80</v>
      </c>
      <c r="E370" s="49" t="s">
        <v>173</v>
      </c>
      <c r="F370" s="49">
        <v>2016</v>
      </c>
      <c r="G370" s="50">
        <v>42686.375</v>
      </c>
      <c r="H370" s="50">
        <v>42691.75</v>
      </c>
      <c r="I370" s="54">
        <v>42686</v>
      </c>
      <c r="J370" s="54">
        <v>42691</v>
      </c>
      <c r="K370" s="51" t="s">
        <v>525</v>
      </c>
      <c r="L370" s="51">
        <v>0.75</v>
      </c>
      <c r="M370" s="51" t="s">
        <v>540</v>
      </c>
      <c r="N370" s="51" t="s">
        <v>537</v>
      </c>
      <c r="O370" s="51" t="s">
        <v>524</v>
      </c>
      <c r="P370" s="49" t="s">
        <v>9</v>
      </c>
      <c r="Q370" s="49" t="s">
        <v>18</v>
      </c>
      <c r="R370" s="49" t="s">
        <v>113</v>
      </c>
      <c r="S370" s="49">
        <v>4</v>
      </c>
      <c r="T370" s="49">
        <v>12</v>
      </c>
      <c r="U370" s="63">
        <v>32</v>
      </c>
      <c r="V370" s="63">
        <v>384</v>
      </c>
    </row>
    <row r="371" spans="1:22" x14ac:dyDescent="0.25">
      <c r="A371" s="49">
        <v>4724</v>
      </c>
      <c r="B371" s="49" t="s">
        <v>22</v>
      </c>
      <c r="C371" s="49" t="s">
        <v>176</v>
      </c>
      <c r="D371" s="49" t="s">
        <v>80</v>
      </c>
      <c r="E371" s="49" t="s">
        <v>173</v>
      </c>
      <c r="F371" s="49">
        <v>2016</v>
      </c>
      <c r="G371" s="50">
        <v>42688.791666666664</v>
      </c>
      <c r="H371" s="50">
        <v>42699.958333333336</v>
      </c>
      <c r="I371" s="54">
        <v>42688</v>
      </c>
      <c r="J371" s="54">
        <v>42699</v>
      </c>
      <c r="K371" s="51" t="s">
        <v>526</v>
      </c>
      <c r="L371" s="51">
        <v>0.95833333333333337</v>
      </c>
      <c r="M371" s="51" t="s">
        <v>541</v>
      </c>
      <c r="N371" s="51" t="s">
        <v>537</v>
      </c>
      <c r="O371" s="51" t="s">
        <v>524</v>
      </c>
      <c r="P371" s="49" t="s">
        <v>9</v>
      </c>
      <c r="Q371" s="49" t="s">
        <v>35</v>
      </c>
      <c r="R371" s="49" t="s">
        <v>109</v>
      </c>
      <c r="S371" s="49">
        <v>4</v>
      </c>
      <c r="T371" s="49">
        <v>12</v>
      </c>
      <c r="U371" s="63">
        <v>32</v>
      </c>
      <c r="V371" s="63">
        <v>384</v>
      </c>
    </row>
    <row r="372" spans="1:22" x14ac:dyDescent="0.25">
      <c r="A372" s="49">
        <v>4725</v>
      </c>
      <c r="B372" s="49" t="s">
        <v>17</v>
      </c>
      <c r="C372" s="49" t="s">
        <v>176</v>
      </c>
      <c r="D372" s="49" t="s">
        <v>84</v>
      </c>
      <c r="E372" s="49" t="s">
        <v>172</v>
      </c>
      <c r="F372" s="49">
        <v>2016</v>
      </c>
      <c r="G372" s="50">
        <v>42688.791666666664</v>
      </c>
      <c r="H372" s="50">
        <v>42699.958333333336</v>
      </c>
      <c r="I372" s="54">
        <v>42688</v>
      </c>
      <c r="J372" s="54">
        <v>42699</v>
      </c>
      <c r="K372" s="51" t="s">
        <v>526</v>
      </c>
      <c r="L372" s="51">
        <v>0.95833333333333337</v>
      </c>
      <c r="M372" s="51" t="s">
        <v>541</v>
      </c>
      <c r="N372" s="51" t="s">
        <v>537</v>
      </c>
      <c r="O372" s="51" t="s">
        <v>524</v>
      </c>
      <c r="P372" s="49" t="s">
        <v>9</v>
      </c>
      <c r="Q372" s="49" t="s">
        <v>190</v>
      </c>
      <c r="R372" s="49" t="s">
        <v>109</v>
      </c>
      <c r="S372" s="49">
        <v>4</v>
      </c>
      <c r="T372" s="49">
        <v>11</v>
      </c>
      <c r="U372" s="63">
        <v>52</v>
      </c>
      <c r="V372" s="63">
        <v>572</v>
      </c>
    </row>
    <row r="373" spans="1:22" x14ac:dyDescent="0.25">
      <c r="A373" s="49">
        <v>4726</v>
      </c>
      <c r="B373" s="49" t="s">
        <v>11</v>
      </c>
      <c r="C373" s="49" t="s">
        <v>175</v>
      </c>
      <c r="D373" s="49" t="s">
        <v>89</v>
      </c>
      <c r="E373" s="49" t="s">
        <v>169</v>
      </c>
      <c r="F373" s="49">
        <v>2016</v>
      </c>
      <c r="G373" s="50">
        <v>42689.791666666664</v>
      </c>
      <c r="H373" s="50">
        <v>42702.958333333336</v>
      </c>
      <c r="I373" s="54">
        <v>42689</v>
      </c>
      <c r="J373" s="54">
        <v>42702</v>
      </c>
      <c r="K373" s="51" t="s">
        <v>526</v>
      </c>
      <c r="L373" s="51">
        <v>0.95833333333333337</v>
      </c>
      <c r="M373" s="51" t="s">
        <v>541</v>
      </c>
      <c r="N373" s="51" t="s">
        <v>537</v>
      </c>
      <c r="O373" s="51" t="s">
        <v>524</v>
      </c>
      <c r="P373" s="49" t="s">
        <v>23</v>
      </c>
      <c r="Q373" s="49" t="s">
        <v>31</v>
      </c>
      <c r="R373" s="49" t="s">
        <v>113</v>
      </c>
      <c r="S373" s="49">
        <v>2</v>
      </c>
      <c r="T373" s="49">
        <v>9</v>
      </c>
      <c r="U373" s="63">
        <v>62</v>
      </c>
      <c r="V373" s="63">
        <v>558</v>
      </c>
    </row>
    <row r="374" spans="1:22" x14ac:dyDescent="0.25">
      <c r="A374" s="49">
        <v>4727</v>
      </c>
      <c r="B374" s="49" t="s">
        <v>7</v>
      </c>
      <c r="C374" s="49" t="s">
        <v>175</v>
      </c>
      <c r="D374" s="49" t="s">
        <v>77</v>
      </c>
      <c r="E374" s="49" t="s">
        <v>172</v>
      </c>
      <c r="F374" s="49">
        <v>2016</v>
      </c>
      <c r="G374" s="50">
        <v>42690.583333333336</v>
      </c>
      <c r="H374" s="50">
        <v>42703.75</v>
      </c>
      <c r="I374" s="54">
        <v>42690</v>
      </c>
      <c r="J374" s="54">
        <v>42703</v>
      </c>
      <c r="K374" s="51" t="s">
        <v>527</v>
      </c>
      <c r="L374" s="51">
        <v>0.75</v>
      </c>
      <c r="M374" s="51" t="s">
        <v>542</v>
      </c>
      <c r="N374" s="51" t="s">
        <v>537</v>
      </c>
      <c r="O374" s="51" t="s">
        <v>524</v>
      </c>
      <c r="P374" s="49" t="s">
        <v>9</v>
      </c>
      <c r="Q374" s="49" t="s">
        <v>38</v>
      </c>
      <c r="R374" s="49" t="s">
        <v>113</v>
      </c>
      <c r="S374" s="49">
        <v>3</v>
      </c>
      <c r="T374" s="49">
        <v>10</v>
      </c>
      <c r="U374" s="63">
        <v>35</v>
      </c>
      <c r="V374" s="63">
        <v>350</v>
      </c>
    </row>
    <row r="375" spans="1:22" x14ac:dyDescent="0.25">
      <c r="A375" s="49">
        <v>4728</v>
      </c>
      <c r="B375" s="49" t="s">
        <v>19</v>
      </c>
      <c r="C375" s="49" t="s">
        <v>176</v>
      </c>
      <c r="D375" s="49" t="s">
        <v>79</v>
      </c>
      <c r="E375" s="49" t="s">
        <v>168</v>
      </c>
      <c r="F375" s="49">
        <v>2016</v>
      </c>
      <c r="G375" s="50">
        <v>42691.375</v>
      </c>
      <c r="H375" s="50">
        <v>42697.75</v>
      </c>
      <c r="I375" s="54">
        <v>42691</v>
      </c>
      <c r="J375" s="54">
        <v>42697</v>
      </c>
      <c r="K375" s="51" t="s">
        <v>525</v>
      </c>
      <c r="L375" s="51">
        <v>0.75</v>
      </c>
      <c r="M375" s="51" t="s">
        <v>540</v>
      </c>
      <c r="N375" s="51" t="s">
        <v>537</v>
      </c>
      <c r="O375" s="51" t="s">
        <v>524</v>
      </c>
      <c r="P375" s="49" t="s">
        <v>9</v>
      </c>
      <c r="Q375" s="49" t="s">
        <v>37</v>
      </c>
      <c r="R375" s="49" t="s">
        <v>113</v>
      </c>
      <c r="S375" s="49">
        <v>3</v>
      </c>
      <c r="T375" s="49">
        <v>12</v>
      </c>
      <c r="U375" s="63">
        <v>48</v>
      </c>
      <c r="V375" s="63">
        <v>576</v>
      </c>
    </row>
    <row r="376" spans="1:22" x14ac:dyDescent="0.25">
      <c r="A376" s="49">
        <v>4729</v>
      </c>
      <c r="B376" s="49" t="s">
        <v>22</v>
      </c>
      <c r="C376" s="49" t="s">
        <v>176</v>
      </c>
      <c r="D376" s="49" t="s">
        <v>80</v>
      </c>
      <c r="E376" s="49" t="s">
        <v>173</v>
      </c>
      <c r="F376" s="49">
        <v>2016</v>
      </c>
      <c r="G376" s="50">
        <v>42692.333333333336</v>
      </c>
      <c r="H376" s="50">
        <v>42705.5</v>
      </c>
      <c r="I376" s="54">
        <v>42692</v>
      </c>
      <c r="J376" s="54">
        <v>42705</v>
      </c>
      <c r="K376" s="51" t="s">
        <v>522</v>
      </c>
      <c r="L376" s="51">
        <v>0.5</v>
      </c>
      <c r="M376" s="51" t="s">
        <v>539</v>
      </c>
      <c r="N376" s="51" t="s">
        <v>537</v>
      </c>
      <c r="O376" s="51" t="s">
        <v>524</v>
      </c>
      <c r="P376" s="49" t="s">
        <v>23</v>
      </c>
      <c r="Q376" s="49" t="s">
        <v>190</v>
      </c>
      <c r="R376" s="49" t="s">
        <v>109</v>
      </c>
      <c r="S376" s="49">
        <v>3</v>
      </c>
      <c r="T376" s="49">
        <v>11</v>
      </c>
      <c r="U376" s="63">
        <v>32</v>
      </c>
      <c r="V376" s="63">
        <v>352</v>
      </c>
    </row>
    <row r="377" spans="1:22" x14ac:dyDescent="0.25">
      <c r="A377" s="49">
        <v>4730</v>
      </c>
      <c r="B377" s="49" t="s">
        <v>39</v>
      </c>
      <c r="C377" s="49" t="s">
        <v>177</v>
      </c>
      <c r="D377" s="49" t="s">
        <v>82</v>
      </c>
      <c r="E377" s="49" t="s">
        <v>172</v>
      </c>
      <c r="F377" s="49">
        <v>2016</v>
      </c>
      <c r="G377" s="50">
        <v>42693.375</v>
      </c>
      <c r="H377" s="50">
        <v>42698.75</v>
      </c>
      <c r="I377" s="54">
        <v>42693</v>
      </c>
      <c r="J377" s="54">
        <v>42698</v>
      </c>
      <c r="K377" s="51" t="s">
        <v>525</v>
      </c>
      <c r="L377" s="51">
        <v>0.75</v>
      </c>
      <c r="M377" s="51" t="s">
        <v>540</v>
      </c>
      <c r="N377" s="51" t="s">
        <v>537</v>
      </c>
      <c r="O377" s="51" t="s">
        <v>524</v>
      </c>
      <c r="P377" s="49" t="s">
        <v>23</v>
      </c>
      <c r="Q377" s="49" t="s">
        <v>35</v>
      </c>
      <c r="R377" s="49" t="s">
        <v>109</v>
      </c>
      <c r="S377" s="49">
        <v>5</v>
      </c>
      <c r="T377" s="49">
        <v>9</v>
      </c>
      <c r="U377" s="63">
        <v>75</v>
      </c>
      <c r="V377" s="63">
        <v>675</v>
      </c>
    </row>
    <row r="378" spans="1:22" x14ac:dyDescent="0.25">
      <c r="A378" s="49">
        <v>4731</v>
      </c>
      <c r="B378" s="49" t="s">
        <v>19</v>
      </c>
      <c r="C378" s="49" t="s">
        <v>176</v>
      </c>
      <c r="D378" s="49" t="s">
        <v>78</v>
      </c>
      <c r="E378" s="49" t="s">
        <v>172</v>
      </c>
      <c r="F378" s="49">
        <v>2016</v>
      </c>
      <c r="G378" s="50">
        <v>42695.791666666664</v>
      </c>
      <c r="H378" s="50">
        <v>42706.958333333336</v>
      </c>
      <c r="I378" s="54">
        <v>42695</v>
      </c>
      <c r="J378" s="54">
        <v>42706</v>
      </c>
      <c r="K378" s="51" t="s">
        <v>526</v>
      </c>
      <c r="L378" s="51">
        <v>0.95833333333333337</v>
      </c>
      <c r="M378" s="51" t="s">
        <v>541</v>
      </c>
      <c r="N378" s="51" t="s">
        <v>537</v>
      </c>
      <c r="O378" s="51" t="s">
        <v>524</v>
      </c>
      <c r="P378" s="49" t="s">
        <v>23</v>
      </c>
      <c r="Q378" s="49" t="s">
        <v>16</v>
      </c>
      <c r="R378" s="49" t="s">
        <v>109</v>
      </c>
      <c r="S378" s="49">
        <v>2</v>
      </c>
      <c r="T378" s="49">
        <v>9</v>
      </c>
      <c r="U378" s="63">
        <v>62</v>
      </c>
      <c r="V378" s="63">
        <v>558</v>
      </c>
    </row>
    <row r="379" spans="1:22" x14ac:dyDescent="0.25">
      <c r="A379" s="49">
        <v>4732</v>
      </c>
      <c r="B379" s="49" t="s">
        <v>29</v>
      </c>
      <c r="C379" s="49" t="s">
        <v>177</v>
      </c>
      <c r="D379" s="49" t="s">
        <v>79</v>
      </c>
      <c r="E379" s="49" t="s">
        <v>168</v>
      </c>
      <c r="F379" s="49">
        <v>2016</v>
      </c>
      <c r="G379" s="50">
        <v>42695.791666666664</v>
      </c>
      <c r="H379" s="50">
        <v>42706.958333333336</v>
      </c>
      <c r="I379" s="54">
        <v>42695</v>
      </c>
      <c r="J379" s="54">
        <v>42706</v>
      </c>
      <c r="K379" s="51" t="s">
        <v>526</v>
      </c>
      <c r="L379" s="51">
        <v>0.95833333333333337</v>
      </c>
      <c r="M379" s="51" t="s">
        <v>541</v>
      </c>
      <c r="N379" s="51" t="s">
        <v>537</v>
      </c>
      <c r="O379" s="51" t="s">
        <v>524</v>
      </c>
      <c r="P379" s="49" t="s">
        <v>23</v>
      </c>
      <c r="Q379" s="49" t="s">
        <v>38</v>
      </c>
      <c r="R379" s="49" t="s">
        <v>113</v>
      </c>
      <c r="S379" s="49" t="s">
        <v>191</v>
      </c>
      <c r="T379" s="49">
        <v>12</v>
      </c>
      <c r="U379" s="63">
        <v>48</v>
      </c>
      <c r="V379" s="63">
        <v>576</v>
      </c>
    </row>
    <row r="380" spans="1:22" x14ac:dyDescent="0.25">
      <c r="A380" s="49">
        <v>4733</v>
      </c>
      <c r="B380" s="49" t="s">
        <v>19</v>
      </c>
      <c r="C380" s="49" t="s">
        <v>176</v>
      </c>
      <c r="D380" s="49" t="s">
        <v>82</v>
      </c>
      <c r="E380" s="49" t="s">
        <v>172</v>
      </c>
      <c r="F380" s="49">
        <v>2016</v>
      </c>
      <c r="G380" s="50">
        <v>42696.791666666664</v>
      </c>
      <c r="H380" s="50">
        <v>42709.958333333336</v>
      </c>
      <c r="I380" s="54">
        <v>42696</v>
      </c>
      <c r="J380" s="54">
        <v>42709</v>
      </c>
      <c r="K380" s="51" t="s">
        <v>526</v>
      </c>
      <c r="L380" s="51">
        <v>0.95833333333333337</v>
      </c>
      <c r="M380" s="51" t="s">
        <v>541</v>
      </c>
      <c r="N380" s="51" t="s">
        <v>537</v>
      </c>
      <c r="O380" s="51" t="s">
        <v>524</v>
      </c>
      <c r="P380" s="49" t="s">
        <v>9</v>
      </c>
      <c r="Q380" s="49" t="s">
        <v>18</v>
      </c>
      <c r="R380" s="49" t="s">
        <v>113</v>
      </c>
      <c r="S380" s="49">
        <v>4</v>
      </c>
      <c r="T380" s="49">
        <v>8</v>
      </c>
      <c r="U380" s="63">
        <v>75</v>
      </c>
      <c r="V380" s="63">
        <v>600</v>
      </c>
    </row>
    <row r="381" spans="1:22" x14ac:dyDescent="0.25">
      <c r="A381" s="49">
        <v>4734</v>
      </c>
      <c r="B381" s="49" t="s">
        <v>14</v>
      </c>
      <c r="C381" s="49" t="s">
        <v>175</v>
      </c>
      <c r="D381" s="49" t="s">
        <v>85</v>
      </c>
      <c r="E381" s="49" t="s">
        <v>170</v>
      </c>
      <c r="F381" s="49">
        <v>2016</v>
      </c>
      <c r="G381" s="50">
        <v>42697.583333333336</v>
      </c>
      <c r="H381" s="50">
        <v>42710.75</v>
      </c>
      <c r="I381" s="54">
        <v>42697</v>
      </c>
      <c r="J381" s="54">
        <v>42710</v>
      </c>
      <c r="K381" s="51" t="s">
        <v>527</v>
      </c>
      <c r="L381" s="51">
        <v>0.75</v>
      </c>
      <c r="M381" s="51" t="s">
        <v>542</v>
      </c>
      <c r="N381" s="51" t="s">
        <v>537</v>
      </c>
      <c r="O381" s="51" t="s">
        <v>524</v>
      </c>
      <c r="P381" s="49" t="s">
        <v>23</v>
      </c>
      <c r="Q381" s="49" t="s">
        <v>26</v>
      </c>
      <c r="R381" s="49" t="s">
        <v>113</v>
      </c>
      <c r="S381" s="49">
        <v>4</v>
      </c>
      <c r="T381" s="49">
        <v>9</v>
      </c>
      <c r="U381" s="63">
        <v>48</v>
      </c>
      <c r="V381" s="63">
        <v>432</v>
      </c>
    </row>
    <row r="382" spans="1:22" x14ac:dyDescent="0.25">
      <c r="A382" s="49">
        <v>4735</v>
      </c>
      <c r="B382" s="49" t="s">
        <v>45</v>
      </c>
      <c r="C382" s="49" t="s">
        <v>177</v>
      </c>
      <c r="D382" s="49" t="s">
        <v>79</v>
      </c>
      <c r="E382" s="49" t="s">
        <v>168</v>
      </c>
      <c r="F382" s="49">
        <v>2016</v>
      </c>
      <c r="G382" s="50">
        <v>42698.375</v>
      </c>
      <c r="H382" s="50">
        <v>42704.75</v>
      </c>
      <c r="I382" s="54">
        <v>42698</v>
      </c>
      <c r="J382" s="54">
        <v>42704</v>
      </c>
      <c r="K382" s="51" t="s">
        <v>525</v>
      </c>
      <c r="L382" s="51">
        <v>0.75</v>
      </c>
      <c r="M382" s="51" t="s">
        <v>540</v>
      </c>
      <c r="N382" s="51" t="s">
        <v>537</v>
      </c>
      <c r="O382" s="51" t="s">
        <v>524</v>
      </c>
      <c r="P382" s="49" t="s">
        <v>23</v>
      </c>
      <c r="Q382" s="49" t="s">
        <v>18</v>
      </c>
      <c r="R382" s="49" t="s">
        <v>113</v>
      </c>
      <c r="S382" s="49">
        <v>5</v>
      </c>
      <c r="T382" s="49">
        <v>10</v>
      </c>
      <c r="U382" s="63">
        <v>48</v>
      </c>
      <c r="V382" s="63">
        <v>480</v>
      </c>
    </row>
    <row r="383" spans="1:22" x14ac:dyDescent="0.25">
      <c r="A383" s="49">
        <v>4736</v>
      </c>
      <c r="B383" s="49" t="s">
        <v>14</v>
      </c>
      <c r="C383" s="49" t="s">
        <v>175</v>
      </c>
      <c r="D383" s="49" t="s">
        <v>86</v>
      </c>
      <c r="E383" s="49" t="s">
        <v>169</v>
      </c>
      <c r="F383" s="49">
        <v>2016</v>
      </c>
      <c r="G383" s="50">
        <v>42699.333333333336</v>
      </c>
      <c r="H383" s="50">
        <v>42712.5</v>
      </c>
      <c r="I383" s="54">
        <v>42699</v>
      </c>
      <c r="J383" s="54">
        <v>42712</v>
      </c>
      <c r="K383" s="51" t="s">
        <v>522</v>
      </c>
      <c r="L383" s="51">
        <v>0.5</v>
      </c>
      <c r="M383" s="51" t="s">
        <v>539</v>
      </c>
      <c r="N383" s="51" t="s">
        <v>537</v>
      </c>
      <c r="O383" s="51" t="s">
        <v>524</v>
      </c>
      <c r="P383" s="49" t="s">
        <v>9</v>
      </c>
      <c r="Q383" s="49" t="s">
        <v>38</v>
      </c>
      <c r="R383" s="49" t="s">
        <v>113</v>
      </c>
      <c r="S383" s="49">
        <v>5</v>
      </c>
      <c r="T383" s="49">
        <v>8</v>
      </c>
      <c r="U383" s="63">
        <v>48</v>
      </c>
      <c r="V383" s="63">
        <v>384</v>
      </c>
    </row>
    <row r="384" spans="1:22" x14ac:dyDescent="0.25">
      <c r="A384" s="49">
        <v>4737</v>
      </c>
      <c r="B384" s="49" t="s">
        <v>22</v>
      </c>
      <c r="C384" s="49" t="s">
        <v>176</v>
      </c>
      <c r="D384" s="49" t="s">
        <v>80</v>
      </c>
      <c r="E384" s="49" t="s">
        <v>173</v>
      </c>
      <c r="F384" s="49">
        <v>2016</v>
      </c>
      <c r="G384" s="50">
        <v>42700.375</v>
      </c>
      <c r="H384" s="50">
        <v>42705.75</v>
      </c>
      <c r="I384" s="54">
        <v>42700</v>
      </c>
      <c r="J384" s="54">
        <v>42705</v>
      </c>
      <c r="K384" s="51" t="s">
        <v>525</v>
      </c>
      <c r="L384" s="51">
        <v>0.75</v>
      </c>
      <c r="M384" s="51" t="s">
        <v>540</v>
      </c>
      <c r="N384" s="51" t="s">
        <v>537</v>
      </c>
      <c r="O384" s="51" t="s">
        <v>524</v>
      </c>
      <c r="P384" s="49" t="s">
        <v>23</v>
      </c>
      <c r="Q384" s="49" t="s">
        <v>37</v>
      </c>
      <c r="R384" s="49" t="s">
        <v>113</v>
      </c>
      <c r="S384" s="49">
        <v>4</v>
      </c>
      <c r="T384" s="49">
        <v>8</v>
      </c>
      <c r="U384" s="63">
        <v>32</v>
      </c>
      <c r="V384" s="63">
        <v>256</v>
      </c>
    </row>
    <row r="385" spans="1:22" x14ac:dyDescent="0.25">
      <c r="A385" s="49">
        <v>4738</v>
      </c>
      <c r="B385" s="49" t="s">
        <v>22</v>
      </c>
      <c r="C385" s="49" t="s">
        <v>176</v>
      </c>
      <c r="D385" s="49" t="s">
        <v>80</v>
      </c>
      <c r="E385" s="49" t="s">
        <v>173</v>
      </c>
      <c r="F385" s="49">
        <v>2016</v>
      </c>
      <c r="G385" s="50">
        <v>42702.791666666664</v>
      </c>
      <c r="H385" s="50">
        <v>42713.958333333336</v>
      </c>
      <c r="I385" s="54">
        <v>42702</v>
      </c>
      <c r="J385" s="54">
        <v>42713</v>
      </c>
      <c r="K385" s="51" t="s">
        <v>526</v>
      </c>
      <c r="L385" s="51">
        <v>0.95833333333333337</v>
      </c>
      <c r="M385" s="51" t="s">
        <v>541</v>
      </c>
      <c r="N385" s="51" t="s">
        <v>537</v>
      </c>
      <c r="O385" s="51" t="s">
        <v>524</v>
      </c>
      <c r="P385" s="49" t="s">
        <v>9</v>
      </c>
      <c r="Q385" s="49" t="s">
        <v>33</v>
      </c>
      <c r="R385" s="49" t="s">
        <v>113</v>
      </c>
      <c r="S385" s="49">
        <v>4</v>
      </c>
      <c r="T385" s="49">
        <v>9</v>
      </c>
      <c r="U385" s="63">
        <v>32</v>
      </c>
      <c r="V385" s="63">
        <v>288</v>
      </c>
    </row>
    <row r="386" spans="1:22" x14ac:dyDescent="0.25">
      <c r="A386" s="49">
        <v>4739</v>
      </c>
      <c r="B386" s="49" t="s">
        <v>17</v>
      </c>
      <c r="C386" s="49" t="s">
        <v>176</v>
      </c>
      <c r="D386" s="49" t="s">
        <v>85</v>
      </c>
      <c r="E386" s="49" t="s">
        <v>170</v>
      </c>
      <c r="F386" s="49">
        <v>2016</v>
      </c>
      <c r="G386" s="50">
        <v>42702.791666666664</v>
      </c>
      <c r="H386" s="50">
        <v>42713.958333333336</v>
      </c>
      <c r="I386" s="54">
        <v>42702</v>
      </c>
      <c r="J386" s="54">
        <v>42713</v>
      </c>
      <c r="K386" s="51" t="s">
        <v>526</v>
      </c>
      <c r="L386" s="51">
        <v>0.95833333333333337</v>
      </c>
      <c r="M386" s="51" t="s">
        <v>541</v>
      </c>
      <c r="N386" s="51" t="s">
        <v>537</v>
      </c>
      <c r="O386" s="51" t="s">
        <v>524</v>
      </c>
      <c r="P386" s="49" t="s">
        <v>23</v>
      </c>
      <c r="Q386" s="49" t="s">
        <v>190</v>
      </c>
      <c r="R386" s="49" t="s">
        <v>109</v>
      </c>
      <c r="S386" s="49">
        <v>4</v>
      </c>
      <c r="T386" s="49">
        <v>12</v>
      </c>
      <c r="U386" s="63">
        <v>48</v>
      </c>
      <c r="V386" s="63">
        <v>576</v>
      </c>
    </row>
    <row r="387" spans="1:22" x14ac:dyDescent="0.25">
      <c r="A387" s="49">
        <v>4740</v>
      </c>
      <c r="B387" s="49" t="s">
        <v>39</v>
      </c>
      <c r="C387" s="49" t="s">
        <v>177</v>
      </c>
      <c r="D387" s="49" t="s">
        <v>89</v>
      </c>
      <c r="E387" s="49" t="s">
        <v>169</v>
      </c>
      <c r="F387" s="49">
        <v>2016</v>
      </c>
      <c r="G387" s="50">
        <v>42703.791666666664</v>
      </c>
      <c r="H387" s="50">
        <v>42716.958333333336</v>
      </c>
      <c r="I387" s="54">
        <v>42703</v>
      </c>
      <c r="J387" s="54">
        <v>42716</v>
      </c>
      <c r="K387" s="51" t="s">
        <v>526</v>
      </c>
      <c r="L387" s="51">
        <v>0.95833333333333337</v>
      </c>
      <c r="M387" s="51" t="s">
        <v>541</v>
      </c>
      <c r="N387" s="51" t="s">
        <v>537</v>
      </c>
      <c r="O387" s="51" t="s">
        <v>524</v>
      </c>
      <c r="P387" s="49" t="s">
        <v>23</v>
      </c>
      <c r="Q387" s="49" t="s">
        <v>16</v>
      </c>
      <c r="R387" s="49" t="s">
        <v>109</v>
      </c>
      <c r="S387" s="49">
        <v>3</v>
      </c>
      <c r="T387" s="49">
        <v>8</v>
      </c>
      <c r="U387" s="63">
        <v>62</v>
      </c>
      <c r="V387" s="63">
        <v>496</v>
      </c>
    </row>
    <row r="388" spans="1:22" x14ac:dyDescent="0.25">
      <c r="A388" s="49">
        <v>4741</v>
      </c>
      <c r="B388" s="49" t="s">
        <v>11</v>
      </c>
      <c r="C388" s="49" t="s">
        <v>175</v>
      </c>
      <c r="D388" s="49" t="s">
        <v>79</v>
      </c>
      <c r="E388" s="49" t="s">
        <v>168</v>
      </c>
      <c r="F388" s="49">
        <v>2016</v>
      </c>
      <c r="G388" s="50">
        <v>42704.583333333336</v>
      </c>
      <c r="H388" s="50">
        <v>42717.75</v>
      </c>
      <c r="I388" s="54">
        <v>42704</v>
      </c>
      <c r="J388" s="54">
        <v>42717</v>
      </c>
      <c r="K388" s="51" t="s">
        <v>527</v>
      </c>
      <c r="L388" s="51">
        <v>0.75</v>
      </c>
      <c r="M388" s="51" t="s">
        <v>542</v>
      </c>
      <c r="N388" s="51" t="s">
        <v>537</v>
      </c>
      <c r="O388" s="51" t="s">
        <v>524</v>
      </c>
      <c r="P388" s="49" t="s">
        <v>23</v>
      </c>
      <c r="Q388" s="49" t="s">
        <v>16</v>
      </c>
      <c r="R388" s="49" t="s">
        <v>109</v>
      </c>
      <c r="S388" s="49">
        <v>5</v>
      </c>
      <c r="T388" s="49">
        <v>12</v>
      </c>
      <c r="U388" s="63">
        <v>48</v>
      </c>
      <c r="V388" s="63">
        <v>576</v>
      </c>
    </row>
    <row r="389" spans="1:22" x14ac:dyDescent="0.25">
      <c r="A389" s="49">
        <v>4742</v>
      </c>
      <c r="B389" s="49" t="s">
        <v>7</v>
      </c>
      <c r="C389" s="49" t="s">
        <v>175</v>
      </c>
      <c r="D389" s="49" t="s">
        <v>80</v>
      </c>
      <c r="E389" s="49" t="s">
        <v>173</v>
      </c>
      <c r="F389" s="49">
        <v>2016</v>
      </c>
      <c r="G389" s="50">
        <v>42705.375</v>
      </c>
      <c r="H389" s="50">
        <v>42711.75</v>
      </c>
      <c r="I389" s="54">
        <v>42705</v>
      </c>
      <c r="J389" s="54">
        <v>42711</v>
      </c>
      <c r="K389" s="51" t="s">
        <v>525</v>
      </c>
      <c r="L389" s="51">
        <v>0.75</v>
      </c>
      <c r="M389" s="51" t="s">
        <v>540</v>
      </c>
      <c r="N389" s="51" t="s">
        <v>538</v>
      </c>
      <c r="O389" s="51" t="s">
        <v>524</v>
      </c>
      <c r="P389" s="49" t="s">
        <v>23</v>
      </c>
      <c r="Q389" s="49" t="s">
        <v>12</v>
      </c>
      <c r="R389" s="49" t="s">
        <v>113</v>
      </c>
      <c r="S389" s="49">
        <v>5</v>
      </c>
      <c r="T389" s="49">
        <v>10</v>
      </c>
      <c r="U389" s="63">
        <v>32</v>
      </c>
      <c r="V389" s="63">
        <v>320</v>
      </c>
    </row>
    <row r="390" spans="1:22" x14ac:dyDescent="0.25">
      <c r="A390" s="49">
        <v>4743</v>
      </c>
      <c r="B390" s="49" t="s">
        <v>7</v>
      </c>
      <c r="C390" s="49" t="s">
        <v>175</v>
      </c>
      <c r="D390" s="49" t="s">
        <v>86</v>
      </c>
      <c r="E390" s="49" t="s">
        <v>169</v>
      </c>
      <c r="F390" s="49">
        <v>2016</v>
      </c>
      <c r="G390" s="50">
        <v>42706.333333333336</v>
      </c>
      <c r="H390" s="50">
        <v>42719.5</v>
      </c>
      <c r="I390" s="54">
        <v>42706</v>
      </c>
      <c r="J390" s="54">
        <v>42719</v>
      </c>
      <c r="K390" s="51" t="s">
        <v>522</v>
      </c>
      <c r="L390" s="51">
        <v>0.5</v>
      </c>
      <c r="M390" s="51" t="s">
        <v>539</v>
      </c>
      <c r="N390" s="51" t="s">
        <v>538</v>
      </c>
      <c r="O390" s="51" t="s">
        <v>524</v>
      </c>
      <c r="P390" s="49" t="s">
        <v>9</v>
      </c>
      <c r="Q390" s="49" t="s">
        <v>38</v>
      </c>
      <c r="R390" s="49" t="s">
        <v>113</v>
      </c>
      <c r="S390" s="49">
        <v>3</v>
      </c>
      <c r="T390" s="49">
        <v>9</v>
      </c>
      <c r="U390" s="63">
        <v>48</v>
      </c>
      <c r="V390" s="63">
        <v>432</v>
      </c>
    </row>
    <row r="391" spans="1:22" x14ac:dyDescent="0.25">
      <c r="A391" s="49">
        <v>4744</v>
      </c>
      <c r="B391" s="49" t="s">
        <v>45</v>
      </c>
      <c r="C391" s="49" t="s">
        <v>177</v>
      </c>
      <c r="D391" s="49" t="s">
        <v>89</v>
      </c>
      <c r="E391" s="49" t="s">
        <v>169</v>
      </c>
      <c r="F391" s="49">
        <v>2016</v>
      </c>
      <c r="G391" s="50">
        <v>42707.375</v>
      </c>
      <c r="H391" s="50">
        <v>42712.75</v>
      </c>
      <c r="I391" s="54">
        <v>42707</v>
      </c>
      <c r="J391" s="54">
        <v>42712</v>
      </c>
      <c r="K391" s="51" t="s">
        <v>525</v>
      </c>
      <c r="L391" s="51">
        <v>0.75</v>
      </c>
      <c r="M391" s="51" t="s">
        <v>540</v>
      </c>
      <c r="N391" s="51" t="s">
        <v>538</v>
      </c>
      <c r="O391" s="51" t="s">
        <v>524</v>
      </c>
      <c r="P391" s="49" t="s">
        <v>9</v>
      </c>
      <c r="Q391" s="49" t="s">
        <v>190</v>
      </c>
      <c r="R391" s="49" t="s">
        <v>109</v>
      </c>
      <c r="S391" s="49">
        <v>2</v>
      </c>
      <c r="T391" s="49">
        <v>8</v>
      </c>
      <c r="U391" s="63">
        <v>62</v>
      </c>
      <c r="V391" s="63">
        <v>496</v>
      </c>
    </row>
    <row r="392" spans="1:22" x14ac:dyDescent="0.25">
      <c r="A392" s="49">
        <v>4745</v>
      </c>
      <c r="B392" s="49" t="s">
        <v>19</v>
      </c>
      <c r="C392" s="49" t="s">
        <v>176</v>
      </c>
      <c r="D392" s="49" t="s">
        <v>80</v>
      </c>
      <c r="E392" s="49" t="s">
        <v>173</v>
      </c>
      <c r="F392" s="49">
        <v>2016</v>
      </c>
      <c r="G392" s="50">
        <v>42709.791666666664</v>
      </c>
      <c r="H392" s="50">
        <v>42720.958333333336</v>
      </c>
      <c r="I392" s="54">
        <v>42709</v>
      </c>
      <c r="J392" s="54">
        <v>42720</v>
      </c>
      <c r="K392" s="51" t="s">
        <v>526</v>
      </c>
      <c r="L392" s="51">
        <v>0.95833333333333337</v>
      </c>
      <c r="M392" s="51" t="s">
        <v>541</v>
      </c>
      <c r="N392" s="51" t="s">
        <v>538</v>
      </c>
      <c r="O392" s="51" t="s">
        <v>524</v>
      </c>
      <c r="P392" s="49" t="s">
        <v>23</v>
      </c>
      <c r="Q392" s="49" t="s">
        <v>16</v>
      </c>
      <c r="R392" s="49" t="s">
        <v>109</v>
      </c>
      <c r="S392" s="49">
        <v>5</v>
      </c>
      <c r="T392" s="49">
        <v>8</v>
      </c>
      <c r="U392" s="63">
        <v>32</v>
      </c>
      <c r="V392" s="63">
        <v>256</v>
      </c>
    </row>
    <row r="393" spans="1:22" x14ac:dyDescent="0.25">
      <c r="A393" s="49">
        <v>4746</v>
      </c>
      <c r="B393" s="49" t="s">
        <v>39</v>
      </c>
      <c r="C393" s="49" t="s">
        <v>177</v>
      </c>
      <c r="D393" s="49" t="s">
        <v>88</v>
      </c>
      <c r="E393" s="49" t="s">
        <v>170</v>
      </c>
      <c r="F393" s="49">
        <v>2016</v>
      </c>
      <c r="G393" s="50">
        <v>42709.791666666664</v>
      </c>
      <c r="H393" s="50">
        <v>42720.958333333336</v>
      </c>
      <c r="I393" s="54">
        <v>42709</v>
      </c>
      <c r="J393" s="54">
        <v>42720</v>
      </c>
      <c r="K393" s="51" t="s">
        <v>526</v>
      </c>
      <c r="L393" s="51">
        <v>0.95833333333333337</v>
      </c>
      <c r="M393" s="51" t="s">
        <v>541</v>
      </c>
      <c r="N393" s="51" t="s">
        <v>538</v>
      </c>
      <c r="O393" s="51" t="s">
        <v>524</v>
      </c>
      <c r="P393" s="49" t="s">
        <v>23</v>
      </c>
      <c r="Q393" s="49" t="s">
        <v>26</v>
      </c>
      <c r="R393" s="49" t="s">
        <v>113</v>
      </c>
      <c r="S393" s="49">
        <v>5</v>
      </c>
      <c r="T393" s="49">
        <v>10</v>
      </c>
      <c r="U393" s="63">
        <v>42</v>
      </c>
      <c r="V393" s="63">
        <v>420</v>
      </c>
    </row>
    <row r="394" spans="1:22" x14ac:dyDescent="0.25">
      <c r="A394" s="49">
        <v>4747</v>
      </c>
      <c r="B394" s="49" t="s">
        <v>29</v>
      </c>
      <c r="C394" s="49" t="s">
        <v>177</v>
      </c>
      <c r="D394" s="49" t="s">
        <v>89</v>
      </c>
      <c r="E394" s="49" t="s">
        <v>169</v>
      </c>
      <c r="F394" s="49">
        <v>2016</v>
      </c>
      <c r="G394" s="50">
        <v>42710.791666666664</v>
      </c>
      <c r="H394" s="50">
        <v>42723.958333333336</v>
      </c>
      <c r="I394" s="54">
        <v>42710</v>
      </c>
      <c r="J394" s="54">
        <v>42723</v>
      </c>
      <c r="K394" s="51" t="s">
        <v>526</v>
      </c>
      <c r="L394" s="51">
        <v>0.95833333333333337</v>
      </c>
      <c r="M394" s="51" t="s">
        <v>541</v>
      </c>
      <c r="N394" s="51" t="s">
        <v>538</v>
      </c>
      <c r="O394" s="51" t="s">
        <v>524</v>
      </c>
      <c r="P394" s="49" t="s">
        <v>23</v>
      </c>
      <c r="Q394" s="49" t="s">
        <v>190</v>
      </c>
      <c r="R394" s="49" t="s">
        <v>109</v>
      </c>
      <c r="S394" s="49">
        <v>5</v>
      </c>
      <c r="T394" s="49">
        <v>11</v>
      </c>
      <c r="U394" s="63">
        <v>62</v>
      </c>
      <c r="V394" s="63">
        <v>682</v>
      </c>
    </row>
    <row r="395" spans="1:22" x14ac:dyDescent="0.25">
      <c r="A395" s="49">
        <v>4748</v>
      </c>
      <c r="B395" s="49" t="s">
        <v>29</v>
      </c>
      <c r="C395" s="49" t="s">
        <v>177</v>
      </c>
      <c r="D395" s="49" t="s">
        <v>85</v>
      </c>
      <c r="E395" s="49" t="s">
        <v>170</v>
      </c>
      <c r="F395" s="49">
        <v>2016</v>
      </c>
      <c r="G395" s="50">
        <v>42711.583333333336</v>
      </c>
      <c r="H395" s="50">
        <v>42724.75</v>
      </c>
      <c r="I395" s="54">
        <v>42711</v>
      </c>
      <c r="J395" s="54">
        <v>42724</v>
      </c>
      <c r="K395" s="51" t="s">
        <v>527</v>
      </c>
      <c r="L395" s="51">
        <v>0.75</v>
      </c>
      <c r="M395" s="51" t="s">
        <v>542</v>
      </c>
      <c r="N395" s="51" t="s">
        <v>538</v>
      </c>
      <c r="O395" s="51" t="s">
        <v>524</v>
      </c>
      <c r="P395" s="49" t="s">
        <v>23</v>
      </c>
      <c r="Q395" s="49" t="s">
        <v>38</v>
      </c>
      <c r="R395" s="49" t="s">
        <v>113</v>
      </c>
      <c r="S395" s="49">
        <v>2</v>
      </c>
      <c r="T395" s="49">
        <v>8</v>
      </c>
      <c r="U395" s="63">
        <v>48</v>
      </c>
      <c r="V395" s="63">
        <v>384</v>
      </c>
    </row>
    <row r="396" spans="1:22" x14ac:dyDescent="0.25">
      <c r="A396" s="49">
        <v>4749</v>
      </c>
      <c r="B396" s="49" t="s">
        <v>11</v>
      </c>
      <c r="C396" s="49" t="s">
        <v>175</v>
      </c>
      <c r="D396" s="49" t="s">
        <v>77</v>
      </c>
      <c r="E396" s="49" t="s">
        <v>172</v>
      </c>
      <c r="F396" s="49">
        <v>2016</v>
      </c>
      <c r="G396" s="50">
        <v>42712.375</v>
      </c>
      <c r="H396" s="50">
        <v>42718.75</v>
      </c>
      <c r="I396" s="54">
        <v>42712</v>
      </c>
      <c r="J396" s="54">
        <v>42718</v>
      </c>
      <c r="K396" s="51" t="s">
        <v>525</v>
      </c>
      <c r="L396" s="51">
        <v>0.75</v>
      </c>
      <c r="M396" s="51" t="s">
        <v>540</v>
      </c>
      <c r="N396" s="51" t="s">
        <v>538</v>
      </c>
      <c r="O396" s="51" t="s">
        <v>524</v>
      </c>
      <c r="P396" s="49" t="s">
        <v>23</v>
      </c>
      <c r="Q396" s="49" t="s">
        <v>12</v>
      </c>
      <c r="R396" s="49" t="s">
        <v>113</v>
      </c>
      <c r="S396" s="49">
        <v>3</v>
      </c>
      <c r="T396" s="49">
        <v>9</v>
      </c>
      <c r="U396" s="63">
        <v>35</v>
      </c>
      <c r="V396" s="63">
        <v>315</v>
      </c>
    </row>
    <row r="397" spans="1:22" x14ac:dyDescent="0.25">
      <c r="A397" s="49">
        <v>4750</v>
      </c>
      <c r="B397" s="49" t="s">
        <v>19</v>
      </c>
      <c r="C397" s="49" t="s">
        <v>176</v>
      </c>
      <c r="D397" s="49" t="s">
        <v>82</v>
      </c>
      <c r="E397" s="49" t="s">
        <v>172</v>
      </c>
      <c r="F397" s="49">
        <v>2016</v>
      </c>
      <c r="G397" s="50">
        <v>42713.333333333336</v>
      </c>
      <c r="H397" s="50">
        <v>42726.5</v>
      </c>
      <c r="I397" s="54">
        <v>42713</v>
      </c>
      <c r="J397" s="54">
        <v>42726</v>
      </c>
      <c r="K397" s="51" t="s">
        <v>522</v>
      </c>
      <c r="L397" s="51">
        <v>0.5</v>
      </c>
      <c r="M397" s="51" t="s">
        <v>539</v>
      </c>
      <c r="N397" s="51" t="s">
        <v>538</v>
      </c>
      <c r="O397" s="51" t="s">
        <v>524</v>
      </c>
      <c r="P397" s="49" t="s">
        <v>23</v>
      </c>
      <c r="Q397" s="49" t="s">
        <v>28</v>
      </c>
      <c r="R397" s="49" t="s">
        <v>109</v>
      </c>
      <c r="S397" s="49">
        <v>3</v>
      </c>
      <c r="T397" s="49">
        <v>9</v>
      </c>
      <c r="U397" s="63">
        <v>75</v>
      </c>
      <c r="V397" s="63">
        <v>675</v>
      </c>
    </row>
    <row r="398" spans="1:22" x14ac:dyDescent="0.25">
      <c r="A398" s="49">
        <v>4751</v>
      </c>
      <c r="B398" s="49" t="s">
        <v>14</v>
      </c>
      <c r="C398" s="49" t="s">
        <v>175</v>
      </c>
      <c r="D398" s="49" t="s">
        <v>79</v>
      </c>
      <c r="E398" s="49" t="s">
        <v>168</v>
      </c>
      <c r="F398" s="49">
        <v>2016</v>
      </c>
      <c r="G398" s="50">
        <v>42714.375</v>
      </c>
      <c r="H398" s="50">
        <v>42719.75</v>
      </c>
      <c r="I398" s="54">
        <v>42714</v>
      </c>
      <c r="J398" s="54">
        <v>42719</v>
      </c>
      <c r="K398" s="51" t="s">
        <v>525</v>
      </c>
      <c r="L398" s="51">
        <v>0.75</v>
      </c>
      <c r="M398" s="51" t="s">
        <v>540</v>
      </c>
      <c r="N398" s="51" t="s">
        <v>538</v>
      </c>
      <c r="O398" s="51" t="s">
        <v>524</v>
      </c>
      <c r="P398" s="49" t="s">
        <v>9</v>
      </c>
      <c r="Q398" s="49" t="s">
        <v>18</v>
      </c>
      <c r="R398" s="49" t="s">
        <v>113</v>
      </c>
      <c r="S398" s="49">
        <v>4</v>
      </c>
      <c r="T398" s="49">
        <v>8</v>
      </c>
      <c r="U398" s="63">
        <v>48</v>
      </c>
      <c r="V398" s="63">
        <v>384</v>
      </c>
    </row>
    <row r="399" spans="1:22" x14ac:dyDescent="0.25">
      <c r="A399" s="49">
        <v>4752</v>
      </c>
      <c r="B399" s="49" t="s">
        <v>19</v>
      </c>
      <c r="C399" s="49" t="s">
        <v>176</v>
      </c>
      <c r="D399" s="49" t="s">
        <v>78</v>
      </c>
      <c r="E399" s="49" t="s">
        <v>172</v>
      </c>
      <c r="F399" s="49">
        <v>2016</v>
      </c>
      <c r="G399" s="50">
        <v>42716.791666666664</v>
      </c>
      <c r="H399" s="50">
        <v>42727.958333333336</v>
      </c>
      <c r="I399" s="54">
        <v>42716</v>
      </c>
      <c r="J399" s="54">
        <v>42727</v>
      </c>
      <c r="K399" s="51" t="s">
        <v>526</v>
      </c>
      <c r="L399" s="51">
        <v>0.95833333333333337</v>
      </c>
      <c r="M399" s="51" t="s">
        <v>541</v>
      </c>
      <c r="N399" s="51" t="s">
        <v>538</v>
      </c>
      <c r="O399" s="51" t="s">
        <v>524</v>
      </c>
      <c r="P399" s="49" t="s">
        <v>9</v>
      </c>
      <c r="Q399" s="49" t="s">
        <v>190</v>
      </c>
      <c r="R399" s="49" t="s">
        <v>109</v>
      </c>
      <c r="S399" s="49">
        <v>3</v>
      </c>
      <c r="T399" s="49">
        <v>10</v>
      </c>
      <c r="U399" s="63">
        <v>62</v>
      </c>
      <c r="V399" s="63">
        <v>620</v>
      </c>
    </row>
    <row r="400" spans="1:22" x14ac:dyDescent="0.25">
      <c r="A400" s="49">
        <v>4753</v>
      </c>
      <c r="B400" s="49" t="s">
        <v>14</v>
      </c>
      <c r="C400" s="49" t="s">
        <v>175</v>
      </c>
      <c r="D400" s="49" t="s">
        <v>89</v>
      </c>
      <c r="E400" s="49" t="s">
        <v>169</v>
      </c>
      <c r="F400" s="49">
        <v>2016</v>
      </c>
      <c r="G400" s="50">
        <v>42716.791666666664</v>
      </c>
      <c r="H400" s="50">
        <v>42727.958333333336</v>
      </c>
      <c r="I400" s="54">
        <v>42716</v>
      </c>
      <c r="J400" s="54">
        <v>42727</v>
      </c>
      <c r="K400" s="51" t="s">
        <v>526</v>
      </c>
      <c r="L400" s="51">
        <v>0.95833333333333337</v>
      </c>
      <c r="M400" s="51" t="s">
        <v>541</v>
      </c>
      <c r="N400" s="51" t="s">
        <v>538</v>
      </c>
      <c r="O400" s="51" t="s">
        <v>524</v>
      </c>
      <c r="P400" s="49" t="s">
        <v>9</v>
      </c>
      <c r="Q400" s="49" t="s">
        <v>26</v>
      </c>
      <c r="R400" s="49" t="s">
        <v>113</v>
      </c>
      <c r="S400" s="49">
        <v>3</v>
      </c>
      <c r="T400" s="49">
        <v>10</v>
      </c>
      <c r="U400" s="63">
        <v>62</v>
      </c>
      <c r="V400" s="63">
        <v>620</v>
      </c>
    </row>
    <row r="401" spans="1:22" x14ac:dyDescent="0.25">
      <c r="A401" s="49">
        <v>4754</v>
      </c>
      <c r="B401" s="49" t="s">
        <v>17</v>
      </c>
      <c r="C401" s="49" t="s">
        <v>176</v>
      </c>
      <c r="D401" s="49" t="s">
        <v>86</v>
      </c>
      <c r="E401" s="49" t="s">
        <v>169</v>
      </c>
      <c r="F401" s="49">
        <v>2016</v>
      </c>
      <c r="G401" s="50">
        <v>42717.791666666664</v>
      </c>
      <c r="H401" s="50">
        <v>42730.958333333336</v>
      </c>
      <c r="I401" s="54">
        <v>42717</v>
      </c>
      <c r="J401" s="54">
        <v>42730</v>
      </c>
      <c r="K401" s="51" t="s">
        <v>526</v>
      </c>
      <c r="L401" s="51">
        <v>0.95833333333333337</v>
      </c>
      <c r="M401" s="51" t="s">
        <v>541</v>
      </c>
      <c r="N401" s="51" t="s">
        <v>538</v>
      </c>
      <c r="O401" s="51" t="s">
        <v>524</v>
      </c>
      <c r="P401" s="49" t="s">
        <v>9</v>
      </c>
      <c r="Q401" s="49" t="s">
        <v>33</v>
      </c>
      <c r="R401" s="49" t="s">
        <v>113</v>
      </c>
      <c r="S401" s="49">
        <v>4</v>
      </c>
      <c r="T401" s="49">
        <v>12</v>
      </c>
      <c r="U401" s="63">
        <v>48</v>
      </c>
      <c r="V401" s="63">
        <v>576</v>
      </c>
    </row>
    <row r="402" spans="1:22" x14ac:dyDescent="0.25">
      <c r="A402" s="49">
        <v>4755</v>
      </c>
      <c r="B402" s="49" t="s">
        <v>19</v>
      </c>
      <c r="C402" s="49" t="s">
        <v>176</v>
      </c>
      <c r="D402" s="49" t="s">
        <v>84</v>
      </c>
      <c r="E402" s="49" t="s">
        <v>172</v>
      </c>
      <c r="F402" s="49">
        <v>2016</v>
      </c>
      <c r="G402" s="50">
        <v>42718.583333333336</v>
      </c>
      <c r="H402" s="50">
        <v>42731.75</v>
      </c>
      <c r="I402" s="54">
        <v>42718</v>
      </c>
      <c r="J402" s="54">
        <v>42731</v>
      </c>
      <c r="K402" s="51" t="s">
        <v>527</v>
      </c>
      <c r="L402" s="51">
        <v>0.75</v>
      </c>
      <c r="M402" s="51" t="s">
        <v>542</v>
      </c>
      <c r="N402" s="51" t="s">
        <v>538</v>
      </c>
      <c r="O402" s="51" t="s">
        <v>524</v>
      </c>
      <c r="P402" s="49" t="s">
        <v>23</v>
      </c>
      <c r="Q402" s="49" t="s">
        <v>44</v>
      </c>
      <c r="R402" s="49" t="s">
        <v>113</v>
      </c>
      <c r="S402" s="49">
        <v>3</v>
      </c>
      <c r="T402" s="49">
        <v>11</v>
      </c>
      <c r="U402" s="63">
        <v>52</v>
      </c>
      <c r="V402" s="63">
        <v>572</v>
      </c>
    </row>
    <row r="403" spans="1:22" x14ac:dyDescent="0.25">
      <c r="A403" s="49">
        <v>4756</v>
      </c>
      <c r="B403" s="49" t="s">
        <v>29</v>
      </c>
      <c r="C403" s="49" t="s">
        <v>177</v>
      </c>
      <c r="D403" s="49" t="s">
        <v>82</v>
      </c>
      <c r="E403" s="49" t="s">
        <v>172</v>
      </c>
      <c r="F403" s="49">
        <v>2016</v>
      </c>
      <c r="G403" s="50">
        <v>42719.375</v>
      </c>
      <c r="H403" s="50">
        <v>42725.75</v>
      </c>
      <c r="I403" s="54">
        <v>42719</v>
      </c>
      <c r="J403" s="54">
        <v>42725</v>
      </c>
      <c r="K403" s="51" t="s">
        <v>525</v>
      </c>
      <c r="L403" s="51">
        <v>0.75</v>
      </c>
      <c r="M403" s="51" t="s">
        <v>540</v>
      </c>
      <c r="N403" s="51" t="s">
        <v>538</v>
      </c>
      <c r="O403" s="51" t="s">
        <v>524</v>
      </c>
      <c r="P403" s="49" t="s">
        <v>9</v>
      </c>
      <c r="Q403" s="49" t="s">
        <v>18</v>
      </c>
      <c r="R403" s="49" t="s">
        <v>113</v>
      </c>
      <c r="S403" s="49">
        <v>3</v>
      </c>
      <c r="T403" s="49">
        <v>11</v>
      </c>
      <c r="U403" s="63">
        <v>75</v>
      </c>
      <c r="V403" s="63">
        <v>825</v>
      </c>
    </row>
    <row r="404" spans="1:22" x14ac:dyDescent="0.25">
      <c r="A404" s="49">
        <v>4757</v>
      </c>
      <c r="B404" s="49" t="s">
        <v>7</v>
      </c>
      <c r="C404" s="49" t="s">
        <v>175</v>
      </c>
      <c r="D404" s="49" t="s">
        <v>84</v>
      </c>
      <c r="E404" s="49" t="s">
        <v>172</v>
      </c>
      <c r="F404" s="49">
        <v>2016</v>
      </c>
      <c r="G404" s="50">
        <v>42720.333333333336</v>
      </c>
      <c r="H404" s="50">
        <v>42733.5</v>
      </c>
      <c r="I404" s="54">
        <v>42720</v>
      </c>
      <c r="J404" s="54">
        <v>42733</v>
      </c>
      <c r="K404" s="51" t="s">
        <v>522</v>
      </c>
      <c r="L404" s="51">
        <v>0.5</v>
      </c>
      <c r="M404" s="51" t="s">
        <v>539</v>
      </c>
      <c r="N404" s="51" t="s">
        <v>538</v>
      </c>
      <c r="O404" s="51" t="s">
        <v>524</v>
      </c>
      <c r="P404" s="49" t="s">
        <v>23</v>
      </c>
      <c r="Q404" s="49" t="s">
        <v>190</v>
      </c>
      <c r="R404" s="49" t="s">
        <v>109</v>
      </c>
      <c r="S404" s="49">
        <v>2</v>
      </c>
      <c r="T404" s="49">
        <v>11</v>
      </c>
      <c r="U404" s="63">
        <v>52</v>
      </c>
      <c r="V404" s="63">
        <v>572</v>
      </c>
    </row>
    <row r="405" spans="1:22" x14ac:dyDescent="0.25">
      <c r="A405" s="49">
        <v>4758</v>
      </c>
      <c r="B405" s="49" t="s">
        <v>14</v>
      </c>
      <c r="C405" s="49" t="s">
        <v>175</v>
      </c>
      <c r="D405" s="49" t="s">
        <v>86</v>
      </c>
      <c r="E405" s="49" t="s">
        <v>169</v>
      </c>
      <c r="F405" s="49">
        <v>2016</v>
      </c>
      <c r="G405" s="50">
        <v>42721.375</v>
      </c>
      <c r="H405" s="50">
        <v>42726.75</v>
      </c>
      <c r="I405" s="54">
        <v>42721</v>
      </c>
      <c r="J405" s="54">
        <v>42726</v>
      </c>
      <c r="K405" s="51" t="s">
        <v>525</v>
      </c>
      <c r="L405" s="51">
        <v>0.75</v>
      </c>
      <c r="M405" s="51" t="s">
        <v>540</v>
      </c>
      <c r="N405" s="51" t="s">
        <v>538</v>
      </c>
      <c r="O405" s="51" t="s">
        <v>524</v>
      </c>
      <c r="P405" s="49" t="s">
        <v>9</v>
      </c>
      <c r="Q405" s="49" t="s">
        <v>35</v>
      </c>
      <c r="R405" s="49" t="s">
        <v>109</v>
      </c>
      <c r="S405" s="49">
        <v>2</v>
      </c>
      <c r="T405" s="49">
        <v>10</v>
      </c>
      <c r="U405" s="63">
        <v>48</v>
      </c>
      <c r="V405" s="63">
        <v>480</v>
      </c>
    </row>
    <row r="406" spans="1:22" x14ac:dyDescent="0.25">
      <c r="A406" s="49">
        <v>4759</v>
      </c>
      <c r="B406" s="49" t="s">
        <v>45</v>
      </c>
      <c r="C406" s="49" t="s">
        <v>177</v>
      </c>
      <c r="D406" s="49" t="s">
        <v>80</v>
      </c>
      <c r="E406" s="49" t="s">
        <v>173</v>
      </c>
      <c r="F406" s="49">
        <v>2016</v>
      </c>
      <c r="G406" s="50">
        <v>42723.791666666664</v>
      </c>
      <c r="H406" s="50">
        <v>42734.958333333336</v>
      </c>
      <c r="I406" s="54">
        <v>42723</v>
      </c>
      <c r="J406" s="54">
        <v>42734</v>
      </c>
      <c r="K406" s="51" t="s">
        <v>526</v>
      </c>
      <c r="L406" s="51">
        <v>0.95833333333333337</v>
      </c>
      <c r="M406" s="51" t="s">
        <v>541</v>
      </c>
      <c r="N406" s="51" t="s">
        <v>538</v>
      </c>
      <c r="O406" s="51" t="s">
        <v>524</v>
      </c>
      <c r="P406" s="49" t="s">
        <v>23</v>
      </c>
      <c r="Q406" s="49" t="s">
        <v>38</v>
      </c>
      <c r="R406" s="49" t="s">
        <v>113</v>
      </c>
      <c r="S406" s="49">
        <v>2</v>
      </c>
      <c r="T406" s="49">
        <v>10</v>
      </c>
      <c r="U406" s="63">
        <v>32</v>
      </c>
      <c r="V406" s="63">
        <v>320</v>
      </c>
    </row>
    <row r="407" spans="1:22" x14ac:dyDescent="0.25">
      <c r="A407" s="49">
        <v>4760</v>
      </c>
      <c r="B407" s="49" t="s">
        <v>22</v>
      </c>
      <c r="C407" s="49" t="s">
        <v>176</v>
      </c>
      <c r="D407" s="49" t="s">
        <v>77</v>
      </c>
      <c r="E407" s="49" t="s">
        <v>172</v>
      </c>
      <c r="F407" s="49">
        <v>2016</v>
      </c>
      <c r="G407" s="50">
        <v>42723.791666666664</v>
      </c>
      <c r="H407" s="50">
        <v>42734.958333333336</v>
      </c>
      <c r="I407" s="54">
        <v>42723</v>
      </c>
      <c r="J407" s="54">
        <v>42734</v>
      </c>
      <c r="K407" s="51" t="s">
        <v>526</v>
      </c>
      <c r="L407" s="51">
        <v>0.95833333333333337</v>
      </c>
      <c r="M407" s="51" t="s">
        <v>541</v>
      </c>
      <c r="N407" s="51" t="s">
        <v>538</v>
      </c>
      <c r="O407" s="51" t="s">
        <v>524</v>
      </c>
      <c r="P407" s="49" t="s">
        <v>23</v>
      </c>
      <c r="Q407" s="49" t="s">
        <v>18</v>
      </c>
      <c r="R407" s="49" t="s">
        <v>113</v>
      </c>
      <c r="S407" s="49">
        <v>3</v>
      </c>
      <c r="T407" s="49">
        <v>11</v>
      </c>
      <c r="U407" s="63">
        <v>35</v>
      </c>
      <c r="V407" s="63">
        <v>385</v>
      </c>
    </row>
    <row r="408" spans="1:22" x14ac:dyDescent="0.25">
      <c r="A408" s="49">
        <v>4761</v>
      </c>
      <c r="B408" s="49" t="s">
        <v>11</v>
      </c>
      <c r="C408" s="49" t="s">
        <v>175</v>
      </c>
      <c r="D408" s="49" t="s">
        <v>85</v>
      </c>
      <c r="E408" s="49" t="s">
        <v>170</v>
      </c>
      <c r="F408" s="49">
        <v>2016</v>
      </c>
      <c r="G408" s="50">
        <v>42724.791666666664</v>
      </c>
      <c r="H408" s="50">
        <v>42737.958333333336</v>
      </c>
      <c r="I408" s="54">
        <v>42724</v>
      </c>
      <c r="J408" s="54">
        <v>42737</v>
      </c>
      <c r="K408" s="51" t="s">
        <v>526</v>
      </c>
      <c r="L408" s="51">
        <v>0.95833333333333337</v>
      </c>
      <c r="M408" s="51" t="s">
        <v>541</v>
      </c>
      <c r="N408" s="51" t="s">
        <v>538</v>
      </c>
      <c r="O408" s="51" t="s">
        <v>524</v>
      </c>
      <c r="P408" s="49" t="s">
        <v>23</v>
      </c>
      <c r="Q408" s="49" t="s">
        <v>190</v>
      </c>
      <c r="R408" s="49" t="s">
        <v>109</v>
      </c>
      <c r="S408" s="49">
        <v>5</v>
      </c>
      <c r="T408" s="49">
        <v>11</v>
      </c>
      <c r="U408" s="63">
        <v>48</v>
      </c>
      <c r="V408" s="63">
        <v>528</v>
      </c>
    </row>
    <row r="409" spans="1:22" x14ac:dyDescent="0.25">
      <c r="A409" s="49">
        <v>4762</v>
      </c>
      <c r="B409" s="49" t="s">
        <v>14</v>
      </c>
      <c r="C409" s="49" t="s">
        <v>175</v>
      </c>
      <c r="D409" s="49" t="s">
        <v>84</v>
      </c>
      <c r="E409" s="49" t="s">
        <v>172</v>
      </c>
      <c r="F409" s="49">
        <v>2016</v>
      </c>
      <c r="G409" s="50">
        <v>42725.583333333336</v>
      </c>
      <c r="H409" s="50">
        <v>42738.75</v>
      </c>
      <c r="I409" s="54">
        <v>42725</v>
      </c>
      <c r="J409" s="54">
        <v>42738</v>
      </c>
      <c r="K409" s="51" t="s">
        <v>527</v>
      </c>
      <c r="L409" s="51">
        <v>0.75</v>
      </c>
      <c r="M409" s="51" t="s">
        <v>542</v>
      </c>
      <c r="N409" s="51" t="s">
        <v>538</v>
      </c>
      <c r="O409" s="51" t="s">
        <v>524</v>
      </c>
      <c r="P409" s="49" t="s">
        <v>23</v>
      </c>
      <c r="Q409" s="49" t="s">
        <v>38</v>
      </c>
      <c r="R409" s="49" t="s">
        <v>113</v>
      </c>
      <c r="S409" s="49">
        <v>2</v>
      </c>
      <c r="T409" s="49">
        <v>12</v>
      </c>
      <c r="U409" s="63">
        <v>52</v>
      </c>
      <c r="V409" s="63">
        <v>624</v>
      </c>
    </row>
    <row r="410" spans="1:22" x14ac:dyDescent="0.25">
      <c r="A410" s="49">
        <v>4763</v>
      </c>
      <c r="B410" s="49" t="s">
        <v>7</v>
      </c>
      <c r="C410" s="49" t="s">
        <v>175</v>
      </c>
      <c r="D410" s="49" t="s">
        <v>79</v>
      </c>
      <c r="E410" s="49" t="s">
        <v>168</v>
      </c>
      <c r="F410" s="49">
        <v>2016</v>
      </c>
      <c r="G410" s="50">
        <v>42726.375</v>
      </c>
      <c r="H410" s="50">
        <v>42732.75</v>
      </c>
      <c r="I410" s="54">
        <v>42726</v>
      </c>
      <c r="J410" s="54">
        <v>42732</v>
      </c>
      <c r="K410" s="51" t="s">
        <v>525</v>
      </c>
      <c r="L410" s="51">
        <v>0.75</v>
      </c>
      <c r="M410" s="51" t="s">
        <v>540</v>
      </c>
      <c r="N410" s="51" t="s">
        <v>538</v>
      </c>
      <c r="O410" s="51" t="s">
        <v>524</v>
      </c>
      <c r="P410" s="49" t="s">
        <v>23</v>
      </c>
      <c r="Q410" s="49" t="s">
        <v>31</v>
      </c>
      <c r="R410" s="49" t="s">
        <v>113</v>
      </c>
      <c r="S410" s="49">
        <v>5</v>
      </c>
      <c r="T410" s="49">
        <v>8</v>
      </c>
      <c r="U410" s="63">
        <v>48</v>
      </c>
      <c r="V410" s="63">
        <v>384</v>
      </c>
    </row>
    <row r="411" spans="1:22" x14ac:dyDescent="0.25">
      <c r="A411" s="49">
        <v>4764</v>
      </c>
      <c r="B411" s="49" t="s">
        <v>14</v>
      </c>
      <c r="C411" s="49" t="s">
        <v>175</v>
      </c>
      <c r="D411" s="49" t="s">
        <v>85</v>
      </c>
      <c r="E411" s="49" t="s">
        <v>170</v>
      </c>
      <c r="F411" s="49">
        <v>2016</v>
      </c>
      <c r="G411" s="50">
        <v>42727.333333333336</v>
      </c>
      <c r="H411" s="50">
        <v>42740.5</v>
      </c>
      <c r="I411" s="54">
        <v>42727</v>
      </c>
      <c r="J411" s="54">
        <v>42740</v>
      </c>
      <c r="K411" s="51" t="s">
        <v>522</v>
      </c>
      <c r="L411" s="51">
        <v>0.5</v>
      </c>
      <c r="M411" s="51" t="s">
        <v>539</v>
      </c>
      <c r="N411" s="51" t="s">
        <v>538</v>
      </c>
      <c r="O411" s="51" t="s">
        <v>524</v>
      </c>
      <c r="P411" s="49" t="s">
        <v>9</v>
      </c>
      <c r="Q411" s="49" t="s">
        <v>21</v>
      </c>
      <c r="R411" s="49" t="s">
        <v>113</v>
      </c>
      <c r="S411" s="49">
        <v>5</v>
      </c>
      <c r="T411" s="49">
        <v>12</v>
      </c>
      <c r="U411" s="63">
        <v>48</v>
      </c>
      <c r="V411" s="63">
        <v>576</v>
      </c>
    </row>
    <row r="412" spans="1:22" x14ac:dyDescent="0.25">
      <c r="A412" s="49">
        <v>4765</v>
      </c>
      <c r="B412" s="49" t="s">
        <v>29</v>
      </c>
      <c r="C412" s="49" t="s">
        <v>177</v>
      </c>
      <c r="D412" s="49" t="s">
        <v>86</v>
      </c>
      <c r="E412" s="49" t="s">
        <v>169</v>
      </c>
      <c r="F412" s="49">
        <v>2016</v>
      </c>
      <c r="G412" s="50">
        <v>42728.375</v>
      </c>
      <c r="H412" s="50">
        <v>42733.75</v>
      </c>
      <c r="I412" s="54">
        <v>42728</v>
      </c>
      <c r="J412" s="54">
        <v>42733</v>
      </c>
      <c r="K412" s="51" t="s">
        <v>525</v>
      </c>
      <c r="L412" s="51">
        <v>0.75</v>
      </c>
      <c r="M412" s="51" t="s">
        <v>540</v>
      </c>
      <c r="N412" s="51" t="s">
        <v>538</v>
      </c>
      <c r="O412" s="51" t="s">
        <v>524</v>
      </c>
      <c r="P412" s="49" t="s">
        <v>23</v>
      </c>
      <c r="Q412" s="49" t="s">
        <v>16</v>
      </c>
      <c r="R412" s="49" t="s">
        <v>109</v>
      </c>
      <c r="S412" s="49">
        <v>4</v>
      </c>
      <c r="T412" s="49">
        <v>10</v>
      </c>
      <c r="U412" s="63">
        <v>48</v>
      </c>
      <c r="V412" s="63">
        <v>480</v>
      </c>
    </row>
    <row r="413" spans="1:22" x14ac:dyDescent="0.25">
      <c r="A413" s="49">
        <v>4766</v>
      </c>
      <c r="B413" s="49" t="s">
        <v>7</v>
      </c>
      <c r="C413" s="49" t="s">
        <v>175</v>
      </c>
      <c r="D413" s="49" t="s">
        <v>82</v>
      </c>
      <c r="E413" s="49" t="s">
        <v>172</v>
      </c>
      <c r="F413" s="49">
        <v>2016</v>
      </c>
      <c r="G413" s="50">
        <v>42730.791666666664</v>
      </c>
      <c r="H413" s="50">
        <v>42741.958333333336</v>
      </c>
      <c r="I413" s="54">
        <v>42730</v>
      </c>
      <c r="J413" s="54">
        <v>42741</v>
      </c>
      <c r="K413" s="51" t="s">
        <v>526</v>
      </c>
      <c r="L413" s="51">
        <v>0.95833333333333337</v>
      </c>
      <c r="M413" s="51" t="s">
        <v>541</v>
      </c>
      <c r="N413" s="51" t="s">
        <v>538</v>
      </c>
      <c r="O413" s="51" t="s">
        <v>524</v>
      </c>
      <c r="P413" s="49" t="s">
        <v>23</v>
      </c>
      <c r="Q413" s="49" t="s">
        <v>24</v>
      </c>
      <c r="R413" s="49" t="s">
        <v>113</v>
      </c>
      <c r="S413" s="49">
        <v>2</v>
      </c>
      <c r="T413" s="49">
        <v>8</v>
      </c>
      <c r="U413" s="63">
        <v>75</v>
      </c>
      <c r="V413" s="63">
        <v>600</v>
      </c>
    </row>
    <row r="414" spans="1:22" x14ac:dyDescent="0.25">
      <c r="A414" s="49">
        <v>4767</v>
      </c>
      <c r="B414" s="49" t="s">
        <v>45</v>
      </c>
      <c r="C414" s="49" t="s">
        <v>177</v>
      </c>
      <c r="D414" s="49" t="s">
        <v>79</v>
      </c>
      <c r="E414" s="49" t="s">
        <v>168</v>
      </c>
      <c r="F414" s="49">
        <v>2016</v>
      </c>
      <c r="G414" s="50">
        <v>42730.791666666664</v>
      </c>
      <c r="H414" s="50">
        <v>42741.958333333336</v>
      </c>
      <c r="I414" s="54">
        <v>42730</v>
      </c>
      <c r="J414" s="54">
        <v>42741</v>
      </c>
      <c r="K414" s="51" t="s">
        <v>526</v>
      </c>
      <c r="L414" s="51">
        <v>0.95833333333333337</v>
      </c>
      <c r="M414" s="51" t="s">
        <v>541</v>
      </c>
      <c r="N414" s="51" t="s">
        <v>538</v>
      </c>
      <c r="O414" s="51" t="s">
        <v>524</v>
      </c>
      <c r="P414" s="49" t="s">
        <v>23</v>
      </c>
      <c r="Q414" s="49" t="s">
        <v>33</v>
      </c>
      <c r="R414" s="49" t="s">
        <v>113</v>
      </c>
      <c r="S414" s="49">
        <v>3</v>
      </c>
      <c r="T414" s="49">
        <v>10</v>
      </c>
      <c r="U414" s="63">
        <v>48</v>
      </c>
      <c r="V414" s="63">
        <v>480</v>
      </c>
    </row>
    <row r="415" spans="1:22" x14ac:dyDescent="0.25">
      <c r="A415" s="49">
        <v>4768</v>
      </c>
      <c r="B415" s="49" t="s">
        <v>19</v>
      </c>
      <c r="C415" s="49" t="s">
        <v>176</v>
      </c>
      <c r="D415" s="49" t="s">
        <v>76</v>
      </c>
      <c r="E415" s="49" t="s">
        <v>174</v>
      </c>
      <c r="F415" s="49">
        <v>2016</v>
      </c>
      <c r="G415" s="50">
        <v>42731.791666666664</v>
      </c>
      <c r="H415" s="50">
        <v>42744.958333333336</v>
      </c>
      <c r="I415" s="54">
        <v>42731</v>
      </c>
      <c r="J415" s="54">
        <v>42744</v>
      </c>
      <c r="K415" s="51" t="s">
        <v>526</v>
      </c>
      <c r="L415" s="51">
        <v>0.95833333333333337</v>
      </c>
      <c r="M415" s="51" t="s">
        <v>541</v>
      </c>
      <c r="N415" s="51" t="s">
        <v>538</v>
      </c>
      <c r="O415" s="51" t="s">
        <v>524</v>
      </c>
      <c r="P415" s="49" t="s">
        <v>23</v>
      </c>
      <c r="Q415" s="49" t="s">
        <v>35</v>
      </c>
      <c r="R415" s="49" t="s">
        <v>109</v>
      </c>
      <c r="S415" s="49">
        <v>3</v>
      </c>
      <c r="T415" s="49">
        <v>9</v>
      </c>
      <c r="U415" s="63">
        <v>53</v>
      </c>
      <c r="V415" s="63">
        <v>477</v>
      </c>
    </row>
    <row r="416" spans="1:22" x14ac:dyDescent="0.25">
      <c r="A416" s="49">
        <v>4769</v>
      </c>
      <c r="B416" s="49" t="s">
        <v>29</v>
      </c>
      <c r="C416" s="49" t="s">
        <v>177</v>
      </c>
      <c r="D416" s="49" t="s">
        <v>81</v>
      </c>
      <c r="E416" s="49" t="s">
        <v>172</v>
      </c>
      <c r="F416" s="49">
        <v>2016</v>
      </c>
      <c r="G416" s="50">
        <v>42732.583333333336</v>
      </c>
      <c r="H416" s="50">
        <v>42745.75</v>
      </c>
      <c r="I416" s="54">
        <v>42732</v>
      </c>
      <c r="J416" s="54">
        <v>42745</v>
      </c>
      <c r="K416" s="51" t="s">
        <v>527</v>
      </c>
      <c r="L416" s="51">
        <v>0.75</v>
      </c>
      <c r="M416" s="51" t="s">
        <v>542</v>
      </c>
      <c r="N416" s="51" t="s">
        <v>538</v>
      </c>
      <c r="O416" s="51" t="s">
        <v>524</v>
      </c>
      <c r="P416" s="49" t="s">
        <v>23</v>
      </c>
      <c r="Q416" s="49" t="s">
        <v>28</v>
      </c>
      <c r="R416" s="49" t="s">
        <v>109</v>
      </c>
      <c r="S416" s="49">
        <v>5</v>
      </c>
      <c r="T416" s="49">
        <v>12</v>
      </c>
      <c r="U416" s="63">
        <v>43</v>
      </c>
      <c r="V416" s="63">
        <v>516</v>
      </c>
    </row>
    <row r="417" spans="1:22" x14ac:dyDescent="0.25">
      <c r="A417" s="49">
        <v>4770</v>
      </c>
      <c r="B417" s="49" t="s">
        <v>29</v>
      </c>
      <c r="C417" s="49" t="s">
        <v>177</v>
      </c>
      <c r="D417" s="49" t="s">
        <v>77</v>
      </c>
      <c r="E417" s="49" t="s">
        <v>172</v>
      </c>
      <c r="F417" s="49">
        <v>2016</v>
      </c>
      <c r="G417" s="50">
        <v>42733.375</v>
      </c>
      <c r="H417" s="50">
        <v>42739.75</v>
      </c>
      <c r="I417" s="54">
        <v>42733</v>
      </c>
      <c r="J417" s="54">
        <v>42739</v>
      </c>
      <c r="K417" s="51" t="s">
        <v>525</v>
      </c>
      <c r="L417" s="51">
        <v>0.75</v>
      </c>
      <c r="M417" s="51" t="s">
        <v>540</v>
      </c>
      <c r="N417" s="51" t="s">
        <v>538</v>
      </c>
      <c r="O417" s="51" t="s">
        <v>524</v>
      </c>
      <c r="P417" s="49" t="s">
        <v>23</v>
      </c>
      <c r="Q417" s="49" t="s">
        <v>33</v>
      </c>
      <c r="R417" s="49" t="s">
        <v>113</v>
      </c>
      <c r="S417" s="49">
        <v>2</v>
      </c>
      <c r="T417" s="49">
        <v>11</v>
      </c>
      <c r="U417" s="63">
        <v>35</v>
      </c>
      <c r="V417" s="63">
        <v>385</v>
      </c>
    </row>
    <row r="418" spans="1:22" x14ac:dyDescent="0.25">
      <c r="A418" s="49">
        <v>4771</v>
      </c>
      <c r="B418" s="49" t="s">
        <v>39</v>
      </c>
      <c r="C418" s="49" t="s">
        <v>177</v>
      </c>
      <c r="D418" s="49" t="s">
        <v>79</v>
      </c>
      <c r="E418" s="49" t="s">
        <v>168</v>
      </c>
      <c r="F418" s="49">
        <v>2016</v>
      </c>
      <c r="G418" s="50">
        <v>42734.333333333336</v>
      </c>
      <c r="H418" s="50">
        <v>42747.5</v>
      </c>
      <c r="I418" s="54">
        <v>42734</v>
      </c>
      <c r="J418" s="54">
        <v>42747</v>
      </c>
      <c r="K418" s="51" t="s">
        <v>522</v>
      </c>
      <c r="L418" s="51">
        <v>0.5</v>
      </c>
      <c r="M418" s="51" t="s">
        <v>539</v>
      </c>
      <c r="N418" s="51" t="s">
        <v>538</v>
      </c>
      <c r="O418" s="51" t="s">
        <v>524</v>
      </c>
      <c r="P418" s="49" t="s">
        <v>9</v>
      </c>
      <c r="Q418" s="49" t="s">
        <v>12</v>
      </c>
      <c r="R418" s="49" t="s">
        <v>113</v>
      </c>
      <c r="S418" s="49" t="s">
        <v>191</v>
      </c>
      <c r="T418" s="49">
        <v>10</v>
      </c>
      <c r="U418" s="63">
        <v>48</v>
      </c>
      <c r="V418" s="63">
        <v>480</v>
      </c>
    </row>
    <row r="419" spans="1:22" x14ac:dyDescent="0.25">
      <c r="A419" s="49">
        <v>4772</v>
      </c>
      <c r="B419" s="49" t="s">
        <v>19</v>
      </c>
      <c r="C419" s="49" t="s">
        <v>176</v>
      </c>
      <c r="D419" s="49" t="s">
        <v>88</v>
      </c>
      <c r="E419" s="49" t="s">
        <v>170</v>
      </c>
      <c r="F419" s="49">
        <v>2016</v>
      </c>
      <c r="G419" s="50">
        <v>42735.375</v>
      </c>
      <c r="H419" s="50">
        <v>42740.75</v>
      </c>
      <c r="I419" s="54">
        <v>42735</v>
      </c>
      <c r="J419" s="54">
        <v>42740</v>
      </c>
      <c r="K419" s="51" t="s">
        <v>525</v>
      </c>
      <c r="L419" s="51">
        <v>0.75</v>
      </c>
      <c r="M419" s="51" t="s">
        <v>540</v>
      </c>
      <c r="N419" s="51" t="s">
        <v>538</v>
      </c>
      <c r="O419" s="51" t="s">
        <v>524</v>
      </c>
      <c r="P419" s="49" t="s">
        <v>9</v>
      </c>
      <c r="Q419" s="49" t="s">
        <v>16</v>
      </c>
      <c r="R419" s="49" t="s">
        <v>109</v>
      </c>
      <c r="S419" s="49">
        <v>2</v>
      </c>
      <c r="T419" s="49">
        <v>9</v>
      </c>
      <c r="U419" s="63">
        <v>42</v>
      </c>
      <c r="V419" s="63">
        <v>378</v>
      </c>
    </row>
    <row r="420" spans="1:22" x14ac:dyDescent="0.25">
      <c r="A420" s="49" t="s">
        <v>192</v>
      </c>
      <c r="B420" s="49" t="s">
        <v>14</v>
      </c>
      <c r="C420" s="49" t="s">
        <v>175</v>
      </c>
      <c r="D420" s="49" t="s">
        <v>81</v>
      </c>
      <c r="E420" s="49" t="s">
        <v>172</v>
      </c>
      <c r="F420" s="49">
        <v>2016</v>
      </c>
      <c r="G420" s="50">
        <v>42737.791666666664</v>
      </c>
      <c r="H420" s="50">
        <v>42748.958333333336</v>
      </c>
      <c r="I420" s="54">
        <v>42737</v>
      </c>
      <c r="J420" s="54">
        <v>42748</v>
      </c>
      <c r="K420" s="51" t="s">
        <v>526</v>
      </c>
      <c r="L420" s="51">
        <v>0.95833333333333337</v>
      </c>
      <c r="M420" s="51" t="s">
        <v>541</v>
      </c>
      <c r="N420" s="51" t="s">
        <v>523</v>
      </c>
      <c r="O420" s="51" t="s">
        <v>543</v>
      </c>
      <c r="P420" s="49" t="s">
        <v>23</v>
      </c>
      <c r="Q420" s="49" t="s">
        <v>16</v>
      </c>
      <c r="R420" s="49" t="s">
        <v>109</v>
      </c>
      <c r="S420" s="49">
        <v>2</v>
      </c>
      <c r="T420" s="49">
        <v>8</v>
      </c>
      <c r="U420" s="63">
        <v>43</v>
      </c>
      <c r="V420" s="63">
        <v>344</v>
      </c>
    </row>
    <row r="421" spans="1:22" x14ac:dyDescent="0.25">
      <c r="A421" s="49" t="s">
        <v>193</v>
      </c>
      <c r="B421" s="49" t="s">
        <v>11</v>
      </c>
      <c r="C421" s="49" t="s">
        <v>175</v>
      </c>
      <c r="D421" s="49" t="s">
        <v>82</v>
      </c>
      <c r="E421" s="49" t="s">
        <v>172</v>
      </c>
      <c r="F421" s="49">
        <v>2016</v>
      </c>
      <c r="G421" s="50">
        <v>42737.791666666664</v>
      </c>
      <c r="H421" s="50">
        <v>42748.958333333336</v>
      </c>
      <c r="I421" s="54">
        <v>42737</v>
      </c>
      <c r="J421" s="54">
        <v>42748</v>
      </c>
      <c r="K421" s="51" t="s">
        <v>526</v>
      </c>
      <c r="L421" s="51">
        <v>0.95833333333333337</v>
      </c>
      <c r="M421" s="51" t="s">
        <v>541</v>
      </c>
      <c r="N421" s="51" t="s">
        <v>523</v>
      </c>
      <c r="O421" s="51" t="s">
        <v>543</v>
      </c>
      <c r="P421" s="49" t="s">
        <v>23</v>
      </c>
      <c r="Q421" s="49" t="s">
        <v>28</v>
      </c>
      <c r="R421" s="49" t="s">
        <v>109</v>
      </c>
      <c r="S421" s="49">
        <v>4</v>
      </c>
      <c r="T421" s="49">
        <v>12</v>
      </c>
      <c r="U421" s="63">
        <v>75</v>
      </c>
      <c r="V421" s="63">
        <v>900</v>
      </c>
    </row>
    <row r="422" spans="1:22" x14ac:dyDescent="0.25">
      <c r="A422" s="49" t="s">
        <v>194</v>
      </c>
      <c r="B422" s="49" t="s">
        <v>11</v>
      </c>
      <c r="C422" s="49" t="s">
        <v>175</v>
      </c>
      <c r="D422" s="49" t="s">
        <v>88</v>
      </c>
      <c r="E422" s="49" t="s">
        <v>170</v>
      </c>
      <c r="F422" s="49">
        <v>2016</v>
      </c>
      <c r="G422" s="50">
        <v>42738.791666666664</v>
      </c>
      <c r="H422" s="50">
        <v>42751.958333333336</v>
      </c>
      <c r="I422" s="54">
        <v>42738</v>
      </c>
      <c r="J422" s="54">
        <v>42751</v>
      </c>
      <c r="K422" s="51" t="s">
        <v>526</v>
      </c>
      <c r="L422" s="51">
        <v>0.95833333333333337</v>
      </c>
      <c r="M422" s="51" t="s">
        <v>541</v>
      </c>
      <c r="N422" s="51" t="s">
        <v>523</v>
      </c>
      <c r="O422" s="51" t="s">
        <v>543</v>
      </c>
      <c r="P422" s="49" t="s">
        <v>9</v>
      </c>
      <c r="Q422" s="49" t="s">
        <v>12</v>
      </c>
      <c r="R422" s="49" t="s">
        <v>113</v>
      </c>
      <c r="S422" s="49">
        <v>2</v>
      </c>
      <c r="T422" s="49">
        <v>9</v>
      </c>
      <c r="U422" s="63">
        <v>42</v>
      </c>
      <c r="V422" s="63">
        <v>378</v>
      </c>
    </row>
    <row r="423" spans="1:22" x14ac:dyDescent="0.25">
      <c r="A423" s="49" t="s">
        <v>195</v>
      </c>
      <c r="B423" s="49" t="s">
        <v>7</v>
      </c>
      <c r="C423" s="49" t="s">
        <v>175</v>
      </c>
      <c r="D423" s="49" t="s">
        <v>77</v>
      </c>
      <c r="E423" s="49" t="s">
        <v>172</v>
      </c>
      <c r="F423" s="49">
        <v>2016</v>
      </c>
      <c r="G423" s="50">
        <v>42739.583333333336</v>
      </c>
      <c r="H423" s="50">
        <v>42752.75</v>
      </c>
      <c r="I423" s="54">
        <v>42739</v>
      </c>
      <c r="J423" s="54">
        <v>42752</v>
      </c>
      <c r="K423" s="51" t="s">
        <v>527</v>
      </c>
      <c r="L423" s="51">
        <v>0.75</v>
      </c>
      <c r="M423" s="51" t="s">
        <v>542</v>
      </c>
      <c r="N423" s="51" t="s">
        <v>523</v>
      </c>
      <c r="O423" s="51" t="s">
        <v>543</v>
      </c>
      <c r="P423" s="49" t="s">
        <v>9</v>
      </c>
      <c r="Q423" s="49" t="s">
        <v>190</v>
      </c>
      <c r="R423" s="49" t="s">
        <v>109</v>
      </c>
      <c r="S423" s="49">
        <v>2</v>
      </c>
      <c r="T423" s="49">
        <v>10</v>
      </c>
      <c r="U423" s="63">
        <v>35</v>
      </c>
      <c r="V423" s="63">
        <v>350</v>
      </c>
    </row>
    <row r="424" spans="1:22" x14ac:dyDescent="0.25">
      <c r="A424" s="49" t="s">
        <v>196</v>
      </c>
      <c r="B424" s="49" t="s">
        <v>22</v>
      </c>
      <c r="C424" s="49" t="s">
        <v>176</v>
      </c>
      <c r="D424" s="49" t="s">
        <v>84</v>
      </c>
      <c r="E424" s="49" t="s">
        <v>172</v>
      </c>
      <c r="F424" s="49">
        <v>2016</v>
      </c>
      <c r="G424" s="50">
        <v>42740.375</v>
      </c>
      <c r="H424" s="50">
        <v>42746.75</v>
      </c>
      <c r="I424" s="54">
        <v>42740</v>
      </c>
      <c r="J424" s="54">
        <v>42746</v>
      </c>
      <c r="K424" s="51" t="s">
        <v>525</v>
      </c>
      <c r="L424" s="51">
        <v>0.75</v>
      </c>
      <c r="M424" s="51" t="s">
        <v>540</v>
      </c>
      <c r="N424" s="51" t="s">
        <v>523</v>
      </c>
      <c r="O424" s="51" t="s">
        <v>543</v>
      </c>
      <c r="P424" s="49" t="s">
        <v>23</v>
      </c>
      <c r="Q424" s="49" t="s">
        <v>28</v>
      </c>
      <c r="R424" s="49" t="s">
        <v>109</v>
      </c>
      <c r="S424" s="49">
        <v>4</v>
      </c>
      <c r="T424" s="49">
        <v>9</v>
      </c>
      <c r="U424" s="63">
        <v>52</v>
      </c>
      <c r="V424" s="63">
        <v>468</v>
      </c>
    </row>
    <row r="425" spans="1:22" x14ac:dyDescent="0.25">
      <c r="A425" s="49" t="s">
        <v>197</v>
      </c>
      <c r="B425" s="49" t="s">
        <v>22</v>
      </c>
      <c r="C425" s="49" t="s">
        <v>176</v>
      </c>
      <c r="D425" s="49" t="s">
        <v>88</v>
      </c>
      <c r="E425" s="49" t="s">
        <v>170</v>
      </c>
      <c r="F425" s="49">
        <v>2016</v>
      </c>
      <c r="G425" s="50">
        <v>42741.333333333336</v>
      </c>
      <c r="H425" s="50">
        <v>42754.5</v>
      </c>
      <c r="I425" s="54">
        <v>42741</v>
      </c>
      <c r="J425" s="54">
        <v>42754</v>
      </c>
      <c r="K425" s="51" t="s">
        <v>522</v>
      </c>
      <c r="L425" s="51">
        <v>0.5</v>
      </c>
      <c r="M425" s="51" t="s">
        <v>539</v>
      </c>
      <c r="N425" s="51" t="s">
        <v>523</v>
      </c>
      <c r="O425" s="51" t="s">
        <v>543</v>
      </c>
      <c r="P425" s="49" t="s">
        <v>9</v>
      </c>
      <c r="Q425" s="49" t="s">
        <v>28</v>
      </c>
      <c r="R425" s="49" t="s">
        <v>109</v>
      </c>
      <c r="S425" s="49">
        <v>2</v>
      </c>
      <c r="T425" s="49">
        <v>10</v>
      </c>
      <c r="U425" s="63">
        <v>42</v>
      </c>
      <c r="V425" s="63">
        <v>420</v>
      </c>
    </row>
    <row r="426" spans="1:22" x14ac:dyDescent="0.25">
      <c r="A426" s="49" t="s">
        <v>198</v>
      </c>
      <c r="B426" s="49" t="s">
        <v>19</v>
      </c>
      <c r="C426" s="49" t="s">
        <v>176</v>
      </c>
      <c r="D426" s="49" t="s">
        <v>88</v>
      </c>
      <c r="E426" s="49" t="s">
        <v>170</v>
      </c>
      <c r="F426" s="49">
        <v>2016</v>
      </c>
      <c r="G426" s="50">
        <v>42742.375</v>
      </c>
      <c r="H426" s="50">
        <v>42747.75</v>
      </c>
      <c r="I426" s="54">
        <v>42742</v>
      </c>
      <c r="J426" s="54">
        <v>42747</v>
      </c>
      <c r="K426" s="51" t="s">
        <v>525</v>
      </c>
      <c r="L426" s="51">
        <v>0.75</v>
      </c>
      <c r="M426" s="51" t="s">
        <v>540</v>
      </c>
      <c r="N426" s="51" t="s">
        <v>523</v>
      </c>
      <c r="O426" s="51" t="s">
        <v>543</v>
      </c>
      <c r="P426" s="49" t="s">
        <v>9</v>
      </c>
      <c r="Q426" s="49" t="s">
        <v>37</v>
      </c>
      <c r="R426" s="49" t="s">
        <v>113</v>
      </c>
      <c r="S426" s="49">
        <v>4</v>
      </c>
      <c r="T426" s="49">
        <v>9</v>
      </c>
      <c r="U426" s="63">
        <v>42</v>
      </c>
      <c r="V426" s="63">
        <v>378</v>
      </c>
    </row>
    <row r="427" spans="1:22" x14ac:dyDescent="0.25">
      <c r="A427" s="49" t="s">
        <v>199</v>
      </c>
      <c r="B427" s="49" t="s">
        <v>29</v>
      </c>
      <c r="C427" s="49" t="s">
        <v>177</v>
      </c>
      <c r="D427" s="49" t="s">
        <v>85</v>
      </c>
      <c r="E427" s="49" t="s">
        <v>170</v>
      </c>
      <c r="F427" s="49">
        <v>2016</v>
      </c>
      <c r="G427" s="50">
        <v>42744.791666666664</v>
      </c>
      <c r="H427" s="50">
        <v>42755.958333333336</v>
      </c>
      <c r="I427" s="54">
        <v>42744</v>
      </c>
      <c r="J427" s="54">
        <v>42755</v>
      </c>
      <c r="K427" s="51" t="s">
        <v>526</v>
      </c>
      <c r="L427" s="51">
        <v>0.95833333333333337</v>
      </c>
      <c r="M427" s="51" t="s">
        <v>541</v>
      </c>
      <c r="N427" s="51" t="s">
        <v>523</v>
      </c>
      <c r="O427" s="51" t="s">
        <v>543</v>
      </c>
      <c r="P427" s="49" t="s">
        <v>23</v>
      </c>
      <c r="Q427" s="49" t="s">
        <v>21</v>
      </c>
      <c r="R427" s="49" t="s">
        <v>113</v>
      </c>
      <c r="S427" s="49">
        <v>4</v>
      </c>
      <c r="T427" s="49">
        <v>12</v>
      </c>
      <c r="U427" s="63">
        <v>48</v>
      </c>
      <c r="V427" s="63">
        <v>576</v>
      </c>
    </row>
    <row r="428" spans="1:22" x14ac:dyDescent="0.25">
      <c r="A428" s="49" t="s">
        <v>200</v>
      </c>
      <c r="B428" s="49" t="s">
        <v>14</v>
      </c>
      <c r="C428" s="49" t="s">
        <v>175</v>
      </c>
      <c r="D428" s="49" t="s">
        <v>80</v>
      </c>
      <c r="E428" s="49" t="s">
        <v>173</v>
      </c>
      <c r="F428" s="49">
        <v>2016</v>
      </c>
      <c r="G428" s="50">
        <v>42744.791666666664</v>
      </c>
      <c r="H428" s="50">
        <v>42755.958333333336</v>
      </c>
      <c r="I428" s="54">
        <v>42744</v>
      </c>
      <c r="J428" s="54">
        <v>42755</v>
      </c>
      <c r="K428" s="51" t="s">
        <v>526</v>
      </c>
      <c r="L428" s="51">
        <v>0.95833333333333337</v>
      </c>
      <c r="M428" s="51" t="s">
        <v>541</v>
      </c>
      <c r="N428" s="51" t="s">
        <v>523</v>
      </c>
      <c r="O428" s="51" t="s">
        <v>543</v>
      </c>
      <c r="P428" s="49" t="s">
        <v>9</v>
      </c>
      <c r="Q428" s="49" t="s">
        <v>28</v>
      </c>
      <c r="R428" s="49" t="s">
        <v>109</v>
      </c>
      <c r="S428" s="49">
        <v>4</v>
      </c>
      <c r="T428" s="49">
        <v>9</v>
      </c>
      <c r="U428" s="63">
        <v>32</v>
      </c>
      <c r="V428" s="63">
        <v>288</v>
      </c>
    </row>
    <row r="429" spans="1:22" x14ac:dyDescent="0.25">
      <c r="A429" s="49" t="s">
        <v>201</v>
      </c>
      <c r="B429" s="49" t="s">
        <v>11</v>
      </c>
      <c r="C429" s="49" t="s">
        <v>175</v>
      </c>
      <c r="D429" s="49" t="s">
        <v>76</v>
      </c>
      <c r="E429" s="49" t="s">
        <v>174</v>
      </c>
      <c r="F429" s="49">
        <v>2016</v>
      </c>
      <c r="G429" s="50">
        <v>42745.791666666664</v>
      </c>
      <c r="H429" s="50">
        <v>42758.958333333336</v>
      </c>
      <c r="I429" s="54">
        <v>42745</v>
      </c>
      <c r="J429" s="54">
        <v>42758</v>
      </c>
      <c r="K429" s="51" t="s">
        <v>526</v>
      </c>
      <c r="L429" s="51">
        <v>0.95833333333333337</v>
      </c>
      <c r="M429" s="51" t="s">
        <v>541</v>
      </c>
      <c r="N429" s="51" t="s">
        <v>523</v>
      </c>
      <c r="O429" s="51" t="s">
        <v>543</v>
      </c>
      <c r="P429" s="49" t="s">
        <v>23</v>
      </c>
      <c r="Q429" s="49" t="s">
        <v>16</v>
      </c>
      <c r="R429" s="49" t="s">
        <v>109</v>
      </c>
      <c r="S429" s="49">
        <v>5</v>
      </c>
      <c r="T429" s="49">
        <v>9</v>
      </c>
      <c r="U429" s="63">
        <v>53</v>
      </c>
      <c r="V429" s="63">
        <v>477</v>
      </c>
    </row>
    <row r="430" spans="1:22" x14ac:dyDescent="0.25">
      <c r="A430" s="49" t="s">
        <v>202</v>
      </c>
      <c r="B430" s="49" t="s">
        <v>7</v>
      </c>
      <c r="C430" s="49" t="s">
        <v>175</v>
      </c>
      <c r="D430" s="49" t="s">
        <v>80</v>
      </c>
      <c r="E430" s="49" t="s">
        <v>173</v>
      </c>
      <c r="F430" s="49">
        <v>2016</v>
      </c>
      <c r="G430" s="50">
        <v>42746.583333333336</v>
      </c>
      <c r="H430" s="50">
        <v>42759.75</v>
      </c>
      <c r="I430" s="54">
        <v>42746</v>
      </c>
      <c r="J430" s="54">
        <v>42759</v>
      </c>
      <c r="K430" s="51" t="s">
        <v>527</v>
      </c>
      <c r="L430" s="51">
        <v>0.75</v>
      </c>
      <c r="M430" s="51" t="s">
        <v>542</v>
      </c>
      <c r="N430" s="51" t="s">
        <v>523</v>
      </c>
      <c r="O430" s="51" t="s">
        <v>543</v>
      </c>
      <c r="P430" s="49" t="s">
        <v>23</v>
      </c>
      <c r="Q430" s="49" t="s">
        <v>190</v>
      </c>
      <c r="R430" s="49" t="s">
        <v>109</v>
      </c>
      <c r="S430" s="49">
        <v>3</v>
      </c>
      <c r="T430" s="49">
        <v>11</v>
      </c>
      <c r="U430" s="63">
        <v>32</v>
      </c>
      <c r="V430" s="63">
        <v>352</v>
      </c>
    </row>
    <row r="431" spans="1:22" x14ac:dyDescent="0.25">
      <c r="A431" s="49" t="s">
        <v>203</v>
      </c>
      <c r="B431" s="49" t="s">
        <v>22</v>
      </c>
      <c r="C431" s="49" t="s">
        <v>176</v>
      </c>
      <c r="D431" s="49" t="s">
        <v>77</v>
      </c>
      <c r="E431" s="49" t="s">
        <v>172</v>
      </c>
      <c r="F431" s="49">
        <v>2016</v>
      </c>
      <c r="G431" s="50">
        <v>42747.375</v>
      </c>
      <c r="H431" s="50">
        <v>42753.75</v>
      </c>
      <c r="I431" s="54">
        <v>42747</v>
      </c>
      <c r="J431" s="54">
        <v>42753</v>
      </c>
      <c r="K431" s="51" t="s">
        <v>525</v>
      </c>
      <c r="L431" s="51">
        <v>0.75</v>
      </c>
      <c r="M431" s="51" t="s">
        <v>540</v>
      </c>
      <c r="N431" s="51" t="s">
        <v>523</v>
      </c>
      <c r="O431" s="51" t="s">
        <v>543</v>
      </c>
      <c r="P431" s="49" t="s">
        <v>9</v>
      </c>
      <c r="Q431" s="49" t="s">
        <v>37</v>
      </c>
      <c r="R431" s="49" t="s">
        <v>113</v>
      </c>
      <c r="S431" s="49">
        <v>5</v>
      </c>
      <c r="T431" s="49">
        <v>12</v>
      </c>
      <c r="U431" s="63">
        <v>35</v>
      </c>
      <c r="V431" s="63">
        <v>420</v>
      </c>
    </row>
    <row r="432" spans="1:22" x14ac:dyDescent="0.25">
      <c r="A432" s="49" t="s">
        <v>204</v>
      </c>
      <c r="B432" s="49" t="s">
        <v>22</v>
      </c>
      <c r="C432" s="49" t="s">
        <v>176</v>
      </c>
      <c r="D432" s="49" t="s">
        <v>80</v>
      </c>
      <c r="E432" s="49" t="s">
        <v>173</v>
      </c>
      <c r="F432" s="49">
        <v>2016</v>
      </c>
      <c r="G432" s="50">
        <v>42748.333333333336</v>
      </c>
      <c r="H432" s="50">
        <v>42762.5</v>
      </c>
      <c r="I432" s="54">
        <v>42748</v>
      </c>
      <c r="J432" s="54">
        <v>42762</v>
      </c>
      <c r="K432" s="51" t="s">
        <v>522</v>
      </c>
      <c r="L432" s="51">
        <v>0.5</v>
      </c>
      <c r="M432" s="51" t="s">
        <v>539</v>
      </c>
      <c r="N432" s="51" t="s">
        <v>523</v>
      </c>
      <c r="O432" s="51" t="s">
        <v>543</v>
      </c>
      <c r="P432" s="49" t="s">
        <v>23</v>
      </c>
      <c r="Q432" s="49" t="s">
        <v>190</v>
      </c>
      <c r="R432" s="49" t="s">
        <v>109</v>
      </c>
      <c r="S432" s="49">
        <v>2</v>
      </c>
      <c r="T432" s="49">
        <v>10</v>
      </c>
      <c r="U432" s="63">
        <v>32</v>
      </c>
      <c r="V432" s="63">
        <v>320</v>
      </c>
    </row>
    <row r="433" spans="1:22" x14ac:dyDescent="0.25">
      <c r="A433" s="49" t="s">
        <v>205</v>
      </c>
      <c r="B433" s="49" t="s">
        <v>22</v>
      </c>
      <c r="C433" s="49" t="s">
        <v>176</v>
      </c>
      <c r="D433" s="49" t="s">
        <v>84</v>
      </c>
      <c r="E433" s="49" t="s">
        <v>172</v>
      </c>
      <c r="F433" s="49">
        <v>2016</v>
      </c>
      <c r="G433" s="50">
        <v>42749.375</v>
      </c>
      <c r="H433" s="50">
        <v>42754.75</v>
      </c>
      <c r="I433" s="54">
        <v>42749</v>
      </c>
      <c r="J433" s="54">
        <v>42754</v>
      </c>
      <c r="K433" s="51" t="s">
        <v>525</v>
      </c>
      <c r="L433" s="51">
        <v>0.75</v>
      </c>
      <c r="M433" s="51" t="s">
        <v>540</v>
      </c>
      <c r="N433" s="51" t="s">
        <v>523</v>
      </c>
      <c r="O433" s="51" t="s">
        <v>543</v>
      </c>
      <c r="P433" s="49" t="s">
        <v>23</v>
      </c>
      <c r="Q433" s="49" t="s">
        <v>24</v>
      </c>
      <c r="R433" s="49" t="s">
        <v>113</v>
      </c>
      <c r="S433" s="49">
        <v>5</v>
      </c>
      <c r="T433" s="49">
        <v>12</v>
      </c>
      <c r="U433" s="63">
        <v>52</v>
      </c>
      <c r="V433" s="63">
        <v>624</v>
      </c>
    </row>
    <row r="434" spans="1:22" x14ac:dyDescent="0.25">
      <c r="A434" s="49" t="s">
        <v>206</v>
      </c>
      <c r="B434" s="49" t="s">
        <v>39</v>
      </c>
      <c r="C434" s="49" t="s">
        <v>177</v>
      </c>
      <c r="D434" s="49" t="s">
        <v>89</v>
      </c>
      <c r="E434" s="49" t="s">
        <v>169</v>
      </c>
      <c r="F434" s="49">
        <v>2016</v>
      </c>
      <c r="G434" s="50">
        <v>42751.791666666664</v>
      </c>
      <c r="H434" s="50">
        <v>42765.958333333336</v>
      </c>
      <c r="I434" s="54">
        <v>42751</v>
      </c>
      <c r="J434" s="54">
        <v>42765</v>
      </c>
      <c r="K434" s="51" t="s">
        <v>526</v>
      </c>
      <c r="L434" s="51">
        <v>0.95833333333333337</v>
      </c>
      <c r="M434" s="51" t="s">
        <v>541</v>
      </c>
      <c r="N434" s="51" t="s">
        <v>523</v>
      </c>
      <c r="O434" s="51" t="s">
        <v>543</v>
      </c>
      <c r="P434" s="49" t="s">
        <v>23</v>
      </c>
      <c r="Q434" s="49" t="s">
        <v>41</v>
      </c>
      <c r="R434" s="49" t="s">
        <v>113</v>
      </c>
      <c r="S434" s="49">
        <v>4</v>
      </c>
      <c r="T434" s="49">
        <v>8</v>
      </c>
      <c r="U434" s="63">
        <v>62</v>
      </c>
      <c r="V434" s="63">
        <v>496</v>
      </c>
    </row>
    <row r="435" spans="1:22" x14ac:dyDescent="0.25">
      <c r="A435" s="49" t="s">
        <v>207</v>
      </c>
      <c r="B435" s="49" t="s">
        <v>19</v>
      </c>
      <c r="C435" s="49" t="s">
        <v>176</v>
      </c>
      <c r="D435" s="49" t="s">
        <v>78</v>
      </c>
      <c r="E435" s="49" t="s">
        <v>172</v>
      </c>
      <c r="F435" s="49">
        <v>2016</v>
      </c>
      <c r="G435" s="50">
        <v>42751.791666666664</v>
      </c>
      <c r="H435" s="50">
        <v>42765.958333333336</v>
      </c>
      <c r="I435" s="54">
        <v>42751</v>
      </c>
      <c r="J435" s="54">
        <v>42765</v>
      </c>
      <c r="K435" s="51" t="s">
        <v>526</v>
      </c>
      <c r="L435" s="51">
        <v>0.95833333333333337</v>
      </c>
      <c r="M435" s="51" t="s">
        <v>541</v>
      </c>
      <c r="N435" s="51" t="s">
        <v>523</v>
      </c>
      <c r="O435" s="51" t="s">
        <v>543</v>
      </c>
      <c r="P435" s="49" t="s">
        <v>9</v>
      </c>
      <c r="Q435" s="49" t="s">
        <v>190</v>
      </c>
      <c r="R435" s="49" t="s">
        <v>109</v>
      </c>
      <c r="S435" s="49">
        <v>4</v>
      </c>
      <c r="T435" s="49">
        <v>10</v>
      </c>
      <c r="U435" s="63">
        <v>62</v>
      </c>
      <c r="V435" s="63">
        <v>620</v>
      </c>
    </row>
    <row r="436" spans="1:22" x14ac:dyDescent="0.25">
      <c r="A436" s="49" t="s">
        <v>208</v>
      </c>
      <c r="B436" s="49" t="s">
        <v>11</v>
      </c>
      <c r="C436" s="49" t="s">
        <v>175</v>
      </c>
      <c r="D436" s="49" t="s">
        <v>77</v>
      </c>
      <c r="E436" s="49" t="s">
        <v>172</v>
      </c>
      <c r="F436" s="49">
        <v>2016</v>
      </c>
      <c r="G436" s="50">
        <v>42752.791666666664</v>
      </c>
      <c r="H436" s="50">
        <v>42766.958333333336</v>
      </c>
      <c r="I436" s="54">
        <v>42752</v>
      </c>
      <c r="J436" s="54">
        <v>42766</v>
      </c>
      <c r="K436" s="51" t="s">
        <v>526</v>
      </c>
      <c r="L436" s="51">
        <v>0.95833333333333337</v>
      </c>
      <c r="M436" s="51" t="s">
        <v>541</v>
      </c>
      <c r="N436" s="51" t="s">
        <v>523</v>
      </c>
      <c r="O436" s="51" t="s">
        <v>543</v>
      </c>
      <c r="P436" s="49" t="s">
        <v>23</v>
      </c>
      <c r="Q436" s="49" t="s">
        <v>24</v>
      </c>
      <c r="R436" s="49" t="s">
        <v>113</v>
      </c>
      <c r="S436" s="49">
        <v>5</v>
      </c>
      <c r="T436" s="49">
        <v>8</v>
      </c>
      <c r="U436" s="63">
        <v>35</v>
      </c>
      <c r="V436" s="63">
        <v>280</v>
      </c>
    </row>
    <row r="437" spans="1:22" x14ac:dyDescent="0.25">
      <c r="A437" s="49" t="s">
        <v>209</v>
      </c>
      <c r="B437" s="49" t="s">
        <v>45</v>
      </c>
      <c r="C437" s="49" t="s">
        <v>177</v>
      </c>
      <c r="D437" s="49" t="s">
        <v>83</v>
      </c>
      <c r="E437" s="49" t="s">
        <v>174</v>
      </c>
      <c r="F437" s="49">
        <v>2016</v>
      </c>
      <c r="G437" s="50">
        <v>42753.583333333336</v>
      </c>
      <c r="H437" s="50">
        <v>42767.75</v>
      </c>
      <c r="I437" s="54">
        <v>42753</v>
      </c>
      <c r="J437" s="54">
        <v>42767</v>
      </c>
      <c r="K437" s="51" t="s">
        <v>527</v>
      </c>
      <c r="L437" s="51">
        <v>0.75</v>
      </c>
      <c r="M437" s="51" t="s">
        <v>542</v>
      </c>
      <c r="N437" s="51" t="s">
        <v>523</v>
      </c>
      <c r="O437" s="51" t="s">
        <v>543</v>
      </c>
      <c r="P437" s="49" t="s">
        <v>9</v>
      </c>
      <c r="Q437" s="49" t="s">
        <v>35</v>
      </c>
      <c r="R437" s="49" t="s">
        <v>109</v>
      </c>
      <c r="S437" s="49">
        <v>4</v>
      </c>
      <c r="T437" s="49">
        <v>9</v>
      </c>
      <c r="U437" s="63">
        <v>63</v>
      </c>
      <c r="V437" s="63">
        <v>567</v>
      </c>
    </row>
    <row r="438" spans="1:22" x14ac:dyDescent="0.25">
      <c r="A438" s="49" t="s">
        <v>210</v>
      </c>
      <c r="B438" s="49" t="s">
        <v>17</v>
      </c>
      <c r="C438" s="49" t="s">
        <v>176</v>
      </c>
      <c r="D438" s="49" t="s">
        <v>76</v>
      </c>
      <c r="E438" s="49" t="s">
        <v>174</v>
      </c>
      <c r="F438" s="49">
        <v>2016</v>
      </c>
      <c r="G438" s="50">
        <v>42754.375</v>
      </c>
      <c r="H438" s="50">
        <v>42761.75</v>
      </c>
      <c r="I438" s="54">
        <v>42754</v>
      </c>
      <c r="J438" s="54">
        <v>42761</v>
      </c>
      <c r="K438" s="51" t="s">
        <v>525</v>
      </c>
      <c r="L438" s="51">
        <v>0.75</v>
      </c>
      <c r="M438" s="51" t="s">
        <v>540</v>
      </c>
      <c r="N438" s="51" t="s">
        <v>523</v>
      </c>
      <c r="O438" s="51" t="s">
        <v>543</v>
      </c>
      <c r="P438" s="49" t="s">
        <v>9</v>
      </c>
      <c r="Q438" s="49" t="s">
        <v>37</v>
      </c>
      <c r="R438" s="49" t="s">
        <v>113</v>
      </c>
      <c r="S438" s="49">
        <v>4</v>
      </c>
      <c r="T438" s="49">
        <v>8</v>
      </c>
      <c r="U438" s="63">
        <v>53</v>
      </c>
      <c r="V438" s="63">
        <v>424</v>
      </c>
    </row>
    <row r="439" spans="1:22" x14ac:dyDescent="0.25">
      <c r="A439" s="49" t="s">
        <v>211</v>
      </c>
      <c r="B439" s="49" t="s">
        <v>19</v>
      </c>
      <c r="C439" s="49" t="s">
        <v>176</v>
      </c>
      <c r="D439" s="49" t="s">
        <v>85</v>
      </c>
      <c r="E439" s="49" t="s">
        <v>170</v>
      </c>
      <c r="F439" s="49">
        <v>2016</v>
      </c>
      <c r="G439" s="50">
        <v>42755.333333333336</v>
      </c>
      <c r="H439" s="50">
        <v>42769.5</v>
      </c>
      <c r="I439" s="54">
        <v>42755</v>
      </c>
      <c r="J439" s="54">
        <v>42769</v>
      </c>
      <c r="K439" s="51" t="s">
        <v>522</v>
      </c>
      <c r="L439" s="51">
        <v>0.5</v>
      </c>
      <c r="M439" s="51" t="s">
        <v>539</v>
      </c>
      <c r="N439" s="51" t="s">
        <v>523</v>
      </c>
      <c r="O439" s="51" t="s">
        <v>543</v>
      </c>
      <c r="P439" s="49" t="s">
        <v>23</v>
      </c>
      <c r="Q439" s="49" t="s">
        <v>22</v>
      </c>
      <c r="R439" s="49" t="s">
        <v>109</v>
      </c>
      <c r="S439" s="49">
        <v>4</v>
      </c>
      <c r="T439" s="49">
        <v>10</v>
      </c>
      <c r="U439" s="63">
        <v>48</v>
      </c>
      <c r="V439" s="63">
        <v>480</v>
      </c>
    </row>
    <row r="440" spans="1:22" x14ac:dyDescent="0.25">
      <c r="A440" s="49" t="s">
        <v>212</v>
      </c>
      <c r="B440" s="49" t="s">
        <v>17</v>
      </c>
      <c r="C440" s="49" t="s">
        <v>176</v>
      </c>
      <c r="D440" s="49" t="s">
        <v>86</v>
      </c>
      <c r="E440" s="49" t="s">
        <v>169</v>
      </c>
      <c r="F440" s="49">
        <v>2016</v>
      </c>
      <c r="G440" s="50">
        <v>42756.375</v>
      </c>
      <c r="H440" s="50">
        <v>42762.75</v>
      </c>
      <c r="I440" s="54">
        <v>42756</v>
      </c>
      <c r="J440" s="54">
        <v>42762</v>
      </c>
      <c r="K440" s="51" t="s">
        <v>525</v>
      </c>
      <c r="L440" s="51">
        <v>0.75</v>
      </c>
      <c r="M440" s="51" t="s">
        <v>540</v>
      </c>
      <c r="N440" s="51" t="s">
        <v>523</v>
      </c>
      <c r="O440" s="51" t="s">
        <v>543</v>
      </c>
      <c r="P440" s="49" t="s">
        <v>9</v>
      </c>
      <c r="Q440" s="49" t="s">
        <v>18</v>
      </c>
      <c r="R440" s="49" t="s">
        <v>113</v>
      </c>
      <c r="S440" s="49">
        <v>5</v>
      </c>
      <c r="T440" s="49">
        <v>12</v>
      </c>
      <c r="U440" s="63">
        <v>48</v>
      </c>
      <c r="V440" s="63">
        <v>576</v>
      </c>
    </row>
    <row r="441" spans="1:22" x14ac:dyDescent="0.25">
      <c r="A441" s="49" t="s">
        <v>213</v>
      </c>
      <c r="B441" s="49" t="s">
        <v>19</v>
      </c>
      <c r="C441" s="49" t="s">
        <v>176</v>
      </c>
      <c r="D441" s="49" t="s">
        <v>88</v>
      </c>
      <c r="E441" s="49" t="s">
        <v>170</v>
      </c>
      <c r="F441" s="49">
        <v>2016</v>
      </c>
      <c r="G441" s="50">
        <v>42758.791666666664</v>
      </c>
      <c r="H441" s="50">
        <v>42772.958333333336</v>
      </c>
      <c r="I441" s="54">
        <v>42758</v>
      </c>
      <c r="J441" s="54">
        <v>42772</v>
      </c>
      <c r="K441" s="51" t="s">
        <v>526</v>
      </c>
      <c r="L441" s="51">
        <v>0.95833333333333337</v>
      </c>
      <c r="M441" s="51" t="s">
        <v>541</v>
      </c>
      <c r="N441" s="51" t="s">
        <v>523</v>
      </c>
      <c r="O441" s="51" t="s">
        <v>543</v>
      </c>
      <c r="P441" s="49" t="s">
        <v>23</v>
      </c>
      <c r="Q441" s="49" t="s">
        <v>12</v>
      </c>
      <c r="R441" s="49" t="s">
        <v>113</v>
      </c>
      <c r="S441" s="49">
        <v>2</v>
      </c>
      <c r="T441" s="49">
        <v>11</v>
      </c>
      <c r="U441" s="63">
        <v>42</v>
      </c>
      <c r="V441" s="63">
        <v>462</v>
      </c>
    </row>
    <row r="442" spans="1:22" x14ac:dyDescent="0.25">
      <c r="A442" s="49" t="s">
        <v>214</v>
      </c>
      <c r="B442" s="49" t="s">
        <v>14</v>
      </c>
      <c r="C442" s="49" t="s">
        <v>175</v>
      </c>
      <c r="D442" s="49" t="s">
        <v>82</v>
      </c>
      <c r="E442" s="49" t="s">
        <v>172</v>
      </c>
      <c r="F442" s="49">
        <v>2016</v>
      </c>
      <c r="G442" s="50">
        <v>42758.791666666664</v>
      </c>
      <c r="H442" s="50">
        <v>42772.958333333336</v>
      </c>
      <c r="I442" s="54">
        <v>42758</v>
      </c>
      <c r="J442" s="54">
        <v>42772</v>
      </c>
      <c r="K442" s="51" t="s">
        <v>526</v>
      </c>
      <c r="L442" s="51">
        <v>0.95833333333333337</v>
      </c>
      <c r="M442" s="51" t="s">
        <v>541</v>
      </c>
      <c r="N442" s="51" t="s">
        <v>523</v>
      </c>
      <c r="O442" s="51" t="s">
        <v>543</v>
      </c>
      <c r="P442" s="49" t="s">
        <v>23</v>
      </c>
      <c r="Q442" s="49" t="s">
        <v>190</v>
      </c>
      <c r="R442" s="49" t="s">
        <v>109</v>
      </c>
      <c r="S442" s="49">
        <v>4</v>
      </c>
      <c r="T442" s="49">
        <v>11</v>
      </c>
      <c r="U442" s="63">
        <v>75</v>
      </c>
      <c r="V442" s="63">
        <v>825</v>
      </c>
    </row>
    <row r="443" spans="1:22" x14ac:dyDescent="0.25">
      <c r="A443" s="49" t="s">
        <v>215</v>
      </c>
      <c r="B443" s="49" t="s">
        <v>17</v>
      </c>
      <c r="C443" s="49" t="s">
        <v>176</v>
      </c>
      <c r="D443" s="49" t="s">
        <v>80</v>
      </c>
      <c r="E443" s="49" t="s">
        <v>173</v>
      </c>
      <c r="F443" s="49">
        <v>2016</v>
      </c>
      <c r="G443" s="50">
        <v>42759.791666666664</v>
      </c>
      <c r="H443" s="50">
        <v>42773.958333333336</v>
      </c>
      <c r="I443" s="54">
        <v>42759</v>
      </c>
      <c r="J443" s="54">
        <v>42773</v>
      </c>
      <c r="K443" s="51" t="s">
        <v>526</v>
      </c>
      <c r="L443" s="51">
        <v>0.95833333333333337</v>
      </c>
      <c r="M443" s="51" t="s">
        <v>541</v>
      </c>
      <c r="N443" s="51" t="s">
        <v>523</v>
      </c>
      <c r="O443" s="51" t="s">
        <v>543</v>
      </c>
      <c r="P443" s="49" t="s">
        <v>23</v>
      </c>
      <c r="Q443" s="49" t="s">
        <v>16</v>
      </c>
      <c r="R443" s="49" t="s">
        <v>109</v>
      </c>
      <c r="S443" s="49">
        <v>3</v>
      </c>
      <c r="T443" s="49">
        <v>8</v>
      </c>
      <c r="U443" s="63">
        <v>32</v>
      </c>
      <c r="V443" s="63">
        <v>256</v>
      </c>
    </row>
    <row r="444" spans="1:22" x14ac:dyDescent="0.25">
      <c r="A444" s="49" t="s">
        <v>216</v>
      </c>
      <c r="B444" s="49" t="s">
        <v>7</v>
      </c>
      <c r="C444" s="49" t="s">
        <v>175</v>
      </c>
      <c r="D444" s="49" t="s">
        <v>83</v>
      </c>
      <c r="E444" s="49" t="s">
        <v>174</v>
      </c>
      <c r="F444" s="49">
        <v>2016</v>
      </c>
      <c r="G444" s="50">
        <v>42760.583333333336</v>
      </c>
      <c r="H444" s="50">
        <v>42773.75</v>
      </c>
      <c r="I444" s="54">
        <v>42760</v>
      </c>
      <c r="J444" s="54">
        <v>42773</v>
      </c>
      <c r="K444" s="51" t="s">
        <v>527</v>
      </c>
      <c r="L444" s="51">
        <v>0.75</v>
      </c>
      <c r="M444" s="51" t="s">
        <v>542</v>
      </c>
      <c r="N444" s="51" t="s">
        <v>523</v>
      </c>
      <c r="O444" s="51" t="s">
        <v>543</v>
      </c>
      <c r="P444" s="49" t="s">
        <v>9</v>
      </c>
      <c r="Q444" s="49" t="s">
        <v>35</v>
      </c>
      <c r="R444" s="49" t="s">
        <v>109</v>
      </c>
      <c r="S444" s="49">
        <v>5</v>
      </c>
      <c r="T444" s="49">
        <v>10</v>
      </c>
      <c r="U444" s="63">
        <v>63</v>
      </c>
      <c r="V444" s="63">
        <v>630</v>
      </c>
    </row>
    <row r="445" spans="1:22" x14ac:dyDescent="0.25">
      <c r="A445" s="49" t="s">
        <v>217</v>
      </c>
      <c r="B445" s="49" t="s">
        <v>7</v>
      </c>
      <c r="C445" s="49" t="s">
        <v>175</v>
      </c>
      <c r="D445" s="49" t="s">
        <v>78</v>
      </c>
      <c r="E445" s="49" t="s">
        <v>172</v>
      </c>
      <c r="F445" s="49">
        <v>2016</v>
      </c>
      <c r="G445" s="50">
        <v>42761.375</v>
      </c>
      <c r="H445" s="50">
        <v>42767.75</v>
      </c>
      <c r="I445" s="54">
        <v>42761</v>
      </c>
      <c r="J445" s="54">
        <v>42767</v>
      </c>
      <c r="K445" s="51" t="s">
        <v>525</v>
      </c>
      <c r="L445" s="51">
        <v>0.75</v>
      </c>
      <c r="M445" s="51" t="s">
        <v>540</v>
      </c>
      <c r="N445" s="51" t="s">
        <v>523</v>
      </c>
      <c r="O445" s="51" t="s">
        <v>543</v>
      </c>
      <c r="P445" s="49" t="s">
        <v>9</v>
      </c>
      <c r="Q445" s="49" t="s">
        <v>12</v>
      </c>
      <c r="R445" s="49" t="s">
        <v>113</v>
      </c>
      <c r="S445" s="49">
        <v>2</v>
      </c>
      <c r="T445" s="49">
        <v>8</v>
      </c>
      <c r="U445" s="63">
        <v>62</v>
      </c>
      <c r="V445" s="63">
        <v>496</v>
      </c>
    </row>
    <row r="446" spans="1:22" x14ac:dyDescent="0.25">
      <c r="A446" s="49" t="s">
        <v>218</v>
      </c>
      <c r="B446" s="49" t="s">
        <v>19</v>
      </c>
      <c r="C446" s="49" t="s">
        <v>176</v>
      </c>
      <c r="D446" s="49" t="s">
        <v>80</v>
      </c>
      <c r="E446" s="49" t="s">
        <v>173</v>
      </c>
      <c r="F446" s="49">
        <v>2016</v>
      </c>
      <c r="G446" s="50">
        <v>42762.333333333336</v>
      </c>
      <c r="H446" s="50">
        <v>42775.5</v>
      </c>
      <c r="I446" s="54">
        <v>42762</v>
      </c>
      <c r="J446" s="54">
        <v>42775</v>
      </c>
      <c r="K446" s="51" t="s">
        <v>522</v>
      </c>
      <c r="L446" s="51">
        <v>0.5</v>
      </c>
      <c r="M446" s="51" t="s">
        <v>539</v>
      </c>
      <c r="N446" s="51" t="s">
        <v>523</v>
      </c>
      <c r="O446" s="51" t="s">
        <v>543</v>
      </c>
      <c r="P446" s="49" t="s">
        <v>23</v>
      </c>
      <c r="Q446" s="49" t="s">
        <v>44</v>
      </c>
      <c r="R446" s="49" t="s">
        <v>113</v>
      </c>
      <c r="S446" s="49">
        <v>2</v>
      </c>
      <c r="T446" s="49">
        <v>9</v>
      </c>
      <c r="U446" s="63">
        <v>32</v>
      </c>
      <c r="V446" s="63">
        <v>288</v>
      </c>
    </row>
    <row r="447" spans="1:22" x14ac:dyDescent="0.25">
      <c r="A447" s="49" t="s">
        <v>219</v>
      </c>
      <c r="B447" s="49" t="s">
        <v>14</v>
      </c>
      <c r="C447" s="49" t="s">
        <v>175</v>
      </c>
      <c r="D447" s="49" t="s">
        <v>84</v>
      </c>
      <c r="E447" s="49" t="s">
        <v>172</v>
      </c>
      <c r="F447" s="49">
        <v>2016</v>
      </c>
      <c r="G447" s="50">
        <v>42763.375</v>
      </c>
      <c r="H447" s="50">
        <v>42768.75</v>
      </c>
      <c r="I447" s="54">
        <v>42763</v>
      </c>
      <c r="J447" s="54">
        <v>42768</v>
      </c>
      <c r="K447" s="51" t="s">
        <v>525</v>
      </c>
      <c r="L447" s="51">
        <v>0.75</v>
      </c>
      <c r="M447" s="51" t="s">
        <v>540</v>
      </c>
      <c r="N447" s="51" t="s">
        <v>523</v>
      </c>
      <c r="O447" s="51" t="s">
        <v>543</v>
      </c>
      <c r="P447" s="49" t="s">
        <v>9</v>
      </c>
      <c r="Q447" s="49" t="s">
        <v>24</v>
      </c>
      <c r="R447" s="49" t="s">
        <v>113</v>
      </c>
      <c r="S447" s="49">
        <v>3</v>
      </c>
      <c r="T447" s="49">
        <v>9</v>
      </c>
      <c r="U447" s="63">
        <v>52</v>
      </c>
      <c r="V447" s="63">
        <v>468</v>
      </c>
    </row>
    <row r="448" spans="1:22" x14ac:dyDescent="0.25">
      <c r="A448" s="49" t="s">
        <v>220</v>
      </c>
      <c r="B448" s="49" t="s">
        <v>7</v>
      </c>
      <c r="C448" s="49" t="s">
        <v>175</v>
      </c>
      <c r="D448" s="49" t="s">
        <v>88</v>
      </c>
      <c r="E448" s="49" t="s">
        <v>170</v>
      </c>
      <c r="F448" s="49">
        <v>2016</v>
      </c>
      <c r="G448" s="50">
        <v>42765.791666666664</v>
      </c>
      <c r="H448" s="50">
        <v>42776.958333333336</v>
      </c>
      <c r="I448" s="54">
        <v>42765</v>
      </c>
      <c r="J448" s="54">
        <v>42776</v>
      </c>
      <c r="K448" s="51" t="s">
        <v>526</v>
      </c>
      <c r="L448" s="51">
        <v>0.95833333333333337</v>
      </c>
      <c r="M448" s="51" t="s">
        <v>541</v>
      </c>
      <c r="N448" s="51" t="s">
        <v>523</v>
      </c>
      <c r="O448" s="51" t="s">
        <v>543</v>
      </c>
      <c r="P448" s="49" t="s">
        <v>9</v>
      </c>
      <c r="Q448" s="49" t="s">
        <v>24</v>
      </c>
      <c r="R448" s="49" t="s">
        <v>113</v>
      </c>
      <c r="S448" s="49">
        <v>5</v>
      </c>
      <c r="T448" s="49">
        <v>8</v>
      </c>
      <c r="U448" s="63">
        <v>42</v>
      </c>
      <c r="V448" s="63">
        <v>336</v>
      </c>
    </row>
    <row r="449" spans="1:22" x14ac:dyDescent="0.25">
      <c r="A449" s="49" t="s">
        <v>221</v>
      </c>
      <c r="B449" s="49" t="s">
        <v>19</v>
      </c>
      <c r="C449" s="49" t="s">
        <v>176</v>
      </c>
      <c r="D449" s="49" t="s">
        <v>81</v>
      </c>
      <c r="E449" s="49" t="s">
        <v>172</v>
      </c>
      <c r="F449" s="49">
        <v>2016</v>
      </c>
      <c r="G449" s="50">
        <v>42765.791666666664</v>
      </c>
      <c r="H449" s="50">
        <v>42776.958333333336</v>
      </c>
      <c r="I449" s="54">
        <v>42765</v>
      </c>
      <c r="J449" s="54">
        <v>42776</v>
      </c>
      <c r="K449" s="51" t="s">
        <v>526</v>
      </c>
      <c r="L449" s="51">
        <v>0.95833333333333337</v>
      </c>
      <c r="M449" s="51" t="s">
        <v>541</v>
      </c>
      <c r="N449" s="51" t="s">
        <v>523</v>
      </c>
      <c r="O449" s="51" t="s">
        <v>543</v>
      </c>
      <c r="P449" s="49" t="s">
        <v>9</v>
      </c>
      <c r="Q449" s="49" t="s">
        <v>21</v>
      </c>
      <c r="R449" s="49" t="s">
        <v>113</v>
      </c>
      <c r="S449" s="49">
        <v>3</v>
      </c>
      <c r="T449" s="49">
        <v>8</v>
      </c>
      <c r="U449" s="63">
        <v>43</v>
      </c>
      <c r="V449" s="63">
        <v>344</v>
      </c>
    </row>
    <row r="450" spans="1:22" x14ac:dyDescent="0.25">
      <c r="A450" s="49" t="s">
        <v>222</v>
      </c>
      <c r="B450" s="49" t="s">
        <v>17</v>
      </c>
      <c r="C450" s="49" t="s">
        <v>176</v>
      </c>
      <c r="D450" s="49" t="s">
        <v>80</v>
      </c>
      <c r="E450" s="49" t="s">
        <v>173</v>
      </c>
      <c r="F450" s="49">
        <v>2016</v>
      </c>
      <c r="G450" s="50">
        <v>42766.791666666664</v>
      </c>
      <c r="H450" s="50">
        <v>42779.958333333336</v>
      </c>
      <c r="I450" s="54">
        <v>42766</v>
      </c>
      <c r="J450" s="54">
        <v>42779</v>
      </c>
      <c r="K450" s="51" t="s">
        <v>526</v>
      </c>
      <c r="L450" s="51">
        <v>0.95833333333333337</v>
      </c>
      <c r="M450" s="51" t="s">
        <v>541</v>
      </c>
      <c r="N450" s="51" t="s">
        <v>523</v>
      </c>
      <c r="O450" s="51" t="s">
        <v>543</v>
      </c>
      <c r="P450" s="49" t="s">
        <v>9</v>
      </c>
      <c r="Q450" s="49" t="s">
        <v>33</v>
      </c>
      <c r="R450" s="49" t="s">
        <v>113</v>
      </c>
      <c r="S450" s="49">
        <v>2</v>
      </c>
      <c r="T450" s="49">
        <v>12</v>
      </c>
      <c r="U450" s="63">
        <v>32</v>
      </c>
      <c r="V450" s="63">
        <v>384</v>
      </c>
    </row>
    <row r="451" spans="1:22" x14ac:dyDescent="0.25">
      <c r="A451" s="49" t="s">
        <v>223</v>
      </c>
      <c r="B451" s="49" t="s">
        <v>39</v>
      </c>
      <c r="C451" s="49" t="s">
        <v>177</v>
      </c>
      <c r="D451" s="49" t="s">
        <v>86</v>
      </c>
      <c r="E451" s="49" t="s">
        <v>169</v>
      </c>
      <c r="F451" s="49">
        <v>2016</v>
      </c>
      <c r="G451" s="50">
        <v>42767.583333333336</v>
      </c>
      <c r="H451" s="50">
        <v>42780.75</v>
      </c>
      <c r="I451" s="54">
        <v>42767</v>
      </c>
      <c r="J451" s="54">
        <v>42780</v>
      </c>
      <c r="K451" s="51" t="s">
        <v>527</v>
      </c>
      <c r="L451" s="51">
        <v>0.75</v>
      </c>
      <c r="M451" s="51" t="s">
        <v>542</v>
      </c>
      <c r="N451" s="51" t="s">
        <v>528</v>
      </c>
      <c r="O451" s="51" t="s">
        <v>543</v>
      </c>
      <c r="P451" s="49" t="s">
        <v>9</v>
      </c>
      <c r="Q451" s="49" t="s">
        <v>16</v>
      </c>
      <c r="R451" s="49" t="s">
        <v>109</v>
      </c>
      <c r="S451" s="49">
        <v>5</v>
      </c>
      <c r="T451" s="49">
        <v>9</v>
      </c>
      <c r="U451" s="63">
        <v>48</v>
      </c>
      <c r="V451" s="63">
        <v>432</v>
      </c>
    </row>
    <row r="452" spans="1:22" x14ac:dyDescent="0.25">
      <c r="A452" s="49" t="s">
        <v>224</v>
      </c>
      <c r="B452" s="49" t="s">
        <v>7</v>
      </c>
      <c r="C452" s="49" t="s">
        <v>175</v>
      </c>
      <c r="D452" s="49" t="s">
        <v>88</v>
      </c>
      <c r="E452" s="49" t="s">
        <v>170</v>
      </c>
      <c r="F452" s="49">
        <v>2016</v>
      </c>
      <c r="G452" s="50">
        <v>42768.375</v>
      </c>
      <c r="H452" s="50">
        <v>42774.75</v>
      </c>
      <c r="I452" s="54">
        <v>42768</v>
      </c>
      <c r="J452" s="54">
        <v>42774</v>
      </c>
      <c r="K452" s="51" t="s">
        <v>525</v>
      </c>
      <c r="L452" s="51">
        <v>0.75</v>
      </c>
      <c r="M452" s="51" t="s">
        <v>540</v>
      </c>
      <c r="N452" s="51" t="s">
        <v>528</v>
      </c>
      <c r="O452" s="51" t="s">
        <v>543</v>
      </c>
      <c r="P452" s="49" t="s">
        <v>23</v>
      </c>
      <c r="Q452" s="49" t="s">
        <v>41</v>
      </c>
      <c r="R452" s="49" t="s">
        <v>113</v>
      </c>
      <c r="S452" s="49">
        <v>2</v>
      </c>
      <c r="T452" s="49">
        <v>10</v>
      </c>
      <c r="U452" s="63">
        <v>42</v>
      </c>
      <c r="V452" s="63">
        <v>420</v>
      </c>
    </row>
    <row r="453" spans="1:22" x14ac:dyDescent="0.25">
      <c r="A453" s="49" t="s">
        <v>225</v>
      </c>
      <c r="B453" s="49" t="s">
        <v>11</v>
      </c>
      <c r="C453" s="49" t="s">
        <v>175</v>
      </c>
      <c r="D453" s="49" t="s">
        <v>82</v>
      </c>
      <c r="E453" s="49" t="s">
        <v>172</v>
      </c>
      <c r="F453" s="49">
        <v>2016</v>
      </c>
      <c r="G453" s="50">
        <v>42769.333333333336</v>
      </c>
      <c r="H453" s="50">
        <v>42782.5</v>
      </c>
      <c r="I453" s="54">
        <v>42769</v>
      </c>
      <c r="J453" s="54">
        <v>42782</v>
      </c>
      <c r="K453" s="51" t="s">
        <v>522</v>
      </c>
      <c r="L453" s="51">
        <v>0.5</v>
      </c>
      <c r="M453" s="51" t="s">
        <v>539</v>
      </c>
      <c r="N453" s="51" t="s">
        <v>528</v>
      </c>
      <c r="O453" s="51" t="s">
        <v>543</v>
      </c>
      <c r="P453" s="49" t="s">
        <v>23</v>
      </c>
      <c r="Q453" s="49" t="s">
        <v>190</v>
      </c>
      <c r="R453" s="49" t="s">
        <v>109</v>
      </c>
      <c r="S453" s="49">
        <v>5</v>
      </c>
      <c r="T453" s="49">
        <v>11</v>
      </c>
      <c r="U453" s="63">
        <v>75</v>
      </c>
      <c r="V453" s="63">
        <v>825</v>
      </c>
    </row>
    <row r="454" spans="1:22" x14ac:dyDescent="0.25">
      <c r="A454" s="49" t="s">
        <v>226</v>
      </c>
      <c r="B454" s="49" t="s">
        <v>22</v>
      </c>
      <c r="C454" s="49" t="s">
        <v>176</v>
      </c>
      <c r="D454" s="49" t="s">
        <v>88</v>
      </c>
      <c r="E454" s="49" t="s">
        <v>170</v>
      </c>
      <c r="F454" s="49">
        <v>2016</v>
      </c>
      <c r="G454" s="50">
        <v>42770.375</v>
      </c>
      <c r="H454" s="50">
        <v>42775.75</v>
      </c>
      <c r="I454" s="54">
        <v>42770</v>
      </c>
      <c r="J454" s="54">
        <v>42775</v>
      </c>
      <c r="K454" s="51" t="s">
        <v>525</v>
      </c>
      <c r="L454" s="51">
        <v>0.75</v>
      </c>
      <c r="M454" s="51" t="s">
        <v>540</v>
      </c>
      <c r="N454" s="51" t="s">
        <v>528</v>
      </c>
      <c r="O454" s="51" t="s">
        <v>543</v>
      </c>
      <c r="P454" s="49" t="s">
        <v>9</v>
      </c>
      <c r="Q454" s="49" t="s">
        <v>24</v>
      </c>
      <c r="R454" s="49" t="s">
        <v>113</v>
      </c>
      <c r="S454" s="49">
        <v>3</v>
      </c>
      <c r="T454" s="49">
        <v>8</v>
      </c>
      <c r="U454" s="63">
        <v>42</v>
      </c>
      <c r="V454" s="63">
        <v>336</v>
      </c>
    </row>
    <row r="455" spans="1:22" x14ac:dyDescent="0.25">
      <c r="A455" s="49" t="s">
        <v>227</v>
      </c>
      <c r="B455" s="49" t="s">
        <v>7</v>
      </c>
      <c r="C455" s="49" t="s">
        <v>175</v>
      </c>
      <c r="D455" s="49" t="s">
        <v>80</v>
      </c>
      <c r="E455" s="49" t="s">
        <v>173</v>
      </c>
      <c r="F455" s="49">
        <v>2016</v>
      </c>
      <c r="G455" s="50">
        <v>42772.791666666664</v>
      </c>
      <c r="H455" s="50">
        <v>42783.958333333336</v>
      </c>
      <c r="I455" s="54">
        <v>42772</v>
      </c>
      <c r="J455" s="54">
        <v>42783</v>
      </c>
      <c r="K455" s="51" t="s">
        <v>526</v>
      </c>
      <c r="L455" s="51">
        <v>0.95833333333333337</v>
      </c>
      <c r="M455" s="51" t="s">
        <v>541</v>
      </c>
      <c r="N455" s="51" t="s">
        <v>528</v>
      </c>
      <c r="O455" s="51" t="s">
        <v>543</v>
      </c>
      <c r="P455" s="49" t="s">
        <v>23</v>
      </c>
      <c r="Q455" s="49" t="s">
        <v>12</v>
      </c>
      <c r="R455" s="49" t="s">
        <v>113</v>
      </c>
      <c r="S455" s="49">
        <v>5</v>
      </c>
      <c r="T455" s="49">
        <v>10</v>
      </c>
      <c r="U455" s="63">
        <v>32</v>
      </c>
      <c r="V455" s="63">
        <v>320</v>
      </c>
    </row>
    <row r="456" spans="1:22" x14ac:dyDescent="0.25">
      <c r="A456" s="49" t="s">
        <v>228</v>
      </c>
      <c r="B456" s="49" t="s">
        <v>14</v>
      </c>
      <c r="C456" s="49" t="s">
        <v>175</v>
      </c>
      <c r="D456" s="49" t="s">
        <v>83</v>
      </c>
      <c r="E456" s="49" t="s">
        <v>174</v>
      </c>
      <c r="F456" s="49">
        <v>2016</v>
      </c>
      <c r="G456" s="50">
        <v>42772.791666666664</v>
      </c>
      <c r="H456" s="50">
        <v>42783.958333333336</v>
      </c>
      <c r="I456" s="54">
        <v>42772</v>
      </c>
      <c r="J456" s="54">
        <v>42783</v>
      </c>
      <c r="K456" s="51" t="s">
        <v>526</v>
      </c>
      <c r="L456" s="51">
        <v>0.95833333333333337</v>
      </c>
      <c r="M456" s="51" t="s">
        <v>541</v>
      </c>
      <c r="N456" s="51" t="s">
        <v>528</v>
      </c>
      <c r="O456" s="51" t="s">
        <v>543</v>
      </c>
      <c r="P456" s="49" t="s">
        <v>9</v>
      </c>
      <c r="Q456" s="49" t="s">
        <v>33</v>
      </c>
      <c r="R456" s="49" t="s">
        <v>113</v>
      </c>
      <c r="S456" s="49">
        <v>5</v>
      </c>
      <c r="T456" s="49">
        <v>11</v>
      </c>
      <c r="U456" s="63">
        <v>63</v>
      </c>
      <c r="V456" s="63">
        <v>693</v>
      </c>
    </row>
    <row r="457" spans="1:22" x14ac:dyDescent="0.25">
      <c r="A457" s="49" t="s">
        <v>229</v>
      </c>
      <c r="B457" s="49" t="s">
        <v>17</v>
      </c>
      <c r="C457" s="49" t="s">
        <v>176</v>
      </c>
      <c r="D457" s="49" t="s">
        <v>80</v>
      </c>
      <c r="E457" s="49" t="s">
        <v>173</v>
      </c>
      <c r="F457" s="49">
        <v>2016</v>
      </c>
      <c r="G457" s="50">
        <v>42773.791666666664</v>
      </c>
      <c r="H457" s="50">
        <v>42786.958333333336</v>
      </c>
      <c r="I457" s="54">
        <v>42773</v>
      </c>
      <c r="J457" s="54">
        <v>42786</v>
      </c>
      <c r="K457" s="51" t="s">
        <v>526</v>
      </c>
      <c r="L457" s="51">
        <v>0.95833333333333337</v>
      </c>
      <c r="M457" s="51" t="s">
        <v>541</v>
      </c>
      <c r="N457" s="51" t="s">
        <v>528</v>
      </c>
      <c r="O457" s="51" t="s">
        <v>543</v>
      </c>
      <c r="P457" s="49" t="s">
        <v>23</v>
      </c>
      <c r="Q457" s="49" t="s">
        <v>190</v>
      </c>
      <c r="R457" s="49" t="s">
        <v>109</v>
      </c>
      <c r="S457" s="49">
        <v>2</v>
      </c>
      <c r="T457" s="49">
        <v>10</v>
      </c>
      <c r="U457" s="63">
        <v>32</v>
      </c>
      <c r="V457" s="63">
        <v>320</v>
      </c>
    </row>
    <row r="458" spans="1:22" x14ac:dyDescent="0.25">
      <c r="A458" s="49" t="s">
        <v>230</v>
      </c>
      <c r="B458" s="49" t="s">
        <v>17</v>
      </c>
      <c r="C458" s="49" t="s">
        <v>176</v>
      </c>
      <c r="D458" s="49" t="s">
        <v>89</v>
      </c>
      <c r="E458" s="49" t="s">
        <v>169</v>
      </c>
      <c r="F458" s="49">
        <v>2016</v>
      </c>
      <c r="G458" s="50">
        <v>42774.583333333336</v>
      </c>
      <c r="H458" s="50">
        <v>42787.75</v>
      </c>
      <c r="I458" s="54">
        <v>42774</v>
      </c>
      <c r="J458" s="54">
        <v>42787</v>
      </c>
      <c r="K458" s="51" t="s">
        <v>527</v>
      </c>
      <c r="L458" s="51">
        <v>0.75</v>
      </c>
      <c r="M458" s="51" t="s">
        <v>542</v>
      </c>
      <c r="N458" s="51" t="s">
        <v>528</v>
      </c>
      <c r="O458" s="51" t="s">
        <v>543</v>
      </c>
      <c r="P458" s="49" t="s">
        <v>23</v>
      </c>
      <c r="Q458" s="49" t="s">
        <v>190</v>
      </c>
      <c r="R458" s="49" t="s">
        <v>109</v>
      </c>
      <c r="S458" s="49">
        <v>4</v>
      </c>
      <c r="T458" s="49">
        <v>11</v>
      </c>
      <c r="U458" s="63">
        <v>62</v>
      </c>
      <c r="V458" s="63">
        <v>682</v>
      </c>
    </row>
    <row r="459" spans="1:22" x14ac:dyDescent="0.25">
      <c r="A459" s="49" t="s">
        <v>231</v>
      </c>
      <c r="B459" s="49" t="s">
        <v>29</v>
      </c>
      <c r="C459" s="49" t="s">
        <v>177</v>
      </c>
      <c r="D459" s="49" t="s">
        <v>82</v>
      </c>
      <c r="E459" s="49" t="s">
        <v>172</v>
      </c>
      <c r="F459" s="49">
        <v>2016</v>
      </c>
      <c r="G459" s="50">
        <v>42775.375</v>
      </c>
      <c r="H459" s="50">
        <v>42781.75</v>
      </c>
      <c r="I459" s="54">
        <v>42775</v>
      </c>
      <c r="J459" s="54">
        <v>42781</v>
      </c>
      <c r="K459" s="51" t="s">
        <v>525</v>
      </c>
      <c r="L459" s="51">
        <v>0.75</v>
      </c>
      <c r="M459" s="51" t="s">
        <v>540</v>
      </c>
      <c r="N459" s="51" t="s">
        <v>528</v>
      </c>
      <c r="O459" s="51" t="s">
        <v>543</v>
      </c>
      <c r="P459" s="49" t="s">
        <v>9</v>
      </c>
      <c r="Q459" s="49" t="s">
        <v>38</v>
      </c>
      <c r="R459" s="49" t="s">
        <v>113</v>
      </c>
      <c r="S459" s="49">
        <v>3</v>
      </c>
      <c r="T459" s="49">
        <v>10</v>
      </c>
      <c r="U459" s="63">
        <v>75</v>
      </c>
      <c r="V459" s="63">
        <v>750</v>
      </c>
    </row>
    <row r="460" spans="1:22" x14ac:dyDescent="0.25">
      <c r="A460" s="49" t="s">
        <v>232</v>
      </c>
      <c r="B460" s="49" t="s">
        <v>39</v>
      </c>
      <c r="C460" s="49" t="s">
        <v>177</v>
      </c>
      <c r="D460" s="49" t="s">
        <v>78</v>
      </c>
      <c r="E460" s="49" t="s">
        <v>172</v>
      </c>
      <c r="F460" s="49">
        <v>2016</v>
      </c>
      <c r="G460" s="50">
        <v>42776.333333333336</v>
      </c>
      <c r="H460" s="50">
        <v>42789.5</v>
      </c>
      <c r="I460" s="54">
        <v>42776</v>
      </c>
      <c r="J460" s="54">
        <v>42789</v>
      </c>
      <c r="K460" s="51" t="s">
        <v>522</v>
      </c>
      <c r="L460" s="51">
        <v>0.5</v>
      </c>
      <c r="M460" s="51" t="s">
        <v>539</v>
      </c>
      <c r="N460" s="51" t="s">
        <v>528</v>
      </c>
      <c r="O460" s="51" t="s">
        <v>543</v>
      </c>
      <c r="P460" s="49" t="s">
        <v>23</v>
      </c>
      <c r="Q460" s="49" t="s">
        <v>41</v>
      </c>
      <c r="R460" s="49" t="s">
        <v>113</v>
      </c>
      <c r="S460" s="49">
        <v>5</v>
      </c>
      <c r="T460" s="49">
        <v>9</v>
      </c>
      <c r="U460" s="63">
        <v>62</v>
      </c>
      <c r="V460" s="63">
        <v>558</v>
      </c>
    </row>
    <row r="461" spans="1:22" x14ac:dyDescent="0.25">
      <c r="A461" s="49" t="s">
        <v>233</v>
      </c>
      <c r="B461" s="49" t="s">
        <v>45</v>
      </c>
      <c r="C461" s="49" t="s">
        <v>177</v>
      </c>
      <c r="D461" s="49" t="s">
        <v>80</v>
      </c>
      <c r="E461" s="49" t="s">
        <v>173</v>
      </c>
      <c r="F461" s="49">
        <v>2016</v>
      </c>
      <c r="G461" s="50">
        <v>42777.375</v>
      </c>
      <c r="H461" s="50">
        <v>42782.75</v>
      </c>
      <c r="I461" s="54">
        <v>42777</v>
      </c>
      <c r="J461" s="54">
        <v>42782</v>
      </c>
      <c r="K461" s="51" t="s">
        <v>525</v>
      </c>
      <c r="L461" s="51">
        <v>0.75</v>
      </c>
      <c r="M461" s="51" t="s">
        <v>540</v>
      </c>
      <c r="N461" s="51" t="s">
        <v>528</v>
      </c>
      <c r="O461" s="51" t="s">
        <v>543</v>
      </c>
      <c r="P461" s="49" t="s">
        <v>23</v>
      </c>
      <c r="Q461" s="49" t="s">
        <v>31</v>
      </c>
      <c r="R461" s="49" t="s">
        <v>113</v>
      </c>
      <c r="S461" s="49">
        <v>2</v>
      </c>
      <c r="T461" s="49">
        <v>10</v>
      </c>
      <c r="U461" s="63">
        <v>32</v>
      </c>
      <c r="V461" s="63">
        <v>320</v>
      </c>
    </row>
    <row r="462" spans="1:22" x14ac:dyDescent="0.25">
      <c r="A462" s="49" t="s">
        <v>234</v>
      </c>
      <c r="B462" s="49" t="s">
        <v>17</v>
      </c>
      <c r="C462" s="49" t="s">
        <v>176</v>
      </c>
      <c r="D462" s="49" t="s">
        <v>82</v>
      </c>
      <c r="E462" s="49" t="s">
        <v>172</v>
      </c>
      <c r="F462" s="49">
        <v>2016</v>
      </c>
      <c r="G462" s="50">
        <v>42779.791666666664</v>
      </c>
      <c r="H462" s="50">
        <v>42790.958333333336</v>
      </c>
      <c r="I462" s="54">
        <v>42779</v>
      </c>
      <c r="J462" s="54">
        <v>42790</v>
      </c>
      <c r="K462" s="51" t="s">
        <v>526</v>
      </c>
      <c r="L462" s="51">
        <v>0.95833333333333337</v>
      </c>
      <c r="M462" s="51" t="s">
        <v>541</v>
      </c>
      <c r="N462" s="51" t="s">
        <v>528</v>
      </c>
      <c r="O462" s="51" t="s">
        <v>543</v>
      </c>
      <c r="P462" s="49" t="s">
        <v>23</v>
      </c>
      <c r="Q462" s="49" t="s">
        <v>38</v>
      </c>
      <c r="R462" s="49" t="s">
        <v>113</v>
      </c>
      <c r="S462" s="49">
        <v>5</v>
      </c>
      <c r="T462" s="49">
        <v>9</v>
      </c>
      <c r="U462" s="63">
        <v>75</v>
      </c>
      <c r="V462" s="63">
        <v>675</v>
      </c>
    </row>
    <row r="463" spans="1:22" x14ac:dyDescent="0.25">
      <c r="A463" s="49" t="s">
        <v>235</v>
      </c>
      <c r="B463" s="49" t="s">
        <v>39</v>
      </c>
      <c r="C463" s="49" t="s">
        <v>177</v>
      </c>
      <c r="D463" s="49" t="s">
        <v>76</v>
      </c>
      <c r="E463" s="49" t="s">
        <v>174</v>
      </c>
      <c r="F463" s="49">
        <v>2016</v>
      </c>
      <c r="G463" s="50">
        <v>42779.791666666664</v>
      </c>
      <c r="H463" s="50">
        <v>42790.958333333336</v>
      </c>
      <c r="I463" s="54">
        <v>42779</v>
      </c>
      <c r="J463" s="54">
        <v>42790</v>
      </c>
      <c r="K463" s="51" t="s">
        <v>526</v>
      </c>
      <c r="L463" s="51">
        <v>0.95833333333333337</v>
      </c>
      <c r="M463" s="51" t="s">
        <v>541</v>
      </c>
      <c r="N463" s="51" t="s">
        <v>528</v>
      </c>
      <c r="O463" s="51" t="s">
        <v>543</v>
      </c>
      <c r="P463" s="49" t="s">
        <v>9</v>
      </c>
      <c r="Q463" s="49" t="s">
        <v>12</v>
      </c>
      <c r="R463" s="49" t="s">
        <v>113</v>
      </c>
      <c r="S463" s="49">
        <v>4</v>
      </c>
      <c r="T463" s="49">
        <v>9</v>
      </c>
      <c r="U463" s="63">
        <v>53</v>
      </c>
      <c r="V463" s="63">
        <v>477</v>
      </c>
    </row>
    <row r="464" spans="1:22" x14ac:dyDescent="0.25">
      <c r="A464" s="49" t="s">
        <v>236</v>
      </c>
      <c r="B464" s="49" t="s">
        <v>19</v>
      </c>
      <c r="C464" s="49" t="s">
        <v>176</v>
      </c>
      <c r="D464" s="49" t="s">
        <v>89</v>
      </c>
      <c r="E464" s="49" t="s">
        <v>169</v>
      </c>
      <c r="F464" s="49">
        <v>2016</v>
      </c>
      <c r="G464" s="50">
        <v>42780.791666666664</v>
      </c>
      <c r="H464" s="50">
        <v>42795.958333333336</v>
      </c>
      <c r="I464" s="54">
        <v>42780</v>
      </c>
      <c r="J464" s="54">
        <v>42795</v>
      </c>
      <c r="K464" s="51" t="s">
        <v>526</v>
      </c>
      <c r="L464" s="51">
        <v>0.95833333333333337</v>
      </c>
      <c r="M464" s="51" t="s">
        <v>541</v>
      </c>
      <c r="N464" s="51" t="s">
        <v>528</v>
      </c>
      <c r="O464" s="51" t="s">
        <v>543</v>
      </c>
      <c r="P464" s="49" t="s">
        <v>23</v>
      </c>
      <c r="Q464" s="49" t="s">
        <v>12</v>
      </c>
      <c r="R464" s="49" t="s">
        <v>113</v>
      </c>
      <c r="S464" s="49">
        <v>3</v>
      </c>
      <c r="T464" s="49">
        <v>8</v>
      </c>
      <c r="U464" s="63">
        <v>62</v>
      </c>
      <c r="V464" s="63">
        <v>496</v>
      </c>
    </row>
    <row r="465" spans="1:22" x14ac:dyDescent="0.25">
      <c r="A465" s="49" t="s">
        <v>237</v>
      </c>
      <c r="B465" s="49" t="s">
        <v>22</v>
      </c>
      <c r="C465" s="49" t="s">
        <v>176</v>
      </c>
      <c r="D465" s="49" t="s">
        <v>76</v>
      </c>
      <c r="E465" s="49" t="s">
        <v>174</v>
      </c>
      <c r="F465" s="49">
        <v>2016</v>
      </c>
      <c r="G465" s="50">
        <v>42781.583333333336</v>
      </c>
      <c r="H465" s="50">
        <v>42796.75</v>
      </c>
      <c r="I465" s="54">
        <v>42781</v>
      </c>
      <c r="J465" s="54">
        <v>42796</v>
      </c>
      <c r="K465" s="51" t="s">
        <v>527</v>
      </c>
      <c r="L465" s="51">
        <v>0.75</v>
      </c>
      <c r="M465" s="51" t="s">
        <v>542</v>
      </c>
      <c r="N465" s="51" t="s">
        <v>528</v>
      </c>
      <c r="O465" s="51" t="s">
        <v>543</v>
      </c>
      <c r="P465" s="49" t="s">
        <v>9</v>
      </c>
      <c r="Q465" s="49" t="s">
        <v>31</v>
      </c>
      <c r="R465" s="49" t="s">
        <v>113</v>
      </c>
      <c r="S465" s="49">
        <v>3</v>
      </c>
      <c r="T465" s="49">
        <v>9</v>
      </c>
      <c r="U465" s="63">
        <v>53</v>
      </c>
      <c r="V465" s="63">
        <v>477</v>
      </c>
    </row>
    <row r="466" spans="1:22" x14ac:dyDescent="0.25">
      <c r="A466" s="49" t="s">
        <v>238</v>
      </c>
      <c r="B466" s="49" t="s">
        <v>17</v>
      </c>
      <c r="C466" s="49" t="s">
        <v>176</v>
      </c>
      <c r="D466" s="49" t="s">
        <v>84</v>
      </c>
      <c r="E466" s="49" t="s">
        <v>172</v>
      </c>
      <c r="F466" s="49">
        <v>2016</v>
      </c>
      <c r="G466" s="50">
        <v>42782.375</v>
      </c>
      <c r="H466" s="50">
        <v>42788.75</v>
      </c>
      <c r="I466" s="54">
        <v>42782</v>
      </c>
      <c r="J466" s="54">
        <v>42788</v>
      </c>
      <c r="K466" s="51" t="s">
        <v>525</v>
      </c>
      <c r="L466" s="51">
        <v>0.75</v>
      </c>
      <c r="M466" s="51" t="s">
        <v>540</v>
      </c>
      <c r="N466" s="51" t="s">
        <v>528</v>
      </c>
      <c r="O466" s="51" t="s">
        <v>543</v>
      </c>
      <c r="P466" s="49" t="s">
        <v>9</v>
      </c>
      <c r="Q466" s="49" t="s">
        <v>16</v>
      </c>
      <c r="R466" s="49" t="s">
        <v>109</v>
      </c>
      <c r="S466" s="49">
        <v>3</v>
      </c>
      <c r="T466" s="49">
        <v>10</v>
      </c>
      <c r="U466" s="63">
        <v>52</v>
      </c>
      <c r="V466" s="63">
        <v>520</v>
      </c>
    </row>
    <row r="467" spans="1:22" x14ac:dyDescent="0.25">
      <c r="A467" s="49" t="s">
        <v>239</v>
      </c>
      <c r="B467" s="49" t="s">
        <v>39</v>
      </c>
      <c r="C467" s="49" t="s">
        <v>177</v>
      </c>
      <c r="D467" s="49" t="s">
        <v>80</v>
      </c>
      <c r="E467" s="49" t="s">
        <v>173</v>
      </c>
      <c r="F467" s="49">
        <v>2016</v>
      </c>
      <c r="G467" s="50">
        <v>42783.333333333336</v>
      </c>
      <c r="H467" s="50">
        <v>42800.5</v>
      </c>
      <c r="I467" s="54">
        <v>42783</v>
      </c>
      <c r="J467" s="54">
        <v>42800</v>
      </c>
      <c r="K467" s="51" t="s">
        <v>522</v>
      </c>
      <c r="L467" s="51">
        <v>0.5</v>
      </c>
      <c r="M467" s="51" t="s">
        <v>539</v>
      </c>
      <c r="N467" s="51" t="s">
        <v>528</v>
      </c>
      <c r="O467" s="51" t="s">
        <v>543</v>
      </c>
      <c r="P467" s="49" t="s">
        <v>9</v>
      </c>
      <c r="Q467" s="49" t="s">
        <v>18</v>
      </c>
      <c r="R467" s="49" t="s">
        <v>113</v>
      </c>
      <c r="S467" s="49">
        <v>3</v>
      </c>
      <c r="T467" s="49">
        <v>10</v>
      </c>
      <c r="U467" s="63">
        <v>32</v>
      </c>
      <c r="V467" s="63">
        <v>320</v>
      </c>
    </row>
    <row r="468" spans="1:22" x14ac:dyDescent="0.25">
      <c r="A468" s="49" t="s">
        <v>240</v>
      </c>
      <c r="B468" s="49" t="s">
        <v>45</v>
      </c>
      <c r="C468" s="49" t="s">
        <v>177</v>
      </c>
      <c r="D468" s="49" t="s">
        <v>88</v>
      </c>
      <c r="E468" s="49" t="s">
        <v>170</v>
      </c>
      <c r="F468" s="49">
        <v>2016</v>
      </c>
      <c r="G468" s="50">
        <v>42784.375</v>
      </c>
      <c r="H468" s="50">
        <v>42789.75</v>
      </c>
      <c r="I468" s="54">
        <v>42784</v>
      </c>
      <c r="J468" s="54">
        <v>42789</v>
      </c>
      <c r="K468" s="51" t="s">
        <v>525</v>
      </c>
      <c r="L468" s="51">
        <v>0.75</v>
      </c>
      <c r="M468" s="51" t="s">
        <v>540</v>
      </c>
      <c r="N468" s="51" t="s">
        <v>528</v>
      </c>
      <c r="O468" s="51" t="s">
        <v>543</v>
      </c>
      <c r="P468" s="49" t="s">
        <v>9</v>
      </c>
      <c r="Q468" s="49" t="s">
        <v>16</v>
      </c>
      <c r="R468" s="49" t="s">
        <v>109</v>
      </c>
      <c r="S468" s="49">
        <v>5</v>
      </c>
      <c r="T468" s="49">
        <v>10</v>
      </c>
      <c r="U468" s="63">
        <v>42</v>
      </c>
      <c r="V468" s="63">
        <v>420</v>
      </c>
    </row>
    <row r="469" spans="1:22" x14ac:dyDescent="0.25">
      <c r="A469" s="49" t="s">
        <v>241</v>
      </c>
      <c r="B469" s="49" t="s">
        <v>17</v>
      </c>
      <c r="C469" s="49" t="s">
        <v>176</v>
      </c>
      <c r="D469" s="49" t="s">
        <v>89</v>
      </c>
      <c r="E469" s="49" t="s">
        <v>169</v>
      </c>
      <c r="F469" s="49">
        <v>2016</v>
      </c>
      <c r="G469" s="50">
        <v>42786.791666666664</v>
      </c>
      <c r="H469" s="50">
        <v>42801.958333333336</v>
      </c>
      <c r="I469" s="54">
        <v>42786</v>
      </c>
      <c r="J469" s="54">
        <v>42801</v>
      </c>
      <c r="K469" s="51" t="s">
        <v>526</v>
      </c>
      <c r="L469" s="51">
        <v>0.95833333333333337</v>
      </c>
      <c r="M469" s="51" t="s">
        <v>541</v>
      </c>
      <c r="N469" s="51" t="s">
        <v>528</v>
      </c>
      <c r="O469" s="51" t="s">
        <v>543</v>
      </c>
      <c r="P469" s="49" t="s">
        <v>23</v>
      </c>
      <c r="Q469" s="49" t="s">
        <v>38</v>
      </c>
      <c r="R469" s="49" t="s">
        <v>113</v>
      </c>
      <c r="S469" s="49">
        <v>2</v>
      </c>
      <c r="T469" s="49">
        <v>10</v>
      </c>
      <c r="U469" s="63">
        <v>62</v>
      </c>
      <c r="V469" s="63">
        <v>620</v>
      </c>
    </row>
    <row r="470" spans="1:22" x14ac:dyDescent="0.25">
      <c r="A470" s="49" t="s">
        <v>242</v>
      </c>
      <c r="B470" s="49" t="s">
        <v>17</v>
      </c>
      <c r="C470" s="49" t="s">
        <v>176</v>
      </c>
      <c r="D470" s="49" t="s">
        <v>85</v>
      </c>
      <c r="E470" s="49" t="s">
        <v>170</v>
      </c>
      <c r="F470" s="49">
        <v>2016</v>
      </c>
      <c r="G470" s="50">
        <v>42786.791666666664</v>
      </c>
      <c r="H470" s="50">
        <v>42801.958333333336</v>
      </c>
      <c r="I470" s="54">
        <v>42786</v>
      </c>
      <c r="J470" s="54">
        <v>42801</v>
      </c>
      <c r="K470" s="51" t="s">
        <v>526</v>
      </c>
      <c r="L470" s="51">
        <v>0.95833333333333337</v>
      </c>
      <c r="M470" s="51" t="s">
        <v>541</v>
      </c>
      <c r="N470" s="51" t="s">
        <v>528</v>
      </c>
      <c r="O470" s="51" t="s">
        <v>543</v>
      </c>
      <c r="P470" s="49" t="s">
        <v>9</v>
      </c>
      <c r="Q470" s="49" t="s">
        <v>18</v>
      </c>
      <c r="R470" s="49" t="s">
        <v>113</v>
      </c>
      <c r="S470" s="49">
        <v>3</v>
      </c>
      <c r="T470" s="49">
        <v>8</v>
      </c>
      <c r="U470" s="63">
        <v>48</v>
      </c>
      <c r="V470" s="63">
        <v>384</v>
      </c>
    </row>
    <row r="471" spans="1:22" x14ac:dyDescent="0.25">
      <c r="A471" s="49" t="s">
        <v>243</v>
      </c>
      <c r="B471" s="49" t="s">
        <v>39</v>
      </c>
      <c r="C471" s="49" t="s">
        <v>177</v>
      </c>
      <c r="D471" s="49" t="s">
        <v>78</v>
      </c>
      <c r="E471" s="49" t="s">
        <v>172</v>
      </c>
      <c r="F471" s="49">
        <v>2016</v>
      </c>
      <c r="G471" s="50">
        <v>42787.791666666664</v>
      </c>
      <c r="H471" s="50">
        <v>42802.958333333336</v>
      </c>
      <c r="I471" s="54">
        <v>42787</v>
      </c>
      <c r="J471" s="54">
        <v>42802</v>
      </c>
      <c r="K471" s="51" t="s">
        <v>526</v>
      </c>
      <c r="L471" s="51">
        <v>0.95833333333333337</v>
      </c>
      <c r="M471" s="51" t="s">
        <v>541</v>
      </c>
      <c r="N471" s="51" t="s">
        <v>528</v>
      </c>
      <c r="O471" s="51" t="s">
        <v>543</v>
      </c>
      <c r="P471" s="49" t="s">
        <v>23</v>
      </c>
      <c r="Q471" s="49" t="s">
        <v>31</v>
      </c>
      <c r="R471" s="49" t="s">
        <v>113</v>
      </c>
      <c r="S471" s="49">
        <v>5</v>
      </c>
      <c r="T471" s="49">
        <v>8</v>
      </c>
      <c r="U471" s="63">
        <v>62</v>
      </c>
      <c r="V471" s="63">
        <v>496</v>
      </c>
    </row>
    <row r="472" spans="1:22" x14ac:dyDescent="0.25">
      <c r="A472" s="49" t="s">
        <v>244</v>
      </c>
      <c r="B472" s="49" t="s">
        <v>29</v>
      </c>
      <c r="C472" s="49" t="s">
        <v>177</v>
      </c>
      <c r="D472" s="49" t="s">
        <v>83</v>
      </c>
      <c r="E472" s="49" t="s">
        <v>174</v>
      </c>
      <c r="F472" s="49">
        <v>2016</v>
      </c>
      <c r="G472" s="50">
        <v>42788.583333333336</v>
      </c>
      <c r="H472" s="50">
        <v>42803.75</v>
      </c>
      <c r="I472" s="54">
        <v>42788</v>
      </c>
      <c r="J472" s="54">
        <v>42803</v>
      </c>
      <c r="K472" s="51" t="s">
        <v>527</v>
      </c>
      <c r="L472" s="51">
        <v>0.75</v>
      </c>
      <c r="M472" s="51" t="s">
        <v>542</v>
      </c>
      <c r="N472" s="51" t="s">
        <v>528</v>
      </c>
      <c r="O472" s="51" t="s">
        <v>543</v>
      </c>
      <c r="P472" s="49" t="s">
        <v>9</v>
      </c>
      <c r="Q472" s="49" t="s">
        <v>35</v>
      </c>
      <c r="R472" s="49" t="s">
        <v>109</v>
      </c>
      <c r="S472" s="49">
        <v>5</v>
      </c>
      <c r="T472" s="49">
        <v>11</v>
      </c>
      <c r="U472" s="63">
        <v>63</v>
      </c>
      <c r="V472" s="63">
        <v>693</v>
      </c>
    </row>
    <row r="473" spans="1:22" x14ac:dyDescent="0.25">
      <c r="A473" s="49" t="s">
        <v>245</v>
      </c>
      <c r="B473" s="49" t="s">
        <v>11</v>
      </c>
      <c r="C473" s="49" t="s">
        <v>175</v>
      </c>
      <c r="D473" s="49" t="s">
        <v>77</v>
      </c>
      <c r="E473" s="49" t="s">
        <v>172</v>
      </c>
      <c r="F473" s="49">
        <v>2016</v>
      </c>
      <c r="G473" s="50">
        <v>42789.375</v>
      </c>
      <c r="H473" s="50">
        <v>42797.75</v>
      </c>
      <c r="I473" s="54">
        <v>42789</v>
      </c>
      <c r="J473" s="54">
        <v>42797</v>
      </c>
      <c r="K473" s="51" t="s">
        <v>525</v>
      </c>
      <c r="L473" s="51">
        <v>0.75</v>
      </c>
      <c r="M473" s="51" t="s">
        <v>540</v>
      </c>
      <c r="N473" s="51" t="s">
        <v>528</v>
      </c>
      <c r="O473" s="51" t="s">
        <v>543</v>
      </c>
      <c r="P473" s="49" t="s">
        <v>9</v>
      </c>
      <c r="Q473" s="49" t="s">
        <v>26</v>
      </c>
      <c r="R473" s="49" t="s">
        <v>113</v>
      </c>
      <c r="S473" s="49">
        <v>5</v>
      </c>
      <c r="T473" s="49">
        <v>11</v>
      </c>
      <c r="U473" s="63">
        <v>35</v>
      </c>
      <c r="V473" s="63">
        <v>385</v>
      </c>
    </row>
    <row r="474" spans="1:22" x14ac:dyDescent="0.25">
      <c r="A474" s="49" t="s">
        <v>246</v>
      </c>
      <c r="B474" s="49" t="s">
        <v>19</v>
      </c>
      <c r="C474" s="49" t="s">
        <v>176</v>
      </c>
      <c r="D474" s="49" t="s">
        <v>82</v>
      </c>
      <c r="E474" s="49" t="s">
        <v>172</v>
      </c>
      <c r="F474" s="49">
        <v>2016</v>
      </c>
      <c r="G474" s="50">
        <v>42790.333333333336</v>
      </c>
      <c r="H474" s="50">
        <v>42807.5</v>
      </c>
      <c r="I474" s="54">
        <v>42790</v>
      </c>
      <c r="J474" s="54">
        <v>42807</v>
      </c>
      <c r="K474" s="51" t="s">
        <v>522</v>
      </c>
      <c r="L474" s="51">
        <v>0.5</v>
      </c>
      <c r="M474" s="51" t="s">
        <v>539</v>
      </c>
      <c r="N474" s="51" t="s">
        <v>528</v>
      </c>
      <c r="O474" s="51" t="s">
        <v>543</v>
      </c>
      <c r="P474" s="49" t="s">
        <v>23</v>
      </c>
      <c r="Q474" s="49" t="s">
        <v>41</v>
      </c>
      <c r="R474" s="49" t="s">
        <v>113</v>
      </c>
      <c r="S474" s="49">
        <v>4</v>
      </c>
      <c r="T474" s="49">
        <v>8</v>
      </c>
      <c r="U474" s="63">
        <v>75</v>
      </c>
      <c r="V474" s="63">
        <v>600</v>
      </c>
    </row>
    <row r="475" spans="1:22" x14ac:dyDescent="0.25">
      <c r="A475" s="49" t="s">
        <v>247</v>
      </c>
      <c r="B475" s="49" t="s">
        <v>17</v>
      </c>
      <c r="C475" s="49" t="s">
        <v>176</v>
      </c>
      <c r="D475" s="49" t="s">
        <v>79</v>
      </c>
      <c r="E475" s="49" t="s">
        <v>168</v>
      </c>
      <c r="F475" s="49">
        <v>2016</v>
      </c>
      <c r="G475" s="50">
        <v>42791.375</v>
      </c>
      <c r="H475" s="50">
        <v>42800.75</v>
      </c>
      <c r="I475" s="54">
        <v>42791</v>
      </c>
      <c r="J475" s="54">
        <v>42800</v>
      </c>
      <c r="K475" s="51" t="s">
        <v>525</v>
      </c>
      <c r="L475" s="51">
        <v>0.75</v>
      </c>
      <c r="M475" s="51" t="s">
        <v>540</v>
      </c>
      <c r="N475" s="51" t="s">
        <v>528</v>
      </c>
      <c r="O475" s="51" t="s">
        <v>543</v>
      </c>
      <c r="P475" s="49" t="s">
        <v>9</v>
      </c>
      <c r="Q475" s="49" t="s">
        <v>21</v>
      </c>
      <c r="R475" s="49" t="s">
        <v>113</v>
      </c>
      <c r="S475" s="49">
        <v>3</v>
      </c>
      <c r="T475" s="49">
        <v>10</v>
      </c>
      <c r="U475" s="63">
        <v>48</v>
      </c>
      <c r="V475" s="63">
        <v>480</v>
      </c>
    </row>
    <row r="476" spans="1:22" x14ac:dyDescent="0.25">
      <c r="A476" s="49" t="s">
        <v>248</v>
      </c>
      <c r="B476" s="49" t="s">
        <v>29</v>
      </c>
      <c r="C476" s="49" t="s">
        <v>177</v>
      </c>
      <c r="D476" s="49" t="s">
        <v>83</v>
      </c>
      <c r="E476" s="49" t="s">
        <v>174</v>
      </c>
      <c r="F476" s="49">
        <v>2016</v>
      </c>
      <c r="G476" s="50">
        <v>42793.791666666664</v>
      </c>
      <c r="H476" s="50">
        <v>42807.958333333336</v>
      </c>
      <c r="I476" s="54">
        <v>42793</v>
      </c>
      <c r="J476" s="54">
        <v>42807</v>
      </c>
      <c r="K476" s="51" t="s">
        <v>526</v>
      </c>
      <c r="L476" s="51">
        <v>0.95833333333333337</v>
      </c>
      <c r="M476" s="51" t="s">
        <v>541</v>
      </c>
      <c r="N476" s="51" t="s">
        <v>528</v>
      </c>
      <c r="O476" s="51" t="s">
        <v>543</v>
      </c>
      <c r="P476" s="49" t="s">
        <v>9</v>
      </c>
      <c r="Q476" s="49" t="s">
        <v>24</v>
      </c>
      <c r="R476" s="49" t="s">
        <v>113</v>
      </c>
      <c r="S476" s="49">
        <v>5</v>
      </c>
      <c r="T476" s="49">
        <v>11</v>
      </c>
      <c r="U476" s="63">
        <v>63</v>
      </c>
      <c r="V476" s="63">
        <v>693</v>
      </c>
    </row>
    <row r="477" spans="1:22" x14ac:dyDescent="0.25">
      <c r="A477" s="49" t="s">
        <v>249</v>
      </c>
      <c r="B477" s="49" t="s">
        <v>29</v>
      </c>
      <c r="C477" s="49" t="s">
        <v>177</v>
      </c>
      <c r="D477" s="49" t="s">
        <v>78</v>
      </c>
      <c r="E477" s="49" t="s">
        <v>172</v>
      </c>
      <c r="F477" s="49">
        <v>2016</v>
      </c>
      <c r="G477" s="50">
        <v>42793.791666666664</v>
      </c>
      <c r="H477" s="50">
        <v>42807.958333333336</v>
      </c>
      <c r="I477" s="54">
        <v>42793</v>
      </c>
      <c r="J477" s="54">
        <v>42807</v>
      </c>
      <c r="K477" s="51" t="s">
        <v>526</v>
      </c>
      <c r="L477" s="51">
        <v>0.95833333333333337</v>
      </c>
      <c r="M477" s="51" t="s">
        <v>541</v>
      </c>
      <c r="N477" s="51" t="s">
        <v>528</v>
      </c>
      <c r="O477" s="51" t="s">
        <v>543</v>
      </c>
      <c r="P477" s="49" t="s">
        <v>9</v>
      </c>
      <c r="Q477" s="49" t="s">
        <v>22</v>
      </c>
      <c r="R477" s="49" t="s">
        <v>109</v>
      </c>
      <c r="S477" s="49">
        <v>2</v>
      </c>
      <c r="T477" s="49">
        <v>10</v>
      </c>
      <c r="U477" s="63">
        <v>62</v>
      </c>
      <c r="V477" s="63">
        <v>620</v>
      </c>
    </row>
    <row r="478" spans="1:22" x14ac:dyDescent="0.25">
      <c r="A478" s="49" t="s">
        <v>250</v>
      </c>
      <c r="B478" s="49" t="s">
        <v>17</v>
      </c>
      <c r="C478" s="49" t="s">
        <v>176</v>
      </c>
      <c r="D478" s="49" t="s">
        <v>79</v>
      </c>
      <c r="E478" s="49" t="s">
        <v>168</v>
      </c>
      <c r="F478" s="49">
        <v>2016</v>
      </c>
      <c r="G478" s="50">
        <v>42794.791666666664</v>
      </c>
      <c r="H478" s="50">
        <v>42807.958333333336</v>
      </c>
      <c r="I478" s="54">
        <v>42794</v>
      </c>
      <c r="J478" s="54">
        <v>42807</v>
      </c>
      <c r="K478" s="51" t="s">
        <v>526</v>
      </c>
      <c r="L478" s="51">
        <v>0.95833333333333337</v>
      </c>
      <c r="M478" s="51" t="s">
        <v>541</v>
      </c>
      <c r="N478" s="51" t="s">
        <v>528</v>
      </c>
      <c r="O478" s="51" t="s">
        <v>543</v>
      </c>
      <c r="P478" s="49" t="s">
        <v>23</v>
      </c>
      <c r="Q478" s="49" t="s">
        <v>16</v>
      </c>
      <c r="R478" s="49" t="s">
        <v>109</v>
      </c>
      <c r="S478" s="49">
        <v>2</v>
      </c>
      <c r="T478" s="49">
        <v>11</v>
      </c>
      <c r="U478" s="63">
        <v>48</v>
      </c>
      <c r="V478" s="63">
        <v>528</v>
      </c>
    </row>
    <row r="479" spans="1:22" x14ac:dyDescent="0.25">
      <c r="A479" s="49" t="s">
        <v>251</v>
      </c>
      <c r="B479" s="49" t="s">
        <v>7</v>
      </c>
      <c r="C479" s="49" t="s">
        <v>175</v>
      </c>
      <c r="D479" s="49" t="s">
        <v>81</v>
      </c>
      <c r="E479" s="49" t="s">
        <v>172</v>
      </c>
      <c r="F479" s="49">
        <v>2016</v>
      </c>
      <c r="G479" s="50">
        <v>42795.583333333336</v>
      </c>
      <c r="H479" s="50">
        <v>42808.75</v>
      </c>
      <c r="I479" s="54">
        <v>42795</v>
      </c>
      <c r="J479" s="54">
        <v>42808</v>
      </c>
      <c r="K479" s="51" t="s">
        <v>527</v>
      </c>
      <c r="L479" s="51">
        <v>0.75</v>
      </c>
      <c r="M479" s="51" t="s">
        <v>542</v>
      </c>
      <c r="N479" s="51" t="s">
        <v>529</v>
      </c>
      <c r="O479" s="51" t="s">
        <v>543</v>
      </c>
      <c r="P479" s="49" t="s">
        <v>9</v>
      </c>
      <c r="Q479" s="49" t="s">
        <v>37</v>
      </c>
      <c r="R479" s="49" t="s">
        <v>113</v>
      </c>
      <c r="S479" s="49">
        <v>4</v>
      </c>
      <c r="T479" s="49">
        <v>8</v>
      </c>
      <c r="U479" s="63">
        <v>43</v>
      </c>
      <c r="V479" s="63">
        <v>344</v>
      </c>
    </row>
    <row r="480" spans="1:22" x14ac:dyDescent="0.25">
      <c r="A480" s="49" t="s">
        <v>252</v>
      </c>
      <c r="B480" s="49" t="s">
        <v>22</v>
      </c>
      <c r="C480" s="49" t="s">
        <v>176</v>
      </c>
      <c r="D480" s="49" t="s">
        <v>88</v>
      </c>
      <c r="E480" s="49" t="s">
        <v>170</v>
      </c>
      <c r="F480" s="49">
        <v>2016</v>
      </c>
      <c r="G480" s="50">
        <v>42796.375</v>
      </c>
      <c r="H480" s="50">
        <v>42802.75</v>
      </c>
      <c r="I480" s="54">
        <v>42796</v>
      </c>
      <c r="J480" s="54">
        <v>42802</v>
      </c>
      <c r="K480" s="51" t="s">
        <v>525</v>
      </c>
      <c r="L480" s="51">
        <v>0.75</v>
      </c>
      <c r="M480" s="51" t="s">
        <v>540</v>
      </c>
      <c r="N480" s="51" t="s">
        <v>529</v>
      </c>
      <c r="O480" s="51" t="s">
        <v>543</v>
      </c>
      <c r="P480" s="49" t="s">
        <v>9</v>
      </c>
      <c r="Q480" s="49" t="s">
        <v>16</v>
      </c>
      <c r="R480" s="49" t="s">
        <v>109</v>
      </c>
      <c r="S480" s="49">
        <v>2</v>
      </c>
      <c r="T480" s="49">
        <v>12</v>
      </c>
      <c r="U480" s="63">
        <v>42</v>
      </c>
      <c r="V480" s="63">
        <v>504</v>
      </c>
    </row>
    <row r="481" spans="1:22" x14ac:dyDescent="0.25">
      <c r="A481" s="49" t="s">
        <v>253</v>
      </c>
      <c r="B481" s="49" t="s">
        <v>22</v>
      </c>
      <c r="C481" s="49" t="s">
        <v>176</v>
      </c>
      <c r="D481" s="49" t="s">
        <v>78</v>
      </c>
      <c r="E481" s="49" t="s">
        <v>172</v>
      </c>
      <c r="F481" s="49">
        <v>2016</v>
      </c>
      <c r="G481" s="50">
        <v>42797.333333333336</v>
      </c>
      <c r="H481" s="50">
        <v>42810.5</v>
      </c>
      <c r="I481" s="54">
        <v>42797</v>
      </c>
      <c r="J481" s="54">
        <v>42810</v>
      </c>
      <c r="K481" s="51" t="s">
        <v>522</v>
      </c>
      <c r="L481" s="51">
        <v>0.5</v>
      </c>
      <c r="M481" s="51" t="s">
        <v>539</v>
      </c>
      <c r="N481" s="51" t="s">
        <v>529</v>
      </c>
      <c r="O481" s="51" t="s">
        <v>543</v>
      </c>
      <c r="P481" s="49" t="s">
        <v>9</v>
      </c>
      <c r="Q481" s="49" t="s">
        <v>16</v>
      </c>
      <c r="R481" s="49" t="s">
        <v>109</v>
      </c>
      <c r="S481" s="49">
        <v>2</v>
      </c>
      <c r="T481" s="49">
        <v>12</v>
      </c>
      <c r="U481" s="63">
        <v>62</v>
      </c>
      <c r="V481" s="63">
        <v>744</v>
      </c>
    </row>
    <row r="482" spans="1:22" x14ac:dyDescent="0.25">
      <c r="A482" s="49" t="s">
        <v>254</v>
      </c>
      <c r="B482" s="49" t="s">
        <v>22</v>
      </c>
      <c r="C482" s="49" t="s">
        <v>176</v>
      </c>
      <c r="D482" s="49" t="s">
        <v>84</v>
      </c>
      <c r="E482" s="49" t="s">
        <v>172</v>
      </c>
      <c r="F482" s="49">
        <v>2016</v>
      </c>
      <c r="G482" s="50">
        <v>42798.375</v>
      </c>
      <c r="H482" s="50">
        <v>42803.75</v>
      </c>
      <c r="I482" s="54">
        <v>42798</v>
      </c>
      <c r="J482" s="54">
        <v>42803</v>
      </c>
      <c r="K482" s="51" t="s">
        <v>525</v>
      </c>
      <c r="L482" s="51">
        <v>0.75</v>
      </c>
      <c r="M482" s="51" t="s">
        <v>540</v>
      </c>
      <c r="N482" s="51" t="s">
        <v>529</v>
      </c>
      <c r="O482" s="51" t="s">
        <v>543</v>
      </c>
      <c r="P482" s="49" t="s">
        <v>23</v>
      </c>
      <c r="Q482" s="49" t="s">
        <v>41</v>
      </c>
      <c r="R482" s="49" t="s">
        <v>113</v>
      </c>
      <c r="S482" s="49">
        <v>5</v>
      </c>
      <c r="T482" s="49">
        <v>9</v>
      </c>
      <c r="U482" s="63">
        <v>52</v>
      </c>
      <c r="V482" s="63">
        <v>468</v>
      </c>
    </row>
    <row r="483" spans="1:22" x14ac:dyDescent="0.25">
      <c r="A483" s="49" t="s">
        <v>255</v>
      </c>
      <c r="B483" s="49" t="s">
        <v>14</v>
      </c>
      <c r="C483" s="49" t="s">
        <v>175</v>
      </c>
      <c r="D483" s="49" t="s">
        <v>80</v>
      </c>
      <c r="E483" s="49" t="s">
        <v>173</v>
      </c>
      <c r="F483" s="49">
        <v>2016</v>
      </c>
      <c r="G483" s="50">
        <v>42800.791666666664</v>
      </c>
      <c r="H483" s="50">
        <v>42811.958333333336</v>
      </c>
      <c r="I483" s="54">
        <v>42800</v>
      </c>
      <c r="J483" s="54">
        <v>42811</v>
      </c>
      <c r="K483" s="51" t="s">
        <v>526</v>
      </c>
      <c r="L483" s="51">
        <v>0.95833333333333337</v>
      </c>
      <c r="M483" s="51" t="s">
        <v>541</v>
      </c>
      <c r="N483" s="51" t="s">
        <v>529</v>
      </c>
      <c r="O483" s="51" t="s">
        <v>543</v>
      </c>
      <c r="P483" s="49" t="s">
        <v>23</v>
      </c>
      <c r="Q483" s="49" t="s">
        <v>24</v>
      </c>
      <c r="R483" s="49" t="s">
        <v>113</v>
      </c>
      <c r="S483" s="49">
        <v>5</v>
      </c>
      <c r="T483" s="49">
        <v>9</v>
      </c>
      <c r="U483" s="63">
        <v>32</v>
      </c>
      <c r="V483" s="63">
        <v>288</v>
      </c>
    </row>
    <row r="484" spans="1:22" x14ac:dyDescent="0.25">
      <c r="A484" s="49" t="s">
        <v>256</v>
      </c>
      <c r="B484" s="49" t="s">
        <v>14</v>
      </c>
      <c r="C484" s="49" t="s">
        <v>175</v>
      </c>
      <c r="D484" s="49" t="s">
        <v>89</v>
      </c>
      <c r="E484" s="49" t="s">
        <v>169</v>
      </c>
      <c r="F484" s="49">
        <v>2016</v>
      </c>
      <c r="G484" s="50">
        <v>42800.791666666664</v>
      </c>
      <c r="H484" s="50">
        <v>42811.958333333336</v>
      </c>
      <c r="I484" s="54">
        <v>42800</v>
      </c>
      <c r="J484" s="54">
        <v>42811</v>
      </c>
      <c r="K484" s="51" t="s">
        <v>526</v>
      </c>
      <c r="L484" s="51">
        <v>0.95833333333333337</v>
      </c>
      <c r="M484" s="51" t="s">
        <v>541</v>
      </c>
      <c r="N484" s="51" t="s">
        <v>529</v>
      </c>
      <c r="O484" s="51" t="s">
        <v>543</v>
      </c>
      <c r="P484" s="49" t="s">
        <v>23</v>
      </c>
      <c r="Q484" s="49" t="s">
        <v>35</v>
      </c>
      <c r="R484" s="49" t="s">
        <v>109</v>
      </c>
      <c r="S484" s="49">
        <v>5</v>
      </c>
      <c r="T484" s="49">
        <v>12</v>
      </c>
      <c r="U484" s="63">
        <v>62</v>
      </c>
      <c r="V484" s="63">
        <v>744</v>
      </c>
    </row>
    <row r="485" spans="1:22" x14ac:dyDescent="0.25">
      <c r="A485" s="49" t="s">
        <v>257</v>
      </c>
      <c r="B485" s="49" t="s">
        <v>11</v>
      </c>
      <c r="C485" s="49" t="s">
        <v>175</v>
      </c>
      <c r="D485" s="49" t="s">
        <v>76</v>
      </c>
      <c r="E485" s="49" t="s">
        <v>174</v>
      </c>
      <c r="F485" s="49">
        <v>2016</v>
      </c>
      <c r="G485" s="50">
        <v>42801.791666666664</v>
      </c>
      <c r="H485" s="50">
        <v>42814.958333333336</v>
      </c>
      <c r="I485" s="54">
        <v>42801</v>
      </c>
      <c r="J485" s="54">
        <v>42814</v>
      </c>
      <c r="K485" s="51" t="s">
        <v>526</v>
      </c>
      <c r="L485" s="51">
        <v>0.95833333333333337</v>
      </c>
      <c r="M485" s="51" t="s">
        <v>541</v>
      </c>
      <c r="N485" s="51" t="s">
        <v>529</v>
      </c>
      <c r="O485" s="51" t="s">
        <v>543</v>
      </c>
      <c r="P485" s="49" t="s">
        <v>23</v>
      </c>
      <c r="Q485" s="49" t="s">
        <v>22</v>
      </c>
      <c r="R485" s="49" t="s">
        <v>109</v>
      </c>
      <c r="S485" s="49">
        <v>2</v>
      </c>
      <c r="T485" s="49">
        <v>11</v>
      </c>
      <c r="U485" s="63">
        <v>53</v>
      </c>
      <c r="V485" s="63">
        <v>583</v>
      </c>
    </row>
    <row r="486" spans="1:22" x14ac:dyDescent="0.25">
      <c r="A486" s="49" t="s">
        <v>258</v>
      </c>
      <c r="B486" s="49" t="s">
        <v>7</v>
      </c>
      <c r="C486" s="49" t="s">
        <v>175</v>
      </c>
      <c r="D486" s="49" t="s">
        <v>80</v>
      </c>
      <c r="E486" s="49" t="s">
        <v>173</v>
      </c>
      <c r="F486" s="49">
        <v>2016</v>
      </c>
      <c r="G486" s="50">
        <v>42802.583333333336</v>
      </c>
      <c r="H486" s="50">
        <v>42815.75</v>
      </c>
      <c r="I486" s="54">
        <v>42802</v>
      </c>
      <c r="J486" s="54">
        <v>42815</v>
      </c>
      <c r="K486" s="51" t="s">
        <v>527</v>
      </c>
      <c r="L486" s="51">
        <v>0.75</v>
      </c>
      <c r="M486" s="51" t="s">
        <v>542</v>
      </c>
      <c r="N486" s="51" t="s">
        <v>529</v>
      </c>
      <c r="O486" s="51" t="s">
        <v>543</v>
      </c>
      <c r="P486" s="49" t="s">
        <v>23</v>
      </c>
      <c r="Q486" s="49" t="s">
        <v>33</v>
      </c>
      <c r="R486" s="49" t="s">
        <v>113</v>
      </c>
      <c r="S486" s="49">
        <v>2</v>
      </c>
      <c r="T486" s="49">
        <v>10</v>
      </c>
      <c r="U486" s="63">
        <v>32</v>
      </c>
      <c r="V486" s="63">
        <v>320</v>
      </c>
    </row>
    <row r="487" spans="1:22" x14ac:dyDescent="0.25">
      <c r="A487" s="49" t="s">
        <v>259</v>
      </c>
      <c r="B487" s="49" t="s">
        <v>19</v>
      </c>
      <c r="C487" s="49" t="s">
        <v>176</v>
      </c>
      <c r="D487" s="49" t="s">
        <v>89</v>
      </c>
      <c r="E487" s="49" t="s">
        <v>169</v>
      </c>
      <c r="F487" s="49">
        <v>2016</v>
      </c>
      <c r="G487" s="50">
        <v>42803.375</v>
      </c>
      <c r="H487" s="50">
        <v>42809.75</v>
      </c>
      <c r="I487" s="54">
        <v>42803</v>
      </c>
      <c r="J487" s="54">
        <v>42809</v>
      </c>
      <c r="K487" s="51" t="s">
        <v>525</v>
      </c>
      <c r="L487" s="51">
        <v>0.75</v>
      </c>
      <c r="M487" s="51" t="s">
        <v>540</v>
      </c>
      <c r="N487" s="51" t="s">
        <v>529</v>
      </c>
      <c r="O487" s="51" t="s">
        <v>543</v>
      </c>
      <c r="P487" s="49" t="s">
        <v>23</v>
      </c>
      <c r="Q487" s="49" t="s">
        <v>18</v>
      </c>
      <c r="R487" s="49" t="s">
        <v>113</v>
      </c>
      <c r="S487" s="49">
        <v>5</v>
      </c>
      <c r="T487" s="49">
        <v>11</v>
      </c>
      <c r="U487" s="63">
        <v>62</v>
      </c>
      <c r="V487" s="63">
        <v>682</v>
      </c>
    </row>
    <row r="488" spans="1:22" x14ac:dyDescent="0.25">
      <c r="A488" s="49" t="s">
        <v>260</v>
      </c>
      <c r="B488" s="49" t="s">
        <v>7</v>
      </c>
      <c r="C488" s="49" t="s">
        <v>175</v>
      </c>
      <c r="D488" s="49" t="s">
        <v>80</v>
      </c>
      <c r="E488" s="49" t="s">
        <v>173</v>
      </c>
      <c r="F488" s="49">
        <v>2016</v>
      </c>
      <c r="G488" s="50">
        <v>42804.333333333336</v>
      </c>
      <c r="H488" s="50">
        <v>42817.5</v>
      </c>
      <c r="I488" s="54">
        <v>42804</v>
      </c>
      <c r="J488" s="54">
        <v>42817</v>
      </c>
      <c r="K488" s="51" t="s">
        <v>522</v>
      </c>
      <c r="L488" s="51">
        <v>0.5</v>
      </c>
      <c r="M488" s="51" t="s">
        <v>539</v>
      </c>
      <c r="N488" s="51" t="s">
        <v>529</v>
      </c>
      <c r="O488" s="51" t="s">
        <v>543</v>
      </c>
      <c r="P488" s="49" t="s">
        <v>9</v>
      </c>
      <c r="Q488" s="49" t="s">
        <v>31</v>
      </c>
      <c r="R488" s="49" t="s">
        <v>113</v>
      </c>
      <c r="S488" s="49">
        <v>5</v>
      </c>
      <c r="T488" s="49">
        <v>12</v>
      </c>
      <c r="U488" s="63">
        <v>32</v>
      </c>
      <c r="V488" s="63">
        <v>384</v>
      </c>
    </row>
    <row r="489" spans="1:22" x14ac:dyDescent="0.25">
      <c r="A489" s="49" t="s">
        <v>261</v>
      </c>
      <c r="B489" s="49" t="s">
        <v>22</v>
      </c>
      <c r="C489" s="49" t="s">
        <v>176</v>
      </c>
      <c r="D489" s="49" t="s">
        <v>84</v>
      </c>
      <c r="E489" s="49" t="s">
        <v>172</v>
      </c>
      <c r="F489" s="49">
        <v>2016</v>
      </c>
      <c r="G489" s="50">
        <v>42805.375</v>
      </c>
      <c r="H489" s="50">
        <v>42810.75</v>
      </c>
      <c r="I489" s="54">
        <v>42805</v>
      </c>
      <c r="J489" s="54">
        <v>42810</v>
      </c>
      <c r="K489" s="51" t="s">
        <v>525</v>
      </c>
      <c r="L489" s="51">
        <v>0.75</v>
      </c>
      <c r="M489" s="51" t="s">
        <v>540</v>
      </c>
      <c r="N489" s="51" t="s">
        <v>529</v>
      </c>
      <c r="O489" s="51" t="s">
        <v>543</v>
      </c>
      <c r="P489" s="49" t="s">
        <v>23</v>
      </c>
      <c r="Q489" s="49" t="s">
        <v>190</v>
      </c>
      <c r="R489" s="49" t="s">
        <v>109</v>
      </c>
      <c r="S489" s="49">
        <v>3</v>
      </c>
      <c r="T489" s="49">
        <v>10</v>
      </c>
      <c r="U489" s="63">
        <v>52</v>
      </c>
      <c r="V489" s="63">
        <v>520</v>
      </c>
    </row>
    <row r="490" spans="1:22" x14ac:dyDescent="0.25">
      <c r="A490" s="49" t="s">
        <v>262</v>
      </c>
      <c r="B490" s="49" t="s">
        <v>45</v>
      </c>
      <c r="C490" s="49" t="s">
        <v>177</v>
      </c>
      <c r="D490" s="49" t="s">
        <v>80</v>
      </c>
      <c r="E490" s="49" t="s">
        <v>173</v>
      </c>
      <c r="F490" s="49">
        <v>2016</v>
      </c>
      <c r="G490" s="50">
        <v>42807.791666666664</v>
      </c>
      <c r="H490" s="50">
        <v>42818.958333333336</v>
      </c>
      <c r="I490" s="54">
        <v>42807</v>
      </c>
      <c r="J490" s="54">
        <v>42818</v>
      </c>
      <c r="K490" s="51" t="s">
        <v>526</v>
      </c>
      <c r="L490" s="51">
        <v>0.95833333333333337</v>
      </c>
      <c r="M490" s="51" t="s">
        <v>541</v>
      </c>
      <c r="N490" s="51" t="s">
        <v>529</v>
      </c>
      <c r="O490" s="51" t="s">
        <v>543</v>
      </c>
      <c r="P490" s="49" t="s">
        <v>9</v>
      </c>
      <c r="Q490" s="49" t="s">
        <v>38</v>
      </c>
      <c r="R490" s="49" t="s">
        <v>113</v>
      </c>
      <c r="S490" s="49">
        <v>2</v>
      </c>
      <c r="T490" s="49">
        <v>11</v>
      </c>
      <c r="U490" s="63">
        <v>32</v>
      </c>
      <c r="V490" s="63">
        <v>352</v>
      </c>
    </row>
    <row r="491" spans="1:22" x14ac:dyDescent="0.25">
      <c r="A491" s="49" t="s">
        <v>263</v>
      </c>
      <c r="B491" s="49" t="s">
        <v>17</v>
      </c>
      <c r="C491" s="49" t="s">
        <v>176</v>
      </c>
      <c r="D491" s="49" t="s">
        <v>88</v>
      </c>
      <c r="E491" s="49" t="s">
        <v>170</v>
      </c>
      <c r="F491" s="49">
        <v>2016</v>
      </c>
      <c r="G491" s="50">
        <v>42807.791666666664</v>
      </c>
      <c r="H491" s="50">
        <v>42818.958333333336</v>
      </c>
      <c r="I491" s="54">
        <v>42807</v>
      </c>
      <c r="J491" s="54">
        <v>42818</v>
      </c>
      <c r="K491" s="51" t="s">
        <v>526</v>
      </c>
      <c r="L491" s="51">
        <v>0.95833333333333337</v>
      </c>
      <c r="M491" s="51" t="s">
        <v>541</v>
      </c>
      <c r="N491" s="51" t="s">
        <v>529</v>
      </c>
      <c r="O491" s="51" t="s">
        <v>543</v>
      </c>
      <c r="P491" s="49" t="s">
        <v>9</v>
      </c>
      <c r="Q491" s="49" t="s">
        <v>37</v>
      </c>
      <c r="R491" s="49" t="s">
        <v>113</v>
      </c>
      <c r="S491" s="49">
        <v>4</v>
      </c>
      <c r="T491" s="49">
        <v>9</v>
      </c>
      <c r="U491" s="63">
        <v>42</v>
      </c>
      <c r="V491" s="63">
        <v>378</v>
      </c>
    </row>
    <row r="492" spans="1:22" x14ac:dyDescent="0.25">
      <c r="A492" s="49" t="s">
        <v>264</v>
      </c>
      <c r="B492" s="49" t="s">
        <v>19</v>
      </c>
      <c r="C492" s="49" t="s">
        <v>176</v>
      </c>
      <c r="D492" s="49" t="s">
        <v>86</v>
      </c>
      <c r="E492" s="49" t="s">
        <v>169</v>
      </c>
      <c r="F492" s="49">
        <v>2016</v>
      </c>
      <c r="G492" s="50">
        <v>42808.791666666664</v>
      </c>
      <c r="H492" s="50">
        <v>42821.958333333336</v>
      </c>
      <c r="I492" s="54">
        <v>42808</v>
      </c>
      <c r="J492" s="54">
        <v>42821</v>
      </c>
      <c r="K492" s="51" t="s">
        <v>526</v>
      </c>
      <c r="L492" s="51">
        <v>0.95833333333333337</v>
      </c>
      <c r="M492" s="51" t="s">
        <v>541</v>
      </c>
      <c r="N492" s="51" t="s">
        <v>529</v>
      </c>
      <c r="O492" s="51" t="s">
        <v>543</v>
      </c>
      <c r="P492" s="49" t="s">
        <v>9</v>
      </c>
      <c r="Q492" s="49" t="s">
        <v>35</v>
      </c>
      <c r="R492" s="49" t="s">
        <v>109</v>
      </c>
      <c r="S492" s="49">
        <v>5</v>
      </c>
      <c r="T492" s="49">
        <v>9</v>
      </c>
      <c r="U492" s="63">
        <v>48</v>
      </c>
      <c r="V492" s="63">
        <v>432</v>
      </c>
    </row>
    <row r="493" spans="1:22" x14ac:dyDescent="0.25">
      <c r="A493" s="49" t="s">
        <v>265</v>
      </c>
      <c r="B493" s="49" t="s">
        <v>39</v>
      </c>
      <c r="C493" s="49" t="s">
        <v>177</v>
      </c>
      <c r="D493" s="49" t="s">
        <v>78</v>
      </c>
      <c r="E493" s="49" t="s">
        <v>172</v>
      </c>
      <c r="F493" s="49">
        <v>2016</v>
      </c>
      <c r="G493" s="50">
        <v>42809.583333333336</v>
      </c>
      <c r="H493" s="50">
        <v>42822.75</v>
      </c>
      <c r="I493" s="54">
        <v>42809</v>
      </c>
      <c r="J493" s="54">
        <v>42822</v>
      </c>
      <c r="K493" s="51" t="s">
        <v>527</v>
      </c>
      <c r="L493" s="51">
        <v>0.75</v>
      </c>
      <c r="M493" s="51" t="s">
        <v>542</v>
      </c>
      <c r="N493" s="51" t="s">
        <v>529</v>
      </c>
      <c r="O493" s="51" t="s">
        <v>543</v>
      </c>
      <c r="P493" s="49" t="s">
        <v>9</v>
      </c>
      <c r="Q493" s="49" t="s">
        <v>33</v>
      </c>
      <c r="R493" s="49" t="s">
        <v>113</v>
      </c>
      <c r="S493" s="49">
        <v>3</v>
      </c>
      <c r="T493" s="49">
        <v>8</v>
      </c>
      <c r="U493" s="63">
        <v>62</v>
      </c>
      <c r="V493" s="63">
        <v>496</v>
      </c>
    </row>
    <row r="494" spans="1:22" x14ac:dyDescent="0.25">
      <c r="A494" s="49" t="s">
        <v>266</v>
      </c>
      <c r="B494" s="49" t="s">
        <v>19</v>
      </c>
      <c r="C494" s="49" t="s">
        <v>176</v>
      </c>
      <c r="D494" s="49" t="s">
        <v>84</v>
      </c>
      <c r="E494" s="49" t="s">
        <v>172</v>
      </c>
      <c r="F494" s="49">
        <v>2016</v>
      </c>
      <c r="G494" s="50">
        <v>42810.375</v>
      </c>
      <c r="H494" s="50">
        <v>42816.75</v>
      </c>
      <c r="I494" s="54">
        <v>42810</v>
      </c>
      <c r="J494" s="54">
        <v>42816</v>
      </c>
      <c r="K494" s="51" t="s">
        <v>525</v>
      </c>
      <c r="L494" s="51">
        <v>0.75</v>
      </c>
      <c r="M494" s="51" t="s">
        <v>540</v>
      </c>
      <c r="N494" s="51" t="s">
        <v>529</v>
      </c>
      <c r="O494" s="51" t="s">
        <v>543</v>
      </c>
      <c r="P494" s="49" t="s">
        <v>23</v>
      </c>
      <c r="Q494" s="49" t="s">
        <v>12</v>
      </c>
      <c r="R494" s="49" t="s">
        <v>113</v>
      </c>
      <c r="S494" s="49">
        <v>3</v>
      </c>
      <c r="T494" s="49">
        <v>9</v>
      </c>
      <c r="U494" s="63">
        <v>52</v>
      </c>
      <c r="V494" s="63">
        <v>468</v>
      </c>
    </row>
    <row r="495" spans="1:22" x14ac:dyDescent="0.25">
      <c r="A495" s="49" t="s">
        <v>267</v>
      </c>
      <c r="B495" s="49" t="s">
        <v>19</v>
      </c>
      <c r="C495" s="49" t="s">
        <v>176</v>
      </c>
      <c r="D495" s="49" t="s">
        <v>77</v>
      </c>
      <c r="E495" s="49" t="s">
        <v>172</v>
      </c>
      <c r="F495" s="49">
        <v>2016</v>
      </c>
      <c r="G495" s="50">
        <v>42811.333333333336</v>
      </c>
      <c r="H495" s="50">
        <v>42824.5</v>
      </c>
      <c r="I495" s="54">
        <v>42811</v>
      </c>
      <c r="J495" s="54">
        <v>42824</v>
      </c>
      <c r="K495" s="51" t="s">
        <v>522</v>
      </c>
      <c r="L495" s="51">
        <v>0.5</v>
      </c>
      <c r="M495" s="51" t="s">
        <v>539</v>
      </c>
      <c r="N495" s="51" t="s">
        <v>529</v>
      </c>
      <c r="O495" s="51" t="s">
        <v>543</v>
      </c>
      <c r="P495" s="49" t="s">
        <v>9</v>
      </c>
      <c r="Q495" s="49" t="s">
        <v>26</v>
      </c>
      <c r="R495" s="49" t="s">
        <v>113</v>
      </c>
      <c r="S495" s="49">
        <v>2</v>
      </c>
      <c r="T495" s="49">
        <v>8</v>
      </c>
      <c r="U495" s="63">
        <v>35</v>
      </c>
      <c r="V495" s="63">
        <v>280</v>
      </c>
    </row>
    <row r="496" spans="1:22" x14ac:dyDescent="0.25">
      <c r="A496" s="49" t="s">
        <v>268</v>
      </c>
      <c r="B496" s="49" t="s">
        <v>17</v>
      </c>
      <c r="C496" s="49" t="s">
        <v>176</v>
      </c>
      <c r="D496" s="49" t="s">
        <v>83</v>
      </c>
      <c r="E496" s="49" t="s">
        <v>174</v>
      </c>
      <c r="F496" s="49">
        <v>2016</v>
      </c>
      <c r="G496" s="50">
        <v>42812.375</v>
      </c>
      <c r="H496" s="50">
        <v>42817.75</v>
      </c>
      <c r="I496" s="54">
        <v>42812</v>
      </c>
      <c r="J496" s="54">
        <v>42817</v>
      </c>
      <c r="K496" s="51" t="s">
        <v>525</v>
      </c>
      <c r="L496" s="51">
        <v>0.75</v>
      </c>
      <c r="M496" s="51" t="s">
        <v>540</v>
      </c>
      <c r="N496" s="51" t="s">
        <v>529</v>
      </c>
      <c r="O496" s="51" t="s">
        <v>543</v>
      </c>
      <c r="P496" s="49" t="s">
        <v>23</v>
      </c>
      <c r="Q496" s="49" t="s">
        <v>24</v>
      </c>
      <c r="R496" s="49" t="s">
        <v>113</v>
      </c>
      <c r="S496" s="49">
        <v>3</v>
      </c>
      <c r="T496" s="49">
        <v>8</v>
      </c>
      <c r="U496" s="63">
        <v>63</v>
      </c>
      <c r="V496" s="63">
        <v>504</v>
      </c>
    </row>
    <row r="497" spans="1:22" x14ac:dyDescent="0.25">
      <c r="A497" s="49" t="s">
        <v>269</v>
      </c>
      <c r="B497" s="49" t="s">
        <v>19</v>
      </c>
      <c r="C497" s="49" t="s">
        <v>176</v>
      </c>
      <c r="D497" s="49" t="s">
        <v>85</v>
      </c>
      <c r="E497" s="49" t="s">
        <v>170</v>
      </c>
      <c r="F497" s="49">
        <v>2016</v>
      </c>
      <c r="G497" s="50">
        <v>42814.791666666664</v>
      </c>
      <c r="H497" s="50">
        <v>42825.958333333336</v>
      </c>
      <c r="I497" s="54">
        <v>42814</v>
      </c>
      <c r="J497" s="54">
        <v>42825</v>
      </c>
      <c r="K497" s="51" t="s">
        <v>526</v>
      </c>
      <c r="L497" s="51">
        <v>0.95833333333333337</v>
      </c>
      <c r="M497" s="51" t="s">
        <v>541</v>
      </c>
      <c r="N497" s="51" t="s">
        <v>529</v>
      </c>
      <c r="O497" s="51" t="s">
        <v>543</v>
      </c>
      <c r="P497" s="49" t="s">
        <v>9</v>
      </c>
      <c r="Q497" s="49" t="s">
        <v>26</v>
      </c>
      <c r="R497" s="49" t="s">
        <v>113</v>
      </c>
      <c r="S497" s="49">
        <v>4</v>
      </c>
      <c r="T497" s="49">
        <v>9</v>
      </c>
      <c r="U497" s="63">
        <v>48</v>
      </c>
      <c r="V497" s="63">
        <v>432</v>
      </c>
    </row>
    <row r="498" spans="1:22" x14ac:dyDescent="0.25">
      <c r="A498" s="49" t="s">
        <v>270</v>
      </c>
      <c r="B498" s="49" t="s">
        <v>7</v>
      </c>
      <c r="C498" s="49" t="s">
        <v>175</v>
      </c>
      <c r="D498" s="49" t="s">
        <v>76</v>
      </c>
      <c r="E498" s="49" t="s">
        <v>174</v>
      </c>
      <c r="F498" s="49">
        <v>2016</v>
      </c>
      <c r="G498" s="50">
        <v>42814.791666666664</v>
      </c>
      <c r="H498" s="50">
        <v>42825.958333333336</v>
      </c>
      <c r="I498" s="54">
        <v>42814</v>
      </c>
      <c r="J498" s="54">
        <v>42825</v>
      </c>
      <c r="K498" s="51" t="s">
        <v>526</v>
      </c>
      <c r="L498" s="51">
        <v>0.95833333333333337</v>
      </c>
      <c r="M498" s="51" t="s">
        <v>541</v>
      </c>
      <c r="N498" s="51" t="s">
        <v>529</v>
      </c>
      <c r="O498" s="51" t="s">
        <v>543</v>
      </c>
      <c r="P498" s="49" t="s">
        <v>9</v>
      </c>
      <c r="Q498" s="49" t="s">
        <v>12</v>
      </c>
      <c r="R498" s="49" t="s">
        <v>113</v>
      </c>
      <c r="S498" s="49">
        <v>3</v>
      </c>
      <c r="T498" s="49">
        <v>8</v>
      </c>
      <c r="U498" s="63">
        <v>53</v>
      </c>
      <c r="V498" s="63">
        <v>424</v>
      </c>
    </row>
    <row r="499" spans="1:22" x14ac:dyDescent="0.25">
      <c r="A499" s="49" t="s">
        <v>273</v>
      </c>
      <c r="B499" s="49" t="s">
        <v>29</v>
      </c>
      <c r="C499" s="49" t="s">
        <v>177</v>
      </c>
      <c r="D499" s="49" t="s">
        <v>80</v>
      </c>
      <c r="E499" s="49" t="s">
        <v>173</v>
      </c>
      <c r="F499" s="49">
        <v>2016</v>
      </c>
      <c r="G499" s="50">
        <v>42817.375</v>
      </c>
      <c r="H499" s="50">
        <v>42823.75</v>
      </c>
      <c r="I499" s="54">
        <v>42817</v>
      </c>
      <c r="J499" s="54">
        <v>42823</v>
      </c>
      <c r="K499" s="51" t="s">
        <v>525</v>
      </c>
      <c r="L499" s="51">
        <v>0.75</v>
      </c>
      <c r="M499" s="51" t="s">
        <v>540</v>
      </c>
      <c r="N499" s="51" t="s">
        <v>529</v>
      </c>
      <c r="O499" s="51" t="s">
        <v>543</v>
      </c>
      <c r="P499" s="49" t="s">
        <v>23</v>
      </c>
      <c r="Q499" s="49" t="s">
        <v>16</v>
      </c>
      <c r="R499" s="49" t="s">
        <v>109</v>
      </c>
      <c r="S499" s="49">
        <v>3</v>
      </c>
      <c r="T499" s="49">
        <v>11</v>
      </c>
      <c r="U499" s="63">
        <v>32</v>
      </c>
      <c r="V499" s="63">
        <v>352</v>
      </c>
    </row>
    <row r="500" spans="1:22" x14ac:dyDescent="0.25">
      <c r="A500" s="49" t="s">
        <v>275</v>
      </c>
      <c r="B500" s="49" t="s">
        <v>19</v>
      </c>
      <c r="C500" s="49" t="s">
        <v>176</v>
      </c>
      <c r="D500" s="49" t="s">
        <v>76</v>
      </c>
      <c r="E500" s="49" t="s">
        <v>174</v>
      </c>
      <c r="F500" s="49">
        <v>2016</v>
      </c>
      <c r="G500" s="50">
        <v>42819.375</v>
      </c>
      <c r="H500" s="50">
        <v>42824.75</v>
      </c>
      <c r="I500" s="54">
        <v>42819</v>
      </c>
      <c r="J500" s="54">
        <v>42824</v>
      </c>
      <c r="K500" s="51" t="s">
        <v>525</v>
      </c>
      <c r="L500" s="51">
        <v>0.75</v>
      </c>
      <c r="M500" s="51" t="s">
        <v>540</v>
      </c>
      <c r="N500" s="51" t="s">
        <v>529</v>
      </c>
      <c r="O500" s="51" t="s">
        <v>543</v>
      </c>
      <c r="P500" s="49" t="s">
        <v>9</v>
      </c>
      <c r="Q500" s="49" t="s">
        <v>18</v>
      </c>
      <c r="R500" s="49" t="s">
        <v>113</v>
      </c>
      <c r="S500" s="49">
        <v>5</v>
      </c>
      <c r="T500" s="49">
        <v>8</v>
      </c>
      <c r="U500" s="63">
        <v>53</v>
      </c>
      <c r="V500" s="63">
        <v>424</v>
      </c>
    </row>
    <row r="501" spans="1:22" x14ac:dyDescent="0.25">
      <c r="A501" s="49" t="s">
        <v>271</v>
      </c>
      <c r="B501" s="49" t="s">
        <v>22</v>
      </c>
      <c r="C501" s="49" t="s">
        <v>176</v>
      </c>
      <c r="D501" s="49" t="s">
        <v>77</v>
      </c>
      <c r="E501" s="49" t="s">
        <v>172</v>
      </c>
      <c r="F501" s="49">
        <v>2016</v>
      </c>
      <c r="G501" s="50">
        <v>42815.791666666664</v>
      </c>
      <c r="H501" s="50">
        <v>42828.958333333336</v>
      </c>
      <c r="I501" s="54">
        <v>42815</v>
      </c>
      <c r="J501" s="54">
        <v>42828</v>
      </c>
      <c r="K501" s="51" t="s">
        <v>526</v>
      </c>
      <c r="L501" s="51">
        <v>0.95833333333333337</v>
      </c>
      <c r="M501" s="51" t="s">
        <v>541</v>
      </c>
      <c r="N501" s="51" t="s">
        <v>529</v>
      </c>
      <c r="O501" s="51" t="s">
        <v>543</v>
      </c>
      <c r="P501" s="49" t="s">
        <v>9</v>
      </c>
      <c r="Q501" s="49" t="s">
        <v>31</v>
      </c>
      <c r="R501" s="49" t="s">
        <v>113</v>
      </c>
      <c r="S501" s="49">
        <v>4</v>
      </c>
      <c r="T501" s="49">
        <v>9</v>
      </c>
      <c r="U501" s="63">
        <v>35</v>
      </c>
      <c r="V501" s="63">
        <v>315</v>
      </c>
    </row>
    <row r="502" spans="1:22" x14ac:dyDescent="0.25">
      <c r="A502" s="49" t="s">
        <v>272</v>
      </c>
      <c r="B502" s="49" t="s">
        <v>7</v>
      </c>
      <c r="C502" s="49" t="s">
        <v>175</v>
      </c>
      <c r="D502" s="49" t="s">
        <v>84</v>
      </c>
      <c r="E502" s="49" t="s">
        <v>172</v>
      </c>
      <c r="F502" s="49">
        <v>2016</v>
      </c>
      <c r="G502" s="50">
        <v>42816.583333333336</v>
      </c>
      <c r="H502" s="50">
        <v>42829.75</v>
      </c>
      <c r="I502" s="54">
        <v>42816</v>
      </c>
      <c r="J502" s="54">
        <v>42829</v>
      </c>
      <c r="K502" s="51" t="s">
        <v>527</v>
      </c>
      <c r="L502" s="51">
        <v>0.75</v>
      </c>
      <c r="M502" s="51" t="s">
        <v>542</v>
      </c>
      <c r="N502" s="51" t="s">
        <v>529</v>
      </c>
      <c r="O502" s="51" t="s">
        <v>543</v>
      </c>
      <c r="P502" s="49" t="s">
        <v>23</v>
      </c>
      <c r="Q502" s="49" t="s">
        <v>31</v>
      </c>
      <c r="R502" s="49" t="s">
        <v>113</v>
      </c>
      <c r="S502" s="49">
        <v>2</v>
      </c>
      <c r="T502" s="49">
        <v>10</v>
      </c>
      <c r="U502" s="63">
        <v>52</v>
      </c>
      <c r="V502" s="63">
        <v>520</v>
      </c>
    </row>
    <row r="503" spans="1:22" x14ac:dyDescent="0.25">
      <c r="A503" s="49" t="s">
        <v>274</v>
      </c>
      <c r="B503" s="49" t="s">
        <v>19</v>
      </c>
      <c r="C503" s="49" t="s">
        <v>176</v>
      </c>
      <c r="D503" s="49" t="s">
        <v>89</v>
      </c>
      <c r="E503" s="49" t="s">
        <v>169</v>
      </c>
      <c r="F503" s="49">
        <v>2016</v>
      </c>
      <c r="G503" s="50">
        <v>42818.333333333336</v>
      </c>
      <c r="H503" s="50">
        <v>42831.5</v>
      </c>
      <c r="I503" s="54">
        <v>42818</v>
      </c>
      <c r="J503" s="54">
        <v>42831</v>
      </c>
      <c r="K503" s="51" t="s">
        <v>522</v>
      </c>
      <c r="L503" s="51">
        <v>0.5</v>
      </c>
      <c r="M503" s="51" t="s">
        <v>539</v>
      </c>
      <c r="N503" s="51" t="s">
        <v>529</v>
      </c>
      <c r="O503" s="51" t="s">
        <v>543</v>
      </c>
      <c r="P503" s="49" t="s">
        <v>23</v>
      </c>
      <c r="Q503" s="49" t="s">
        <v>21</v>
      </c>
      <c r="R503" s="49" t="s">
        <v>113</v>
      </c>
      <c r="S503" s="49">
        <v>4</v>
      </c>
      <c r="T503" s="49">
        <v>12</v>
      </c>
      <c r="U503" s="63">
        <v>62</v>
      </c>
      <c r="V503" s="63">
        <v>744</v>
      </c>
    </row>
    <row r="504" spans="1:22" x14ac:dyDescent="0.25">
      <c r="A504" s="49" t="s">
        <v>276</v>
      </c>
      <c r="B504" s="49" t="s">
        <v>22</v>
      </c>
      <c r="C504" s="49" t="s">
        <v>176</v>
      </c>
      <c r="D504" s="49" t="s">
        <v>78</v>
      </c>
      <c r="E504" s="49" t="s">
        <v>172</v>
      </c>
      <c r="F504" s="49">
        <v>2016</v>
      </c>
      <c r="G504" s="50">
        <v>42821.791666666664</v>
      </c>
      <c r="H504" s="50">
        <v>42832.958333333336</v>
      </c>
      <c r="I504" s="54">
        <v>42821</v>
      </c>
      <c r="J504" s="54">
        <v>42832</v>
      </c>
      <c r="K504" s="51" t="s">
        <v>526</v>
      </c>
      <c r="L504" s="51">
        <v>0.95833333333333337</v>
      </c>
      <c r="M504" s="51" t="s">
        <v>541</v>
      </c>
      <c r="N504" s="51" t="s">
        <v>529</v>
      </c>
      <c r="O504" s="51" t="s">
        <v>543</v>
      </c>
      <c r="P504" s="49" t="s">
        <v>9</v>
      </c>
      <c r="Q504" s="49" t="s">
        <v>35</v>
      </c>
      <c r="R504" s="49" t="s">
        <v>109</v>
      </c>
      <c r="S504" s="49">
        <v>3</v>
      </c>
      <c r="T504" s="49">
        <v>9</v>
      </c>
      <c r="U504" s="63">
        <v>62</v>
      </c>
      <c r="V504" s="63">
        <v>558</v>
      </c>
    </row>
    <row r="505" spans="1:22" x14ac:dyDescent="0.25">
      <c r="A505" s="49" t="s">
        <v>277</v>
      </c>
      <c r="B505" s="49" t="s">
        <v>22</v>
      </c>
      <c r="C505" s="49" t="s">
        <v>176</v>
      </c>
      <c r="D505" s="49" t="s">
        <v>79</v>
      </c>
      <c r="E505" s="49" t="s">
        <v>168</v>
      </c>
      <c r="F505" s="49">
        <v>2016</v>
      </c>
      <c r="G505" s="50">
        <v>42821.791666666664</v>
      </c>
      <c r="H505" s="50">
        <v>42832.958333333336</v>
      </c>
      <c r="I505" s="54">
        <v>42821</v>
      </c>
      <c r="J505" s="54">
        <v>42832</v>
      </c>
      <c r="K505" s="51" t="s">
        <v>526</v>
      </c>
      <c r="L505" s="51">
        <v>0.95833333333333337</v>
      </c>
      <c r="M505" s="51" t="s">
        <v>541</v>
      </c>
      <c r="N505" s="51" t="s">
        <v>529</v>
      </c>
      <c r="O505" s="51" t="s">
        <v>543</v>
      </c>
      <c r="P505" s="49" t="s">
        <v>23</v>
      </c>
      <c r="Q505" s="49" t="s">
        <v>190</v>
      </c>
      <c r="R505" s="49" t="s">
        <v>109</v>
      </c>
      <c r="S505" s="49">
        <v>4</v>
      </c>
      <c r="T505" s="49">
        <v>12</v>
      </c>
      <c r="U505" s="63">
        <v>48</v>
      </c>
      <c r="V505" s="63">
        <v>576</v>
      </c>
    </row>
    <row r="506" spans="1:22" x14ac:dyDescent="0.25">
      <c r="A506" s="49" t="s">
        <v>278</v>
      </c>
      <c r="B506" s="49" t="s">
        <v>19</v>
      </c>
      <c r="C506" s="49" t="s">
        <v>176</v>
      </c>
      <c r="D506" s="49" t="s">
        <v>83</v>
      </c>
      <c r="E506" s="49" t="s">
        <v>174</v>
      </c>
      <c r="F506" s="49">
        <v>2016</v>
      </c>
      <c r="G506" s="50">
        <v>42822.791666666664</v>
      </c>
      <c r="H506" s="50">
        <v>42835.958333333336</v>
      </c>
      <c r="I506" s="54">
        <v>42822</v>
      </c>
      <c r="J506" s="54">
        <v>42835</v>
      </c>
      <c r="K506" s="51" t="s">
        <v>526</v>
      </c>
      <c r="L506" s="51">
        <v>0.95833333333333337</v>
      </c>
      <c r="M506" s="51" t="s">
        <v>541</v>
      </c>
      <c r="N506" s="51" t="s">
        <v>529</v>
      </c>
      <c r="O506" s="51" t="s">
        <v>543</v>
      </c>
      <c r="P506" s="49" t="s">
        <v>9</v>
      </c>
      <c r="Q506" s="49" t="s">
        <v>16</v>
      </c>
      <c r="R506" s="49" t="s">
        <v>109</v>
      </c>
      <c r="S506" s="49">
        <v>4</v>
      </c>
      <c r="T506" s="49">
        <v>8</v>
      </c>
      <c r="U506" s="63">
        <v>63</v>
      </c>
      <c r="V506" s="63">
        <v>504</v>
      </c>
    </row>
    <row r="507" spans="1:22" x14ac:dyDescent="0.25">
      <c r="A507" s="49" t="s">
        <v>279</v>
      </c>
      <c r="B507" s="49" t="s">
        <v>39</v>
      </c>
      <c r="C507" s="49" t="s">
        <v>177</v>
      </c>
      <c r="D507" s="49" t="s">
        <v>84</v>
      </c>
      <c r="E507" s="49" t="s">
        <v>172</v>
      </c>
      <c r="F507" s="49">
        <v>2016</v>
      </c>
      <c r="G507" s="50">
        <v>42823.583333333336</v>
      </c>
      <c r="H507" s="50">
        <v>42836.75</v>
      </c>
      <c r="I507" s="54">
        <v>42823</v>
      </c>
      <c r="J507" s="54">
        <v>42836</v>
      </c>
      <c r="K507" s="51" t="s">
        <v>527</v>
      </c>
      <c r="L507" s="51">
        <v>0.75</v>
      </c>
      <c r="M507" s="51" t="s">
        <v>542</v>
      </c>
      <c r="N507" s="51" t="s">
        <v>529</v>
      </c>
      <c r="O507" s="51" t="s">
        <v>543</v>
      </c>
      <c r="P507" s="49" t="s">
        <v>23</v>
      </c>
      <c r="Q507" s="49" t="s">
        <v>18</v>
      </c>
      <c r="R507" s="49" t="s">
        <v>113</v>
      </c>
      <c r="S507" s="49">
        <v>5</v>
      </c>
      <c r="T507" s="49">
        <v>11</v>
      </c>
      <c r="U507" s="63">
        <v>52</v>
      </c>
      <c r="V507" s="63">
        <v>572</v>
      </c>
    </row>
    <row r="508" spans="1:22" x14ac:dyDescent="0.25">
      <c r="A508" s="49" t="s">
        <v>280</v>
      </c>
      <c r="B508" s="49" t="s">
        <v>45</v>
      </c>
      <c r="C508" s="49" t="s">
        <v>177</v>
      </c>
      <c r="D508" s="49" t="s">
        <v>89</v>
      </c>
      <c r="E508" s="49" t="s">
        <v>169</v>
      </c>
      <c r="F508" s="49">
        <v>2016</v>
      </c>
      <c r="G508" s="50">
        <v>42824.375</v>
      </c>
      <c r="H508" s="50">
        <v>42830.75</v>
      </c>
      <c r="I508" s="54">
        <v>42824</v>
      </c>
      <c r="J508" s="54">
        <v>42830</v>
      </c>
      <c r="K508" s="51" t="s">
        <v>525</v>
      </c>
      <c r="L508" s="51">
        <v>0.75</v>
      </c>
      <c r="M508" s="51" t="s">
        <v>540</v>
      </c>
      <c r="N508" s="51" t="s">
        <v>529</v>
      </c>
      <c r="O508" s="51" t="s">
        <v>543</v>
      </c>
      <c r="P508" s="49" t="s">
        <v>23</v>
      </c>
      <c r="Q508" s="49" t="s">
        <v>38</v>
      </c>
      <c r="R508" s="49" t="s">
        <v>113</v>
      </c>
      <c r="S508" s="49">
        <v>4</v>
      </c>
      <c r="T508" s="49">
        <v>9</v>
      </c>
      <c r="U508" s="63">
        <v>62</v>
      </c>
      <c r="V508" s="63">
        <v>558</v>
      </c>
    </row>
    <row r="509" spans="1:22" x14ac:dyDescent="0.25">
      <c r="A509" s="49" t="s">
        <v>281</v>
      </c>
      <c r="B509" s="49" t="s">
        <v>7</v>
      </c>
      <c r="C509" s="49" t="s">
        <v>175</v>
      </c>
      <c r="D509" s="49" t="s">
        <v>82</v>
      </c>
      <c r="E509" s="49" t="s">
        <v>172</v>
      </c>
      <c r="F509" s="49">
        <v>2016</v>
      </c>
      <c r="G509" s="50">
        <v>42825.333333333336</v>
      </c>
      <c r="H509" s="50">
        <v>42838.5</v>
      </c>
      <c r="I509" s="54">
        <v>42825</v>
      </c>
      <c r="J509" s="54">
        <v>42838</v>
      </c>
      <c r="K509" s="51" t="s">
        <v>522</v>
      </c>
      <c r="L509" s="51">
        <v>0.5</v>
      </c>
      <c r="M509" s="51" t="s">
        <v>539</v>
      </c>
      <c r="N509" s="51" t="s">
        <v>529</v>
      </c>
      <c r="O509" s="51" t="s">
        <v>543</v>
      </c>
      <c r="P509" s="49" t="s">
        <v>9</v>
      </c>
      <c r="Q509" s="49" t="s">
        <v>16</v>
      </c>
      <c r="R509" s="49" t="s">
        <v>109</v>
      </c>
      <c r="S509" s="49">
        <v>3</v>
      </c>
      <c r="T509" s="49">
        <v>12</v>
      </c>
      <c r="U509" s="63">
        <v>75</v>
      </c>
      <c r="V509" s="63">
        <v>900</v>
      </c>
    </row>
    <row r="510" spans="1:22" x14ac:dyDescent="0.25">
      <c r="A510" s="49" t="s">
        <v>282</v>
      </c>
      <c r="B510" s="49" t="s">
        <v>14</v>
      </c>
      <c r="C510" s="49" t="s">
        <v>175</v>
      </c>
      <c r="D510" s="49" t="s">
        <v>80</v>
      </c>
      <c r="E510" s="49" t="s">
        <v>173</v>
      </c>
      <c r="F510" s="49">
        <v>2016</v>
      </c>
      <c r="G510" s="50">
        <v>42826.375</v>
      </c>
      <c r="H510" s="50">
        <v>42831.75</v>
      </c>
      <c r="I510" s="54">
        <v>42826</v>
      </c>
      <c r="J510" s="54">
        <v>42831</v>
      </c>
      <c r="K510" s="51" t="s">
        <v>525</v>
      </c>
      <c r="L510" s="51">
        <v>0.75</v>
      </c>
      <c r="M510" s="51" t="s">
        <v>540</v>
      </c>
      <c r="N510" s="51" t="s">
        <v>530</v>
      </c>
      <c r="O510" s="51" t="s">
        <v>543</v>
      </c>
      <c r="P510" s="49" t="s">
        <v>23</v>
      </c>
      <c r="Q510" s="49" t="s">
        <v>16</v>
      </c>
      <c r="R510" s="49" t="s">
        <v>109</v>
      </c>
      <c r="S510" s="49">
        <v>5</v>
      </c>
      <c r="T510" s="49">
        <v>11</v>
      </c>
      <c r="U510" s="63">
        <v>32</v>
      </c>
      <c r="V510" s="63">
        <v>352</v>
      </c>
    </row>
    <row r="511" spans="1:22" x14ac:dyDescent="0.25">
      <c r="A511" s="49" t="s">
        <v>283</v>
      </c>
      <c r="B511" s="49" t="s">
        <v>45</v>
      </c>
      <c r="C511" s="49" t="s">
        <v>177</v>
      </c>
      <c r="D511" s="49" t="s">
        <v>86</v>
      </c>
      <c r="E511" s="49" t="s">
        <v>169</v>
      </c>
      <c r="F511" s="49">
        <v>2016</v>
      </c>
      <c r="G511" s="50">
        <v>42828.791666666664</v>
      </c>
      <c r="H511" s="50">
        <v>42842.958333333336</v>
      </c>
      <c r="I511" s="54">
        <v>42828</v>
      </c>
      <c r="J511" s="54">
        <v>42842</v>
      </c>
      <c r="K511" s="51" t="s">
        <v>526</v>
      </c>
      <c r="L511" s="51">
        <v>0.95833333333333337</v>
      </c>
      <c r="M511" s="51" t="s">
        <v>541</v>
      </c>
      <c r="N511" s="51" t="s">
        <v>530</v>
      </c>
      <c r="O511" s="51" t="s">
        <v>543</v>
      </c>
      <c r="P511" s="49" t="s">
        <v>9</v>
      </c>
      <c r="Q511" s="49" t="s">
        <v>26</v>
      </c>
      <c r="R511" s="49" t="s">
        <v>113</v>
      </c>
      <c r="S511" s="49">
        <v>4</v>
      </c>
      <c r="T511" s="49">
        <v>9</v>
      </c>
      <c r="U511" s="63">
        <v>48</v>
      </c>
      <c r="V511" s="63">
        <v>432</v>
      </c>
    </row>
    <row r="512" spans="1:22" x14ac:dyDescent="0.25">
      <c r="A512" s="49" t="s">
        <v>284</v>
      </c>
      <c r="B512" s="49" t="s">
        <v>39</v>
      </c>
      <c r="C512" s="49" t="s">
        <v>177</v>
      </c>
      <c r="D512" s="49" t="s">
        <v>89</v>
      </c>
      <c r="E512" s="49" t="s">
        <v>169</v>
      </c>
      <c r="F512" s="49">
        <v>2016</v>
      </c>
      <c r="G512" s="50">
        <v>42828.791666666664</v>
      </c>
      <c r="H512" s="50">
        <v>42842.958333333336</v>
      </c>
      <c r="I512" s="54">
        <v>42828</v>
      </c>
      <c r="J512" s="54">
        <v>42842</v>
      </c>
      <c r="K512" s="51" t="s">
        <v>526</v>
      </c>
      <c r="L512" s="51">
        <v>0.95833333333333337</v>
      </c>
      <c r="M512" s="51" t="s">
        <v>541</v>
      </c>
      <c r="N512" s="51" t="s">
        <v>530</v>
      </c>
      <c r="O512" s="51" t="s">
        <v>543</v>
      </c>
      <c r="P512" s="49" t="s">
        <v>23</v>
      </c>
      <c r="Q512" s="49" t="s">
        <v>41</v>
      </c>
      <c r="R512" s="49" t="s">
        <v>113</v>
      </c>
      <c r="S512" s="49">
        <v>3</v>
      </c>
      <c r="T512" s="49">
        <v>12</v>
      </c>
      <c r="U512" s="63">
        <v>62</v>
      </c>
      <c r="V512" s="63">
        <v>744</v>
      </c>
    </row>
    <row r="513" spans="1:22" x14ac:dyDescent="0.25">
      <c r="A513" s="49" t="s">
        <v>285</v>
      </c>
      <c r="B513" s="49" t="s">
        <v>39</v>
      </c>
      <c r="C513" s="49" t="s">
        <v>177</v>
      </c>
      <c r="D513" s="49" t="s">
        <v>84</v>
      </c>
      <c r="E513" s="49" t="s">
        <v>172</v>
      </c>
      <c r="F513" s="49">
        <v>2016</v>
      </c>
      <c r="G513" s="50">
        <v>42829.791666666664</v>
      </c>
      <c r="H513" s="50">
        <v>42843.958333333336</v>
      </c>
      <c r="I513" s="54">
        <v>42829</v>
      </c>
      <c r="J513" s="54">
        <v>42843</v>
      </c>
      <c r="K513" s="51" t="s">
        <v>526</v>
      </c>
      <c r="L513" s="51">
        <v>0.95833333333333337</v>
      </c>
      <c r="M513" s="51" t="s">
        <v>541</v>
      </c>
      <c r="N513" s="51" t="s">
        <v>530</v>
      </c>
      <c r="O513" s="51" t="s">
        <v>543</v>
      </c>
      <c r="P513" s="49" t="s">
        <v>9</v>
      </c>
      <c r="Q513" s="49" t="s">
        <v>22</v>
      </c>
      <c r="R513" s="49" t="s">
        <v>109</v>
      </c>
      <c r="S513" s="49">
        <v>2</v>
      </c>
      <c r="T513" s="49">
        <v>10</v>
      </c>
      <c r="U513" s="63">
        <v>52</v>
      </c>
      <c r="V513" s="63">
        <v>520</v>
      </c>
    </row>
    <row r="514" spans="1:22" x14ac:dyDescent="0.25">
      <c r="A514" s="49" t="s">
        <v>286</v>
      </c>
      <c r="B514" s="49" t="s">
        <v>7</v>
      </c>
      <c r="C514" s="49" t="s">
        <v>175</v>
      </c>
      <c r="D514" s="49" t="s">
        <v>85</v>
      </c>
      <c r="E514" s="49" t="s">
        <v>170</v>
      </c>
      <c r="F514" s="49">
        <v>2016</v>
      </c>
      <c r="G514" s="50">
        <v>42830.583333333336</v>
      </c>
      <c r="H514" s="50">
        <v>42844.75</v>
      </c>
      <c r="I514" s="54">
        <v>42830</v>
      </c>
      <c r="J514" s="54">
        <v>42844</v>
      </c>
      <c r="K514" s="51" t="s">
        <v>527</v>
      </c>
      <c r="L514" s="51">
        <v>0.75</v>
      </c>
      <c r="M514" s="51" t="s">
        <v>542</v>
      </c>
      <c r="N514" s="51" t="s">
        <v>530</v>
      </c>
      <c r="O514" s="51" t="s">
        <v>543</v>
      </c>
      <c r="P514" s="49" t="s">
        <v>23</v>
      </c>
      <c r="Q514" s="49" t="s">
        <v>38</v>
      </c>
      <c r="R514" s="49" t="s">
        <v>113</v>
      </c>
      <c r="S514" s="49">
        <v>2</v>
      </c>
      <c r="T514" s="49">
        <v>10</v>
      </c>
      <c r="U514" s="63">
        <v>48</v>
      </c>
      <c r="V514" s="63">
        <v>480</v>
      </c>
    </row>
    <row r="515" spans="1:22" x14ac:dyDescent="0.25">
      <c r="A515" s="49" t="s">
        <v>287</v>
      </c>
      <c r="B515" s="49" t="s">
        <v>39</v>
      </c>
      <c r="C515" s="49" t="s">
        <v>177</v>
      </c>
      <c r="D515" s="49" t="s">
        <v>81</v>
      </c>
      <c r="E515" s="49" t="s">
        <v>172</v>
      </c>
      <c r="F515" s="49">
        <v>2016</v>
      </c>
      <c r="G515" s="50">
        <v>42831.375</v>
      </c>
      <c r="H515" s="50">
        <v>42837.75</v>
      </c>
      <c r="I515" s="54">
        <v>42831</v>
      </c>
      <c r="J515" s="54">
        <v>42837</v>
      </c>
      <c r="K515" s="51" t="s">
        <v>525</v>
      </c>
      <c r="L515" s="51">
        <v>0.75</v>
      </c>
      <c r="M515" s="51" t="s">
        <v>540</v>
      </c>
      <c r="N515" s="51" t="s">
        <v>530</v>
      </c>
      <c r="O515" s="51" t="s">
        <v>543</v>
      </c>
      <c r="P515" s="49" t="s">
        <v>9</v>
      </c>
      <c r="Q515" s="49" t="s">
        <v>190</v>
      </c>
      <c r="R515" s="49" t="s">
        <v>109</v>
      </c>
      <c r="S515" s="49">
        <v>5</v>
      </c>
      <c r="T515" s="49">
        <v>9</v>
      </c>
      <c r="U515" s="63">
        <v>43</v>
      </c>
      <c r="V515" s="63">
        <v>387</v>
      </c>
    </row>
    <row r="516" spans="1:22" x14ac:dyDescent="0.25">
      <c r="A516" s="49" t="s">
        <v>288</v>
      </c>
      <c r="B516" s="49" t="s">
        <v>19</v>
      </c>
      <c r="C516" s="49" t="s">
        <v>176</v>
      </c>
      <c r="D516" s="49" t="s">
        <v>77</v>
      </c>
      <c r="E516" s="49" t="s">
        <v>172</v>
      </c>
      <c r="F516" s="49">
        <v>2016</v>
      </c>
      <c r="G516" s="50">
        <v>42832.333333333336</v>
      </c>
      <c r="H516" s="50">
        <v>42849.5</v>
      </c>
      <c r="I516" s="54">
        <v>42832</v>
      </c>
      <c r="J516" s="54">
        <v>42849</v>
      </c>
      <c r="K516" s="51" t="s">
        <v>522</v>
      </c>
      <c r="L516" s="51">
        <v>0.5</v>
      </c>
      <c r="M516" s="51" t="s">
        <v>539</v>
      </c>
      <c r="N516" s="51" t="s">
        <v>530</v>
      </c>
      <c r="O516" s="51" t="s">
        <v>543</v>
      </c>
      <c r="P516" s="49" t="s">
        <v>9</v>
      </c>
      <c r="Q516" s="49" t="s">
        <v>12</v>
      </c>
      <c r="R516" s="49" t="s">
        <v>113</v>
      </c>
      <c r="S516" s="49">
        <v>3</v>
      </c>
      <c r="T516" s="49">
        <v>12</v>
      </c>
      <c r="U516" s="63">
        <v>35</v>
      </c>
      <c r="V516" s="63">
        <v>420</v>
      </c>
    </row>
    <row r="517" spans="1:22" x14ac:dyDescent="0.25">
      <c r="A517" s="49" t="s">
        <v>289</v>
      </c>
      <c r="B517" s="49" t="s">
        <v>11</v>
      </c>
      <c r="C517" s="49" t="s">
        <v>175</v>
      </c>
      <c r="D517" s="49" t="s">
        <v>76</v>
      </c>
      <c r="E517" s="49" t="s">
        <v>174</v>
      </c>
      <c r="F517" s="49">
        <v>2016</v>
      </c>
      <c r="G517" s="50">
        <v>42833.375</v>
      </c>
      <c r="H517" s="50">
        <v>42838.75</v>
      </c>
      <c r="I517" s="54">
        <v>42833</v>
      </c>
      <c r="J517" s="54">
        <v>42838</v>
      </c>
      <c r="K517" s="51" t="s">
        <v>525</v>
      </c>
      <c r="L517" s="51">
        <v>0.75</v>
      </c>
      <c r="M517" s="51" t="s">
        <v>540</v>
      </c>
      <c r="N517" s="51" t="s">
        <v>530</v>
      </c>
      <c r="O517" s="51" t="s">
        <v>543</v>
      </c>
      <c r="P517" s="49" t="s">
        <v>23</v>
      </c>
      <c r="Q517" s="49" t="s">
        <v>18</v>
      </c>
      <c r="R517" s="49" t="s">
        <v>113</v>
      </c>
      <c r="S517" s="49">
        <v>4</v>
      </c>
      <c r="T517" s="49">
        <v>9</v>
      </c>
      <c r="U517" s="63">
        <v>53</v>
      </c>
      <c r="V517" s="63">
        <v>477</v>
      </c>
    </row>
    <row r="518" spans="1:22" x14ac:dyDescent="0.25">
      <c r="A518" s="49" t="s">
        <v>290</v>
      </c>
      <c r="B518" s="49" t="s">
        <v>11</v>
      </c>
      <c r="C518" s="49" t="s">
        <v>175</v>
      </c>
      <c r="D518" s="49" t="s">
        <v>79</v>
      </c>
      <c r="E518" s="49" t="s">
        <v>168</v>
      </c>
      <c r="F518" s="49">
        <v>2016</v>
      </c>
      <c r="G518" s="50">
        <v>42835.791666666664</v>
      </c>
      <c r="H518" s="50">
        <v>42850.958333333336</v>
      </c>
      <c r="I518" s="54">
        <v>42835</v>
      </c>
      <c r="J518" s="54">
        <v>42850</v>
      </c>
      <c r="K518" s="51" t="s">
        <v>526</v>
      </c>
      <c r="L518" s="51">
        <v>0.95833333333333337</v>
      </c>
      <c r="M518" s="51" t="s">
        <v>541</v>
      </c>
      <c r="N518" s="51" t="s">
        <v>530</v>
      </c>
      <c r="O518" s="51" t="s">
        <v>543</v>
      </c>
      <c r="P518" s="49" t="s">
        <v>23</v>
      </c>
      <c r="Q518" s="49" t="s">
        <v>35</v>
      </c>
      <c r="R518" s="49" t="s">
        <v>109</v>
      </c>
      <c r="S518" s="49">
        <v>5</v>
      </c>
      <c r="T518" s="49">
        <v>8</v>
      </c>
      <c r="U518" s="63">
        <v>48</v>
      </c>
      <c r="V518" s="63">
        <v>384</v>
      </c>
    </row>
    <row r="519" spans="1:22" x14ac:dyDescent="0.25">
      <c r="A519" s="49" t="s">
        <v>291</v>
      </c>
      <c r="B519" s="49" t="s">
        <v>39</v>
      </c>
      <c r="C519" s="49" t="s">
        <v>177</v>
      </c>
      <c r="D519" s="49" t="s">
        <v>78</v>
      </c>
      <c r="E519" s="49" t="s">
        <v>172</v>
      </c>
      <c r="F519" s="49">
        <v>2016</v>
      </c>
      <c r="G519" s="50">
        <v>42835.791666666664</v>
      </c>
      <c r="H519" s="50">
        <v>42850.958333333336</v>
      </c>
      <c r="I519" s="54">
        <v>42835</v>
      </c>
      <c r="J519" s="54">
        <v>42850</v>
      </c>
      <c r="K519" s="51" t="s">
        <v>526</v>
      </c>
      <c r="L519" s="51">
        <v>0.95833333333333337</v>
      </c>
      <c r="M519" s="51" t="s">
        <v>541</v>
      </c>
      <c r="N519" s="51" t="s">
        <v>530</v>
      </c>
      <c r="O519" s="51" t="s">
        <v>543</v>
      </c>
      <c r="P519" s="49" t="s">
        <v>9</v>
      </c>
      <c r="Q519" s="49" t="s">
        <v>38</v>
      </c>
      <c r="R519" s="49" t="s">
        <v>113</v>
      </c>
      <c r="S519" s="49">
        <v>4</v>
      </c>
      <c r="T519" s="49">
        <v>8</v>
      </c>
      <c r="U519" s="63">
        <v>62</v>
      </c>
      <c r="V519" s="63">
        <v>496</v>
      </c>
    </row>
    <row r="520" spans="1:22" x14ac:dyDescent="0.25">
      <c r="A520" s="49" t="s">
        <v>292</v>
      </c>
      <c r="B520" s="49" t="s">
        <v>39</v>
      </c>
      <c r="C520" s="49" t="s">
        <v>177</v>
      </c>
      <c r="D520" s="49" t="s">
        <v>84</v>
      </c>
      <c r="E520" s="49" t="s">
        <v>172</v>
      </c>
      <c r="F520" s="49">
        <v>2016</v>
      </c>
      <c r="G520" s="50">
        <v>42836.791666666664</v>
      </c>
      <c r="H520" s="50">
        <v>42851.958333333336</v>
      </c>
      <c r="I520" s="54">
        <v>42836</v>
      </c>
      <c r="J520" s="54">
        <v>42851</v>
      </c>
      <c r="K520" s="51" t="s">
        <v>526</v>
      </c>
      <c r="L520" s="51">
        <v>0.95833333333333337</v>
      </c>
      <c r="M520" s="51" t="s">
        <v>541</v>
      </c>
      <c r="N520" s="51" t="s">
        <v>530</v>
      </c>
      <c r="O520" s="51" t="s">
        <v>543</v>
      </c>
      <c r="P520" s="49" t="s">
        <v>23</v>
      </c>
      <c r="Q520" s="49" t="s">
        <v>190</v>
      </c>
      <c r="R520" s="49" t="s">
        <v>109</v>
      </c>
      <c r="S520" s="49">
        <v>4</v>
      </c>
      <c r="T520" s="49">
        <v>8</v>
      </c>
      <c r="U520" s="63">
        <v>52</v>
      </c>
      <c r="V520" s="63">
        <v>416</v>
      </c>
    </row>
    <row r="521" spans="1:22" x14ac:dyDescent="0.25">
      <c r="A521" s="49" t="s">
        <v>293</v>
      </c>
      <c r="B521" s="49" t="s">
        <v>17</v>
      </c>
      <c r="C521" s="49" t="s">
        <v>176</v>
      </c>
      <c r="D521" s="49" t="s">
        <v>80</v>
      </c>
      <c r="E521" s="49" t="s">
        <v>173</v>
      </c>
      <c r="F521" s="49">
        <v>2016</v>
      </c>
      <c r="G521" s="50">
        <v>42837.583333333336</v>
      </c>
      <c r="H521" s="50">
        <v>42852.75</v>
      </c>
      <c r="I521" s="54">
        <v>42837</v>
      </c>
      <c r="J521" s="54">
        <v>42852</v>
      </c>
      <c r="K521" s="51" t="s">
        <v>527</v>
      </c>
      <c r="L521" s="51">
        <v>0.75</v>
      </c>
      <c r="M521" s="51" t="s">
        <v>542</v>
      </c>
      <c r="N521" s="51" t="s">
        <v>530</v>
      </c>
      <c r="O521" s="51" t="s">
        <v>543</v>
      </c>
      <c r="P521" s="49" t="s">
        <v>23</v>
      </c>
      <c r="Q521" s="49" t="s">
        <v>37</v>
      </c>
      <c r="R521" s="49" t="s">
        <v>113</v>
      </c>
      <c r="S521" s="49">
        <v>5</v>
      </c>
      <c r="T521" s="49">
        <v>12</v>
      </c>
      <c r="U521" s="63">
        <v>32</v>
      </c>
      <c r="V521" s="63">
        <v>384</v>
      </c>
    </row>
    <row r="522" spans="1:22" x14ac:dyDescent="0.25">
      <c r="A522" s="49" t="s">
        <v>294</v>
      </c>
      <c r="B522" s="49" t="s">
        <v>11</v>
      </c>
      <c r="C522" s="49" t="s">
        <v>175</v>
      </c>
      <c r="D522" s="49" t="s">
        <v>78</v>
      </c>
      <c r="E522" s="49" t="s">
        <v>172</v>
      </c>
      <c r="F522" s="49">
        <v>2016</v>
      </c>
      <c r="G522" s="50">
        <v>42838.375</v>
      </c>
      <c r="H522" s="50">
        <v>42845.75</v>
      </c>
      <c r="I522" s="54">
        <v>42838</v>
      </c>
      <c r="J522" s="54">
        <v>42845</v>
      </c>
      <c r="K522" s="51" t="s">
        <v>525</v>
      </c>
      <c r="L522" s="51">
        <v>0.75</v>
      </c>
      <c r="M522" s="51" t="s">
        <v>540</v>
      </c>
      <c r="N522" s="51" t="s">
        <v>530</v>
      </c>
      <c r="O522" s="51" t="s">
        <v>543</v>
      </c>
      <c r="P522" s="49" t="s">
        <v>23</v>
      </c>
      <c r="Q522" s="49" t="s">
        <v>44</v>
      </c>
      <c r="R522" s="49" t="s">
        <v>113</v>
      </c>
      <c r="S522" s="49">
        <v>2</v>
      </c>
      <c r="T522" s="49">
        <v>8</v>
      </c>
      <c r="U522" s="63">
        <v>62</v>
      </c>
      <c r="V522" s="63">
        <v>496</v>
      </c>
    </row>
    <row r="523" spans="1:22" x14ac:dyDescent="0.25">
      <c r="A523" s="49" t="s">
        <v>295</v>
      </c>
      <c r="B523" s="49" t="s">
        <v>7</v>
      </c>
      <c r="C523" s="49" t="s">
        <v>175</v>
      </c>
      <c r="D523" s="49" t="s">
        <v>77</v>
      </c>
      <c r="E523" s="49" t="s">
        <v>172</v>
      </c>
      <c r="F523" s="49">
        <v>2016</v>
      </c>
      <c r="G523" s="50">
        <v>42839.333333333336</v>
      </c>
      <c r="H523" s="50">
        <v>42853.5</v>
      </c>
      <c r="I523" s="54">
        <v>42839</v>
      </c>
      <c r="J523" s="54">
        <v>42853</v>
      </c>
      <c r="K523" s="51" t="s">
        <v>522</v>
      </c>
      <c r="L523" s="51">
        <v>0.5</v>
      </c>
      <c r="M523" s="51" t="s">
        <v>539</v>
      </c>
      <c r="N523" s="51" t="s">
        <v>530</v>
      </c>
      <c r="O523" s="51" t="s">
        <v>543</v>
      </c>
      <c r="P523" s="49" t="s">
        <v>9</v>
      </c>
      <c r="Q523" s="49" t="s">
        <v>22</v>
      </c>
      <c r="R523" s="49" t="s">
        <v>109</v>
      </c>
      <c r="S523" s="49">
        <v>4</v>
      </c>
      <c r="T523" s="49">
        <v>11</v>
      </c>
      <c r="U523" s="63">
        <v>35</v>
      </c>
      <c r="V523" s="63">
        <v>385</v>
      </c>
    </row>
    <row r="524" spans="1:22" x14ac:dyDescent="0.25">
      <c r="A524" s="49" t="s">
        <v>296</v>
      </c>
      <c r="B524" s="49" t="s">
        <v>14</v>
      </c>
      <c r="C524" s="49" t="s">
        <v>175</v>
      </c>
      <c r="D524" s="49" t="s">
        <v>78</v>
      </c>
      <c r="E524" s="49" t="s">
        <v>172</v>
      </c>
      <c r="F524" s="49">
        <v>2016</v>
      </c>
      <c r="G524" s="50">
        <v>42840.375</v>
      </c>
      <c r="H524" s="50">
        <v>42845.75</v>
      </c>
      <c r="I524" s="54">
        <v>42840</v>
      </c>
      <c r="J524" s="54">
        <v>42845</v>
      </c>
      <c r="K524" s="51" t="s">
        <v>525</v>
      </c>
      <c r="L524" s="51">
        <v>0.75</v>
      </c>
      <c r="M524" s="51" t="s">
        <v>540</v>
      </c>
      <c r="N524" s="51" t="s">
        <v>530</v>
      </c>
      <c r="O524" s="51" t="s">
        <v>543</v>
      </c>
      <c r="P524" s="49" t="s">
        <v>9</v>
      </c>
      <c r="Q524" s="49" t="s">
        <v>41</v>
      </c>
      <c r="R524" s="49" t="s">
        <v>113</v>
      </c>
      <c r="S524" s="49">
        <v>5</v>
      </c>
      <c r="T524" s="49">
        <v>12</v>
      </c>
      <c r="U524" s="63">
        <v>62</v>
      </c>
      <c r="V524" s="63">
        <v>744</v>
      </c>
    </row>
    <row r="525" spans="1:22" x14ac:dyDescent="0.25">
      <c r="A525" s="49" t="s">
        <v>297</v>
      </c>
      <c r="B525" s="49" t="s">
        <v>11</v>
      </c>
      <c r="C525" s="49" t="s">
        <v>175</v>
      </c>
      <c r="D525" s="49" t="s">
        <v>88</v>
      </c>
      <c r="E525" s="49" t="s">
        <v>170</v>
      </c>
      <c r="F525" s="49">
        <v>2016</v>
      </c>
      <c r="G525" s="50">
        <v>42842.791666666664</v>
      </c>
      <c r="H525" s="50">
        <v>42857.958333333336</v>
      </c>
      <c r="I525" s="54">
        <v>42842</v>
      </c>
      <c r="J525" s="54">
        <v>42857</v>
      </c>
      <c r="K525" s="51" t="s">
        <v>526</v>
      </c>
      <c r="L525" s="51">
        <v>0.95833333333333337</v>
      </c>
      <c r="M525" s="51" t="s">
        <v>541</v>
      </c>
      <c r="N525" s="51" t="s">
        <v>530</v>
      </c>
      <c r="O525" s="51" t="s">
        <v>543</v>
      </c>
      <c r="P525" s="49" t="s">
        <v>23</v>
      </c>
      <c r="Q525" s="49" t="s">
        <v>16</v>
      </c>
      <c r="R525" s="49" t="s">
        <v>109</v>
      </c>
      <c r="S525" s="49">
        <v>3</v>
      </c>
      <c r="T525" s="49">
        <v>11</v>
      </c>
      <c r="U525" s="63">
        <v>42</v>
      </c>
      <c r="V525" s="63">
        <v>462</v>
      </c>
    </row>
    <row r="526" spans="1:22" x14ac:dyDescent="0.25">
      <c r="A526" s="49" t="s">
        <v>298</v>
      </c>
      <c r="B526" s="49" t="s">
        <v>19</v>
      </c>
      <c r="C526" s="49" t="s">
        <v>176</v>
      </c>
      <c r="D526" s="49" t="s">
        <v>80</v>
      </c>
      <c r="E526" s="49" t="s">
        <v>173</v>
      </c>
      <c r="F526" s="49">
        <v>2016</v>
      </c>
      <c r="G526" s="50">
        <v>42842.791666666664</v>
      </c>
      <c r="H526" s="50">
        <v>42857.958333333336</v>
      </c>
      <c r="I526" s="54">
        <v>42842</v>
      </c>
      <c r="J526" s="54">
        <v>42857</v>
      </c>
      <c r="K526" s="51" t="s">
        <v>526</v>
      </c>
      <c r="L526" s="51">
        <v>0.95833333333333337</v>
      </c>
      <c r="M526" s="51" t="s">
        <v>541</v>
      </c>
      <c r="N526" s="51" t="s">
        <v>530</v>
      </c>
      <c r="O526" s="51" t="s">
        <v>543</v>
      </c>
      <c r="P526" s="49" t="s">
        <v>23</v>
      </c>
      <c r="Q526" s="49" t="s">
        <v>190</v>
      </c>
      <c r="R526" s="49" t="s">
        <v>109</v>
      </c>
      <c r="S526" s="49">
        <v>5</v>
      </c>
      <c r="T526" s="49">
        <v>12</v>
      </c>
      <c r="U526" s="63">
        <v>32</v>
      </c>
      <c r="V526" s="63">
        <v>384</v>
      </c>
    </row>
    <row r="527" spans="1:22" x14ac:dyDescent="0.25">
      <c r="A527" s="49" t="s">
        <v>299</v>
      </c>
      <c r="B527" s="49" t="s">
        <v>11</v>
      </c>
      <c r="C527" s="49" t="s">
        <v>175</v>
      </c>
      <c r="D527" s="49" t="s">
        <v>84</v>
      </c>
      <c r="E527" s="49" t="s">
        <v>172</v>
      </c>
      <c r="F527" s="49">
        <v>2016</v>
      </c>
      <c r="G527" s="50">
        <v>42843.791666666664</v>
      </c>
      <c r="H527" s="50">
        <v>42858.958333333336</v>
      </c>
      <c r="I527" s="54">
        <v>42843</v>
      </c>
      <c r="J527" s="54">
        <v>42858</v>
      </c>
      <c r="K527" s="51" t="s">
        <v>526</v>
      </c>
      <c r="L527" s="51">
        <v>0.95833333333333337</v>
      </c>
      <c r="M527" s="51" t="s">
        <v>541</v>
      </c>
      <c r="N527" s="51" t="s">
        <v>530</v>
      </c>
      <c r="O527" s="51" t="s">
        <v>543</v>
      </c>
      <c r="P527" s="49" t="s">
        <v>23</v>
      </c>
      <c r="Q527" s="49" t="s">
        <v>37</v>
      </c>
      <c r="R527" s="49" t="s">
        <v>113</v>
      </c>
      <c r="S527" s="49">
        <v>3</v>
      </c>
      <c r="T527" s="49">
        <v>12</v>
      </c>
      <c r="U527" s="63">
        <v>52</v>
      </c>
      <c r="V527" s="63">
        <v>624</v>
      </c>
    </row>
    <row r="528" spans="1:22" x14ac:dyDescent="0.25">
      <c r="A528" s="49" t="s">
        <v>300</v>
      </c>
      <c r="B528" s="49" t="s">
        <v>39</v>
      </c>
      <c r="C528" s="49" t="s">
        <v>177</v>
      </c>
      <c r="D528" s="49" t="s">
        <v>82</v>
      </c>
      <c r="E528" s="49" t="s">
        <v>172</v>
      </c>
      <c r="F528" s="49">
        <v>2016</v>
      </c>
      <c r="G528" s="50">
        <v>42844.583333333336</v>
      </c>
      <c r="H528" s="50">
        <v>42859.75</v>
      </c>
      <c r="I528" s="54">
        <v>42844</v>
      </c>
      <c r="J528" s="54">
        <v>42859</v>
      </c>
      <c r="K528" s="51" t="s">
        <v>527</v>
      </c>
      <c r="L528" s="51">
        <v>0.75</v>
      </c>
      <c r="M528" s="51" t="s">
        <v>542</v>
      </c>
      <c r="N528" s="51" t="s">
        <v>530</v>
      </c>
      <c r="O528" s="51" t="s">
        <v>543</v>
      </c>
      <c r="P528" s="49" t="s">
        <v>23</v>
      </c>
      <c r="Q528" s="49" t="s">
        <v>190</v>
      </c>
      <c r="R528" s="49" t="s">
        <v>109</v>
      </c>
      <c r="S528" s="49">
        <v>3</v>
      </c>
      <c r="T528" s="49">
        <v>11</v>
      </c>
      <c r="U528" s="63">
        <v>75</v>
      </c>
      <c r="V528" s="63">
        <v>825</v>
      </c>
    </row>
    <row r="529" spans="1:22" x14ac:dyDescent="0.25">
      <c r="A529" s="49" t="s">
        <v>301</v>
      </c>
      <c r="B529" s="49" t="s">
        <v>19</v>
      </c>
      <c r="C529" s="49" t="s">
        <v>176</v>
      </c>
      <c r="D529" s="49" t="s">
        <v>84</v>
      </c>
      <c r="E529" s="49" t="s">
        <v>172</v>
      </c>
      <c r="F529" s="49">
        <v>2016</v>
      </c>
      <c r="G529" s="50">
        <v>42845.375</v>
      </c>
      <c r="H529" s="50">
        <v>42852.75</v>
      </c>
      <c r="I529" s="54">
        <v>42845</v>
      </c>
      <c r="J529" s="54">
        <v>42852</v>
      </c>
      <c r="K529" s="51" t="s">
        <v>525</v>
      </c>
      <c r="L529" s="51">
        <v>0.75</v>
      </c>
      <c r="M529" s="51" t="s">
        <v>540</v>
      </c>
      <c r="N529" s="51" t="s">
        <v>530</v>
      </c>
      <c r="O529" s="51" t="s">
        <v>543</v>
      </c>
      <c r="P529" s="49" t="s">
        <v>9</v>
      </c>
      <c r="Q529" s="49" t="s">
        <v>190</v>
      </c>
      <c r="R529" s="49" t="s">
        <v>109</v>
      </c>
      <c r="S529" s="49">
        <v>2</v>
      </c>
      <c r="T529" s="49">
        <v>11</v>
      </c>
      <c r="U529" s="63">
        <v>52</v>
      </c>
      <c r="V529" s="63">
        <v>572</v>
      </c>
    </row>
    <row r="530" spans="1:22" x14ac:dyDescent="0.25">
      <c r="A530" s="49" t="s">
        <v>302</v>
      </c>
      <c r="B530" s="49" t="s">
        <v>11</v>
      </c>
      <c r="C530" s="49" t="s">
        <v>175</v>
      </c>
      <c r="D530" s="49" t="s">
        <v>88</v>
      </c>
      <c r="E530" s="49" t="s">
        <v>170</v>
      </c>
      <c r="F530" s="49">
        <v>2016</v>
      </c>
      <c r="G530" s="50">
        <v>42846.333333333336</v>
      </c>
      <c r="H530" s="50">
        <v>42860.5</v>
      </c>
      <c r="I530" s="54">
        <v>42846</v>
      </c>
      <c r="J530" s="54">
        <v>42860</v>
      </c>
      <c r="K530" s="51" t="s">
        <v>522</v>
      </c>
      <c r="L530" s="51">
        <v>0.5</v>
      </c>
      <c r="M530" s="51" t="s">
        <v>539</v>
      </c>
      <c r="N530" s="51" t="s">
        <v>530</v>
      </c>
      <c r="O530" s="51" t="s">
        <v>543</v>
      </c>
      <c r="P530" s="49" t="s">
        <v>23</v>
      </c>
      <c r="Q530" s="49" t="s">
        <v>16</v>
      </c>
      <c r="R530" s="49" t="s">
        <v>109</v>
      </c>
      <c r="S530" s="49">
        <v>3</v>
      </c>
      <c r="T530" s="49">
        <v>11</v>
      </c>
      <c r="U530" s="63">
        <v>42</v>
      </c>
      <c r="V530" s="63">
        <v>462</v>
      </c>
    </row>
    <row r="531" spans="1:22" x14ac:dyDescent="0.25">
      <c r="A531" s="49" t="s">
        <v>303</v>
      </c>
      <c r="B531" s="49" t="s">
        <v>7</v>
      </c>
      <c r="C531" s="49" t="s">
        <v>175</v>
      </c>
      <c r="D531" s="49" t="s">
        <v>76</v>
      </c>
      <c r="E531" s="49" t="s">
        <v>174</v>
      </c>
      <c r="F531" s="49">
        <v>2016</v>
      </c>
      <c r="G531" s="50">
        <v>42847.375</v>
      </c>
      <c r="H531" s="50">
        <v>42852.75</v>
      </c>
      <c r="I531" s="54">
        <v>42847</v>
      </c>
      <c r="J531" s="54">
        <v>42852</v>
      </c>
      <c r="K531" s="51" t="s">
        <v>525</v>
      </c>
      <c r="L531" s="51">
        <v>0.75</v>
      </c>
      <c r="M531" s="51" t="s">
        <v>540</v>
      </c>
      <c r="N531" s="51" t="s">
        <v>530</v>
      </c>
      <c r="O531" s="51" t="s">
        <v>543</v>
      </c>
      <c r="P531" s="49" t="s">
        <v>9</v>
      </c>
      <c r="Q531" s="49" t="s">
        <v>18</v>
      </c>
      <c r="R531" s="49" t="s">
        <v>113</v>
      </c>
      <c r="S531" s="49">
        <v>4</v>
      </c>
      <c r="T531" s="49">
        <v>12</v>
      </c>
      <c r="U531" s="63">
        <v>53</v>
      </c>
      <c r="V531" s="63">
        <v>636</v>
      </c>
    </row>
    <row r="532" spans="1:22" x14ac:dyDescent="0.25">
      <c r="A532" s="49" t="s">
        <v>304</v>
      </c>
      <c r="B532" s="49" t="s">
        <v>39</v>
      </c>
      <c r="C532" s="49" t="s">
        <v>177</v>
      </c>
      <c r="D532" s="49" t="s">
        <v>80</v>
      </c>
      <c r="E532" s="49" t="s">
        <v>173</v>
      </c>
      <c r="F532" s="49">
        <v>2016</v>
      </c>
      <c r="G532" s="50">
        <v>42849.791666666664</v>
      </c>
      <c r="H532" s="50">
        <v>42863.958333333336</v>
      </c>
      <c r="I532" s="54">
        <v>42849</v>
      </c>
      <c r="J532" s="54">
        <v>42863</v>
      </c>
      <c r="K532" s="51" t="s">
        <v>526</v>
      </c>
      <c r="L532" s="51">
        <v>0.95833333333333337</v>
      </c>
      <c r="M532" s="51" t="s">
        <v>541</v>
      </c>
      <c r="N532" s="51" t="s">
        <v>530</v>
      </c>
      <c r="O532" s="51" t="s">
        <v>543</v>
      </c>
      <c r="P532" s="49" t="s">
        <v>23</v>
      </c>
      <c r="Q532" s="49" t="s">
        <v>16</v>
      </c>
      <c r="R532" s="49" t="s">
        <v>109</v>
      </c>
      <c r="S532" s="49">
        <v>5</v>
      </c>
      <c r="T532" s="49">
        <v>12</v>
      </c>
      <c r="U532" s="63">
        <v>32</v>
      </c>
      <c r="V532" s="63">
        <v>384</v>
      </c>
    </row>
    <row r="533" spans="1:22" x14ac:dyDescent="0.25">
      <c r="A533" s="49" t="s">
        <v>305</v>
      </c>
      <c r="B533" s="49" t="s">
        <v>39</v>
      </c>
      <c r="C533" s="49" t="s">
        <v>177</v>
      </c>
      <c r="D533" s="49" t="s">
        <v>88</v>
      </c>
      <c r="E533" s="49" t="s">
        <v>170</v>
      </c>
      <c r="F533" s="49">
        <v>2016</v>
      </c>
      <c r="G533" s="50">
        <v>42849.791666666664</v>
      </c>
      <c r="H533" s="50">
        <v>42863.958333333336</v>
      </c>
      <c r="I533" s="54">
        <v>42849</v>
      </c>
      <c r="J533" s="54">
        <v>42863</v>
      </c>
      <c r="K533" s="51" t="s">
        <v>526</v>
      </c>
      <c r="L533" s="51">
        <v>0.95833333333333337</v>
      </c>
      <c r="M533" s="51" t="s">
        <v>541</v>
      </c>
      <c r="N533" s="51" t="s">
        <v>530</v>
      </c>
      <c r="O533" s="51" t="s">
        <v>543</v>
      </c>
      <c r="P533" s="49" t="s">
        <v>9</v>
      </c>
      <c r="Q533" s="49" t="s">
        <v>190</v>
      </c>
      <c r="R533" s="49" t="s">
        <v>109</v>
      </c>
      <c r="S533" s="49">
        <v>4</v>
      </c>
      <c r="T533" s="49">
        <v>8</v>
      </c>
      <c r="U533" s="63">
        <v>42</v>
      </c>
      <c r="V533" s="63">
        <v>336</v>
      </c>
    </row>
    <row r="534" spans="1:22" x14ac:dyDescent="0.25">
      <c r="A534" s="49" t="s">
        <v>306</v>
      </c>
      <c r="B534" s="49" t="s">
        <v>45</v>
      </c>
      <c r="C534" s="49" t="s">
        <v>177</v>
      </c>
      <c r="D534" s="49" t="s">
        <v>82</v>
      </c>
      <c r="E534" s="49" t="s">
        <v>172</v>
      </c>
      <c r="F534" s="49">
        <v>2016</v>
      </c>
      <c r="G534" s="50">
        <v>42850.791666666664</v>
      </c>
      <c r="H534" s="50">
        <v>42864.958333333336</v>
      </c>
      <c r="I534" s="54">
        <v>42850</v>
      </c>
      <c r="J534" s="54">
        <v>42864</v>
      </c>
      <c r="K534" s="51" t="s">
        <v>526</v>
      </c>
      <c r="L534" s="51">
        <v>0.95833333333333337</v>
      </c>
      <c r="M534" s="51" t="s">
        <v>541</v>
      </c>
      <c r="N534" s="51" t="s">
        <v>530</v>
      </c>
      <c r="O534" s="51" t="s">
        <v>543</v>
      </c>
      <c r="P534" s="49" t="s">
        <v>23</v>
      </c>
      <c r="Q534" s="49" t="s">
        <v>37</v>
      </c>
      <c r="R534" s="49" t="s">
        <v>113</v>
      </c>
      <c r="S534" s="49">
        <v>3</v>
      </c>
      <c r="T534" s="49">
        <v>11</v>
      </c>
      <c r="U534" s="63">
        <v>75</v>
      </c>
      <c r="V534" s="63">
        <v>825</v>
      </c>
    </row>
    <row r="535" spans="1:22" x14ac:dyDescent="0.25">
      <c r="A535" s="49" t="s">
        <v>307</v>
      </c>
      <c r="B535" s="49" t="s">
        <v>7</v>
      </c>
      <c r="C535" s="49" t="s">
        <v>175</v>
      </c>
      <c r="D535" s="49" t="s">
        <v>80</v>
      </c>
      <c r="E535" s="49" t="s">
        <v>173</v>
      </c>
      <c r="F535" s="49">
        <v>2016</v>
      </c>
      <c r="G535" s="50">
        <v>42851.583333333336</v>
      </c>
      <c r="H535" s="50">
        <v>42865.75</v>
      </c>
      <c r="I535" s="54">
        <v>42851</v>
      </c>
      <c r="J535" s="54">
        <v>42865</v>
      </c>
      <c r="K535" s="51" t="s">
        <v>527</v>
      </c>
      <c r="L535" s="51">
        <v>0.75</v>
      </c>
      <c r="M535" s="51" t="s">
        <v>542</v>
      </c>
      <c r="N535" s="51" t="s">
        <v>530</v>
      </c>
      <c r="O535" s="51" t="s">
        <v>543</v>
      </c>
      <c r="P535" s="49" t="s">
        <v>23</v>
      </c>
      <c r="Q535" s="49" t="s">
        <v>37</v>
      </c>
      <c r="R535" s="49" t="s">
        <v>113</v>
      </c>
      <c r="S535" s="49">
        <v>5</v>
      </c>
      <c r="T535" s="49">
        <v>9</v>
      </c>
      <c r="U535" s="63">
        <v>32</v>
      </c>
      <c r="V535" s="63">
        <v>288</v>
      </c>
    </row>
    <row r="536" spans="1:22" x14ac:dyDescent="0.25">
      <c r="A536" s="49" t="s">
        <v>308</v>
      </c>
      <c r="B536" s="49" t="s">
        <v>14</v>
      </c>
      <c r="C536" s="49" t="s">
        <v>175</v>
      </c>
      <c r="D536" s="49" t="s">
        <v>77</v>
      </c>
      <c r="E536" s="49" t="s">
        <v>172</v>
      </c>
      <c r="F536" s="49">
        <v>2016</v>
      </c>
      <c r="G536" s="50">
        <v>42852.375</v>
      </c>
      <c r="H536" s="50">
        <v>42859.75</v>
      </c>
      <c r="I536" s="54">
        <v>42852</v>
      </c>
      <c r="J536" s="54">
        <v>42859</v>
      </c>
      <c r="K536" s="51" t="s">
        <v>525</v>
      </c>
      <c r="L536" s="51">
        <v>0.75</v>
      </c>
      <c r="M536" s="51" t="s">
        <v>540</v>
      </c>
      <c r="N536" s="51" t="s">
        <v>530</v>
      </c>
      <c r="O536" s="51" t="s">
        <v>543</v>
      </c>
      <c r="P536" s="49" t="s">
        <v>9</v>
      </c>
      <c r="Q536" s="49" t="s">
        <v>31</v>
      </c>
      <c r="R536" s="49" t="s">
        <v>113</v>
      </c>
      <c r="S536" s="49">
        <v>2</v>
      </c>
      <c r="T536" s="49">
        <v>8</v>
      </c>
      <c r="U536" s="63">
        <v>35</v>
      </c>
      <c r="V536" s="63">
        <v>280</v>
      </c>
    </row>
    <row r="537" spans="1:22" x14ac:dyDescent="0.25">
      <c r="A537" s="49" t="s">
        <v>309</v>
      </c>
      <c r="B537" s="49" t="s">
        <v>7</v>
      </c>
      <c r="C537" s="49" t="s">
        <v>175</v>
      </c>
      <c r="D537" s="49" t="s">
        <v>86</v>
      </c>
      <c r="E537" s="49" t="s">
        <v>169</v>
      </c>
      <c r="F537" s="49">
        <v>2016</v>
      </c>
      <c r="G537" s="50">
        <v>42853.333333333336</v>
      </c>
      <c r="H537" s="50">
        <v>42867.5</v>
      </c>
      <c r="I537" s="54">
        <v>42853</v>
      </c>
      <c r="J537" s="54">
        <v>42867</v>
      </c>
      <c r="K537" s="51" t="s">
        <v>522</v>
      </c>
      <c r="L537" s="51">
        <v>0.5</v>
      </c>
      <c r="M537" s="51" t="s">
        <v>539</v>
      </c>
      <c r="N537" s="51" t="s">
        <v>530</v>
      </c>
      <c r="O537" s="51" t="s">
        <v>543</v>
      </c>
      <c r="P537" s="49" t="s">
        <v>9</v>
      </c>
      <c r="Q537" s="49" t="s">
        <v>44</v>
      </c>
      <c r="R537" s="49" t="s">
        <v>113</v>
      </c>
      <c r="S537" s="49">
        <v>2</v>
      </c>
      <c r="T537" s="49">
        <v>8</v>
      </c>
      <c r="U537" s="63">
        <v>48</v>
      </c>
      <c r="V537" s="63">
        <v>384</v>
      </c>
    </row>
    <row r="538" spans="1:22" x14ac:dyDescent="0.25">
      <c r="A538" s="49" t="s">
        <v>310</v>
      </c>
      <c r="B538" s="49" t="s">
        <v>29</v>
      </c>
      <c r="C538" s="49" t="s">
        <v>177</v>
      </c>
      <c r="D538" s="49" t="s">
        <v>82</v>
      </c>
      <c r="E538" s="49" t="s">
        <v>172</v>
      </c>
      <c r="F538" s="49">
        <v>2016</v>
      </c>
      <c r="G538" s="50">
        <v>42854.375</v>
      </c>
      <c r="H538" s="50">
        <v>42860.75</v>
      </c>
      <c r="I538" s="54">
        <v>42854</v>
      </c>
      <c r="J538" s="54">
        <v>42860</v>
      </c>
      <c r="K538" s="51" t="s">
        <v>525</v>
      </c>
      <c r="L538" s="51">
        <v>0.75</v>
      </c>
      <c r="M538" s="51" t="s">
        <v>540</v>
      </c>
      <c r="N538" s="51" t="s">
        <v>530</v>
      </c>
      <c r="O538" s="51" t="s">
        <v>543</v>
      </c>
      <c r="P538" s="49" t="s">
        <v>23</v>
      </c>
      <c r="Q538" s="49" t="s">
        <v>38</v>
      </c>
      <c r="R538" s="49" t="s">
        <v>113</v>
      </c>
      <c r="S538" s="49">
        <v>2</v>
      </c>
      <c r="T538" s="49">
        <v>11</v>
      </c>
      <c r="U538" s="63">
        <v>75</v>
      </c>
      <c r="V538" s="63">
        <v>825</v>
      </c>
    </row>
    <row r="539" spans="1:22" x14ac:dyDescent="0.25">
      <c r="A539" s="49" t="s">
        <v>311</v>
      </c>
      <c r="B539" s="49" t="s">
        <v>11</v>
      </c>
      <c r="C539" s="49" t="s">
        <v>175</v>
      </c>
      <c r="D539" s="49" t="s">
        <v>88</v>
      </c>
      <c r="E539" s="49" t="s">
        <v>170</v>
      </c>
      <c r="F539" s="49">
        <v>2016</v>
      </c>
      <c r="G539" s="50">
        <v>42856.791666666664</v>
      </c>
      <c r="H539" s="50">
        <v>42867.958333333336</v>
      </c>
      <c r="I539" s="54">
        <v>42856</v>
      </c>
      <c r="J539" s="54">
        <v>42867</v>
      </c>
      <c r="K539" s="51" t="s">
        <v>526</v>
      </c>
      <c r="L539" s="51">
        <v>0.95833333333333337</v>
      </c>
      <c r="M539" s="51" t="s">
        <v>541</v>
      </c>
      <c r="N539" s="51" t="s">
        <v>531</v>
      </c>
      <c r="O539" s="51" t="s">
        <v>543</v>
      </c>
      <c r="P539" s="49" t="s">
        <v>9</v>
      </c>
      <c r="Q539" s="49" t="s">
        <v>18</v>
      </c>
      <c r="R539" s="49" t="s">
        <v>113</v>
      </c>
      <c r="S539" s="49">
        <v>5</v>
      </c>
      <c r="T539" s="49">
        <v>12</v>
      </c>
      <c r="U539" s="63">
        <v>42</v>
      </c>
      <c r="V539" s="63">
        <v>504</v>
      </c>
    </row>
    <row r="540" spans="1:22" x14ac:dyDescent="0.25">
      <c r="A540" s="49" t="s">
        <v>312</v>
      </c>
      <c r="B540" s="49" t="s">
        <v>19</v>
      </c>
      <c r="C540" s="49" t="s">
        <v>176</v>
      </c>
      <c r="D540" s="49" t="s">
        <v>82</v>
      </c>
      <c r="E540" s="49" t="s">
        <v>172</v>
      </c>
      <c r="F540" s="49">
        <v>2016</v>
      </c>
      <c r="G540" s="50">
        <v>42856.791666666664</v>
      </c>
      <c r="H540" s="50">
        <v>42867.958333333336</v>
      </c>
      <c r="I540" s="54">
        <v>42856</v>
      </c>
      <c r="J540" s="54">
        <v>42867</v>
      </c>
      <c r="K540" s="51" t="s">
        <v>526</v>
      </c>
      <c r="L540" s="51">
        <v>0.95833333333333337</v>
      </c>
      <c r="M540" s="51" t="s">
        <v>541</v>
      </c>
      <c r="N540" s="51" t="s">
        <v>531</v>
      </c>
      <c r="O540" s="51" t="s">
        <v>543</v>
      </c>
      <c r="P540" s="49" t="s">
        <v>23</v>
      </c>
      <c r="Q540" s="49" t="s">
        <v>16</v>
      </c>
      <c r="R540" s="49" t="s">
        <v>109</v>
      </c>
      <c r="S540" s="49">
        <v>4</v>
      </c>
      <c r="T540" s="49">
        <v>12</v>
      </c>
      <c r="U540" s="63">
        <v>75</v>
      </c>
      <c r="V540" s="63">
        <v>900</v>
      </c>
    </row>
    <row r="541" spans="1:22" x14ac:dyDescent="0.25">
      <c r="A541" s="49" t="s">
        <v>313</v>
      </c>
      <c r="B541" s="49" t="s">
        <v>22</v>
      </c>
      <c r="C541" s="49" t="s">
        <v>176</v>
      </c>
      <c r="D541" s="49" t="s">
        <v>89</v>
      </c>
      <c r="E541" s="49" t="s">
        <v>169</v>
      </c>
      <c r="F541" s="49">
        <v>2016</v>
      </c>
      <c r="G541" s="50">
        <v>42857.791666666664</v>
      </c>
      <c r="H541" s="50">
        <v>42870.958333333336</v>
      </c>
      <c r="I541" s="54">
        <v>42857</v>
      </c>
      <c r="J541" s="54">
        <v>42870</v>
      </c>
      <c r="K541" s="51" t="s">
        <v>526</v>
      </c>
      <c r="L541" s="51">
        <v>0.95833333333333337</v>
      </c>
      <c r="M541" s="51" t="s">
        <v>541</v>
      </c>
      <c r="N541" s="51" t="s">
        <v>531</v>
      </c>
      <c r="O541" s="51" t="s">
        <v>543</v>
      </c>
      <c r="P541" s="49" t="s">
        <v>23</v>
      </c>
      <c r="Q541" s="49" t="s">
        <v>18</v>
      </c>
      <c r="R541" s="49" t="s">
        <v>113</v>
      </c>
      <c r="S541" s="49">
        <v>3</v>
      </c>
      <c r="T541" s="49">
        <v>12</v>
      </c>
      <c r="U541" s="63">
        <v>62</v>
      </c>
      <c r="V541" s="63">
        <v>744</v>
      </c>
    </row>
    <row r="542" spans="1:22" x14ac:dyDescent="0.25">
      <c r="A542" s="49" t="s">
        <v>314</v>
      </c>
      <c r="B542" s="49" t="s">
        <v>7</v>
      </c>
      <c r="C542" s="49" t="s">
        <v>175</v>
      </c>
      <c r="D542" s="49" t="s">
        <v>78</v>
      </c>
      <c r="E542" s="49" t="s">
        <v>172</v>
      </c>
      <c r="F542" s="49">
        <v>2016</v>
      </c>
      <c r="G542" s="50">
        <v>42858.583333333336</v>
      </c>
      <c r="H542" s="50">
        <v>42871.75</v>
      </c>
      <c r="I542" s="54">
        <v>42858</v>
      </c>
      <c r="J542" s="54">
        <v>42871</v>
      </c>
      <c r="K542" s="51" t="s">
        <v>527</v>
      </c>
      <c r="L542" s="51">
        <v>0.75</v>
      </c>
      <c r="M542" s="51" t="s">
        <v>542</v>
      </c>
      <c r="N542" s="51" t="s">
        <v>531</v>
      </c>
      <c r="O542" s="51" t="s">
        <v>543</v>
      </c>
      <c r="P542" s="49" t="s">
        <v>9</v>
      </c>
      <c r="Q542" s="49" t="s">
        <v>38</v>
      </c>
      <c r="R542" s="49" t="s">
        <v>113</v>
      </c>
      <c r="S542" s="49">
        <v>2</v>
      </c>
      <c r="T542" s="49">
        <v>11</v>
      </c>
      <c r="U542" s="63">
        <v>62</v>
      </c>
      <c r="V542" s="63">
        <v>682</v>
      </c>
    </row>
    <row r="543" spans="1:22" x14ac:dyDescent="0.25">
      <c r="A543" s="49" t="s">
        <v>315</v>
      </c>
      <c r="B543" s="49" t="s">
        <v>29</v>
      </c>
      <c r="C543" s="49" t="s">
        <v>177</v>
      </c>
      <c r="D543" s="49" t="s">
        <v>80</v>
      </c>
      <c r="E543" s="49" t="s">
        <v>173</v>
      </c>
      <c r="F543" s="49">
        <v>2016</v>
      </c>
      <c r="G543" s="50">
        <v>42859.375</v>
      </c>
      <c r="H543" s="50">
        <v>42865.75</v>
      </c>
      <c r="I543" s="54">
        <v>42859</v>
      </c>
      <c r="J543" s="54">
        <v>42865</v>
      </c>
      <c r="K543" s="51" t="s">
        <v>525</v>
      </c>
      <c r="L543" s="51">
        <v>0.75</v>
      </c>
      <c r="M543" s="51" t="s">
        <v>540</v>
      </c>
      <c r="N543" s="51" t="s">
        <v>531</v>
      </c>
      <c r="O543" s="51" t="s">
        <v>543</v>
      </c>
      <c r="P543" s="49" t="s">
        <v>23</v>
      </c>
      <c r="Q543" s="49" t="s">
        <v>18</v>
      </c>
      <c r="R543" s="49" t="s">
        <v>113</v>
      </c>
      <c r="S543" s="49">
        <v>3</v>
      </c>
      <c r="T543" s="49">
        <v>12</v>
      </c>
      <c r="U543" s="63">
        <v>32</v>
      </c>
      <c r="V543" s="63">
        <v>384</v>
      </c>
    </row>
    <row r="544" spans="1:22" x14ac:dyDescent="0.25">
      <c r="A544" s="49" t="s">
        <v>316</v>
      </c>
      <c r="B544" s="49" t="s">
        <v>45</v>
      </c>
      <c r="C544" s="49" t="s">
        <v>177</v>
      </c>
      <c r="D544" s="49" t="s">
        <v>78</v>
      </c>
      <c r="E544" s="49" t="s">
        <v>172</v>
      </c>
      <c r="F544" s="49">
        <v>2016</v>
      </c>
      <c r="G544" s="50">
        <v>42860.333333333336</v>
      </c>
      <c r="H544" s="50">
        <v>42873.5</v>
      </c>
      <c r="I544" s="54">
        <v>42860</v>
      </c>
      <c r="J544" s="54">
        <v>42873</v>
      </c>
      <c r="K544" s="51" t="s">
        <v>522</v>
      </c>
      <c r="L544" s="51">
        <v>0.5</v>
      </c>
      <c r="M544" s="51" t="s">
        <v>539</v>
      </c>
      <c r="N544" s="51" t="s">
        <v>531</v>
      </c>
      <c r="O544" s="51" t="s">
        <v>543</v>
      </c>
      <c r="P544" s="49" t="s">
        <v>9</v>
      </c>
      <c r="Q544" s="49" t="s">
        <v>44</v>
      </c>
      <c r="R544" s="49" t="s">
        <v>113</v>
      </c>
      <c r="S544" s="49">
        <v>2</v>
      </c>
      <c r="T544" s="49">
        <v>8</v>
      </c>
      <c r="U544" s="63">
        <v>62</v>
      </c>
      <c r="V544" s="63">
        <v>496</v>
      </c>
    </row>
    <row r="545" spans="1:22" x14ac:dyDescent="0.25">
      <c r="A545" s="49" t="s">
        <v>317</v>
      </c>
      <c r="B545" s="49" t="s">
        <v>29</v>
      </c>
      <c r="C545" s="49" t="s">
        <v>177</v>
      </c>
      <c r="D545" s="49" t="s">
        <v>77</v>
      </c>
      <c r="E545" s="49" t="s">
        <v>172</v>
      </c>
      <c r="F545" s="49">
        <v>2016</v>
      </c>
      <c r="G545" s="50">
        <v>42861.375</v>
      </c>
      <c r="H545" s="50">
        <v>42866.75</v>
      </c>
      <c r="I545" s="54">
        <v>42861</v>
      </c>
      <c r="J545" s="54">
        <v>42866</v>
      </c>
      <c r="K545" s="51" t="s">
        <v>525</v>
      </c>
      <c r="L545" s="51">
        <v>0.75</v>
      </c>
      <c r="M545" s="51" t="s">
        <v>540</v>
      </c>
      <c r="N545" s="51" t="s">
        <v>531</v>
      </c>
      <c r="O545" s="51" t="s">
        <v>543</v>
      </c>
      <c r="P545" s="49" t="s">
        <v>9</v>
      </c>
      <c r="Q545" s="49" t="s">
        <v>21</v>
      </c>
      <c r="R545" s="49" t="s">
        <v>113</v>
      </c>
      <c r="S545" s="49">
        <v>4</v>
      </c>
      <c r="T545" s="49">
        <v>12</v>
      </c>
      <c r="U545" s="63">
        <v>35</v>
      </c>
      <c r="V545" s="63">
        <v>420</v>
      </c>
    </row>
    <row r="546" spans="1:22" x14ac:dyDescent="0.25">
      <c r="A546" s="49" t="s">
        <v>318</v>
      </c>
      <c r="B546" s="49" t="s">
        <v>11</v>
      </c>
      <c r="C546" s="49" t="s">
        <v>175</v>
      </c>
      <c r="D546" s="49" t="s">
        <v>85</v>
      </c>
      <c r="E546" s="49" t="s">
        <v>170</v>
      </c>
      <c r="F546" s="49">
        <v>2016</v>
      </c>
      <c r="G546" s="50">
        <v>42863.791666666664</v>
      </c>
      <c r="H546" s="50">
        <v>42874.958333333336</v>
      </c>
      <c r="I546" s="54">
        <v>42863</v>
      </c>
      <c r="J546" s="54">
        <v>42874</v>
      </c>
      <c r="K546" s="51" t="s">
        <v>526</v>
      </c>
      <c r="L546" s="51">
        <v>0.95833333333333337</v>
      </c>
      <c r="M546" s="51" t="s">
        <v>541</v>
      </c>
      <c r="N546" s="51" t="s">
        <v>531</v>
      </c>
      <c r="O546" s="51" t="s">
        <v>543</v>
      </c>
      <c r="P546" s="49" t="s">
        <v>9</v>
      </c>
      <c r="Q546" s="49" t="s">
        <v>190</v>
      </c>
      <c r="R546" s="49" t="s">
        <v>109</v>
      </c>
      <c r="S546" s="49">
        <v>3</v>
      </c>
      <c r="T546" s="49">
        <v>11</v>
      </c>
      <c r="U546" s="63">
        <v>48</v>
      </c>
      <c r="V546" s="63">
        <v>528</v>
      </c>
    </row>
    <row r="547" spans="1:22" x14ac:dyDescent="0.25">
      <c r="A547" s="49" t="s">
        <v>319</v>
      </c>
      <c r="B547" s="49" t="s">
        <v>17</v>
      </c>
      <c r="C547" s="49" t="s">
        <v>176</v>
      </c>
      <c r="D547" s="49" t="s">
        <v>83</v>
      </c>
      <c r="E547" s="49" t="s">
        <v>174</v>
      </c>
      <c r="F547" s="49">
        <v>2016</v>
      </c>
      <c r="G547" s="50">
        <v>42863.791666666664</v>
      </c>
      <c r="H547" s="50">
        <v>42874.958333333336</v>
      </c>
      <c r="I547" s="54">
        <v>42863</v>
      </c>
      <c r="J547" s="54">
        <v>42874</v>
      </c>
      <c r="K547" s="51" t="s">
        <v>526</v>
      </c>
      <c r="L547" s="51">
        <v>0.95833333333333337</v>
      </c>
      <c r="M547" s="51" t="s">
        <v>541</v>
      </c>
      <c r="N547" s="51" t="s">
        <v>531</v>
      </c>
      <c r="O547" s="51" t="s">
        <v>543</v>
      </c>
      <c r="P547" s="49" t="s">
        <v>9</v>
      </c>
      <c r="Q547" s="49" t="s">
        <v>16</v>
      </c>
      <c r="R547" s="49" t="s">
        <v>109</v>
      </c>
      <c r="S547" s="49">
        <v>2</v>
      </c>
      <c r="T547" s="49">
        <v>8</v>
      </c>
      <c r="U547" s="63">
        <v>63</v>
      </c>
      <c r="V547" s="63">
        <v>504</v>
      </c>
    </row>
    <row r="548" spans="1:22" x14ac:dyDescent="0.25">
      <c r="A548" s="49" t="s">
        <v>320</v>
      </c>
      <c r="B548" s="49" t="s">
        <v>17</v>
      </c>
      <c r="C548" s="49" t="s">
        <v>176</v>
      </c>
      <c r="D548" s="49" t="s">
        <v>84</v>
      </c>
      <c r="E548" s="49" t="s">
        <v>172</v>
      </c>
      <c r="F548" s="49">
        <v>2016</v>
      </c>
      <c r="G548" s="50">
        <v>42864.791666666664</v>
      </c>
      <c r="H548" s="50">
        <v>42877.958333333336</v>
      </c>
      <c r="I548" s="54">
        <v>42864</v>
      </c>
      <c r="J548" s="54">
        <v>42877</v>
      </c>
      <c r="K548" s="51" t="s">
        <v>526</v>
      </c>
      <c r="L548" s="51">
        <v>0.95833333333333337</v>
      </c>
      <c r="M548" s="51" t="s">
        <v>541</v>
      </c>
      <c r="N548" s="51" t="s">
        <v>531</v>
      </c>
      <c r="O548" s="51" t="s">
        <v>543</v>
      </c>
      <c r="P548" s="49" t="s">
        <v>9</v>
      </c>
      <c r="Q548" s="49" t="s">
        <v>38</v>
      </c>
      <c r="R548" s="49" t="s">
        <v>113</v>
      </c>
      <c r="S548" s="49">
        <v>2</v>
      </c>
      <c r="T548" s="49">
        <v>11</v>
      </c>
      <c r="U548" s="63">
        <v>52</v>
      </c>
      <c r="V548" s="63">
        <v>572</v>
      </c>
    </row>
    <row r="549" spans="1:22" x14ac:dyDescent="0.25">
      <c r="A549" s="49" t="s">
        <v>321</v>
      </c>
      <c r="B549" s="49" t="s">
        <v>22</v>
      </c>
      <c r="C549" s="49" t="s">
        <v>176</v>
      </c>
      <c r="D549" s="49" t="s">
        <v>80</v>
      </c>
      <c r="E549" s="49" t="s">
        <v>173</v>
      </c>
      <c r="F549" s="49">
        <v>2016</v>
      </c>
      <c r="G549" s="50">
        <v>42865.583333333336</v>
      </c>
      <c r="H549" s="50">
        <v>42878.75</v>
      </c>
      <c r="I549" s="54">
        <v>42865</v>
      </c>
      <c r="J549" s="54">
        <v>42878</v>
      </c>
      <c r="K549" s="51" t="s">
        <v>527</v>
      </c>
      <c r="L549" s="51">
        <v>0.75</v>
      </c>
      <c r="M549" s="51" t="s">
        <v>542</v>
      </c>
      <c r="N549" s="51" t="s">
        <v>531</v>
      </c>
      <c r="O549" s="51" t="s">
        <v>543</v>
      </c>
      <c r="P549" s="49" t="s">
        <v>9</v>
      </c>
      <c r="Q549" s="49" t="s">
        <v>21</v>
      </c>
      <c r="R549" s="49" t="s">
        <v>113</v>
      </c>
      <c r="S549" s="49">
        <v>4</v>
      </c>
      <c r="T549" s="49">
        <v>9</v>
      </c>
      <c r="U549" s="63">
        <v>32</v>
      </c>
      <c r="V549" s="63">
        <v>288</v>
      </c>
    </row>
    <row r="550" spans="1:22" x14ac:dyDescent="0.25">
      <c r="A550" s="49" t="s">
        <v>322</v>
      </c>
      <c r="B550" s="49" t="s">
        <v>29</v>
      </c>
      <c r="C550" s="49" t="s">
        <v>177</v>
      </c>
      <c r="D550" s="49" t="s">
        <v>80</v>
      </c>
      <c r="E550" s="49" t="s">
        <v>173</v>
      </c>
      <c r="F550" s="49">
        <v>2016</v>
      </c>
      <c r="G550" s="50">
        <v>42866.375</v>
      </c>
      <c r="H550" s="50">
        <v>42872.75</v>
      </c>
      <c r="I550" s="54">
        <v>42866</v>
      </c>
      <c r="J550" s="54">
        <v>42872</v>
      </c>
      <c r="K550" s="51" t="s">
        <v>525</v>
      </c>
      <c r="L550" s="51">
        <v>0.75</v>
      </c>
      <c r="M550" s="51" t="s">
        <v>540</v>
      </c>
      <c r="N550" s="51" t="s">
        <v>531</v>
      </c>
      <c r="O550" s="51" t="s">
        <v>543</v>
      </c>
      <c r="P550" s="49" t="s">
        <v>23</v>
      </c>
      <c r="Q550" s="49" t="s">
        <v>12</v>
      </c>
      <c r="R550" s="49" t="s">
        <v>113</v>
      </c>
      <c r="S550" s="49">
        <v>3</v>
      </c>
      <c r="T550" s="49">
        <v>9</v>
      </c>
      <c r="U550" s="63">
        <v>32</v>
      </c>
      <c r="V550" s="63">
        <v>288</v>
      </c>
    </row>
    <row r="551" spans="1:22" x14ac:dyDescent="0.25">
      <c r="A551" s="49" t="s">
        <v>323</v>
      </c>
      <c r="B551" s="49" t="s">
        <v>14</v>
      </c>
      <c r="C551" s="49" t="s">
        <v>175</v>
      </c>
      <c r="D551" s="49" t="s">
        <v>82</v>
      </c>
      <c r="E551" s="49" t="s">
        <v>172</v>
      </c>
      <c r="F551" s="49">
        <v>2016</v>
      </c>
      <c r="G551" s="50">
        <v>42867.333333333336</v>
      </c>
      <c r="H551" s="50">
        <v>42880.5</v>
      </c>
      <c r="I551" s="54">
        <v>42867</v>
      </c>
      <c r="J551" s="54">
        <v>42880</v>
      </c>
      <c r="K551" s="51" t="s">
        <v>522</v>
      </c>
      <c r="L551" s="51">
        <v>0.5</v>
      </c>
      <c r="M551" s="51" t="s">
        <v>539</v>
      </c>
      <c r="N551" s="51" t="s">
        <v>531</v>
      </c>
      <c r="O551" s="51" t="s">
        <v>543</v>
      </c>
      <c r="P551" s="49" t="s">
        <v>9</v>
      </c>
      <c r="Q551" s="49" t="s">
        <v>24</v>
      </c>
      <c r="R551" s="49" t="s">
        <v>113</v>
      </c>
      <c r="S551" s="49">
        <v>5</v>
      </c>
      <c r="T551" s="49">
        <v>8</v>
      </c>
      <c r="U551" s="63">
        <v>75</v>
      </c>
      <c r="V551" s="63">
        <v>600</v>
      </c>
    </row>
    <row r="552" spans="1:22" x14ac:dyDescent="0.25">
      <c r="A552" s="49" t="s">
        <v>324</v>
      </c>
      <c r="B552" s="49" t="s">
        <v>45</v>
      </c>
      <c r="C552" s="49" t="s">
        <v>177</v>
      </c>
      <c r="D552" s="49" t="s">
        <v>84</v>
      </c>
      <c r="E552" s="49" t="s">
        <v>172</v>
      </c>
      <c r="F552" s="49">
        <v>2016</v>
      </c>
      <c r="G552" s="50">
        <v>42868.375</v>
      </c>
      <c r="H552" s="50">
        <v>42873.75</v>
      </c>
      <c r="I552" s="54">
        <v>42868</v>
      </c>
      <c r="J552" s="54">
        <v>42873</v>
      </c>
      <c r="K552" s="51" t="s">
        <v>525</v>
      </c>
      <c r="L552" s="51">
        <v>0.75</v>
      </c>
      <c r="M552" s="51" t="s">
        <v>540</v>
      </c>
      <c r="N552" s="51" t="s">
        <v>531</v>
      </c>
      <c r="O552" s="51" t="s">
        <v>543</v>
      </c>
      <c r="P552" s="49" t="s">
        <v>23</v>
      </c>
      <c r="Q552" s="49" t="s">
        <v>38</v>
      </c>
      <c r="R552" s="49" t="s">
        <v>113</v>
      </c>
      <c r="S552" s="49">
        <v>2</v>
      </c>
      <c r="T552" s="49">
        <v>10</v>
      </c>
      <c r="U552" s="63">
        <v>52</v>
      </c>
      <c r="V552" s="63">
        <v>520</v>
      </c>
    </row>
    <row r="553" spans="1:22" x14ac:dyDescent="0.25">
      <c r="A553" s="49" t="s">
        <v>325</v>
      </c>
      <c r="B553" s="49" t="s">
        <v>19</v>
      </c>
      <c r="C553" s="49" t="s">
        <v>176</v>
      </c>
      <c r="D553" s="49" t="s">
        <v>84</v>
      </c>
      <c r="E553" s="49" t="s">
        <v>172</v>
      </c>
      <c r="F553" s="49">
        <v>2016</v>
      </c>
      <c r="G553" s="50">
        <v>42870.791666666664</v>
      </c>
      <c r="H553" s="50">
        <v>42881.958333333336</v>
      </c>
      <c r="I553" s="54">
        <v>42870</v>
      </c>
      <c r="J553" s="54">
        <v>42881</v>
      </c>
      <c r="K553" s="51" t="s">
        <v>526</v>
      </c>
      <c r="L553" s="51">
        <v>0.95833333333333337</v>
      </c>
      <c r="M553" s="51" t="s">
        <v>541</v>
      </c>
      <c r="N553" s="51" t="s">
        <v>531</v>
      </c>
      <c r="O553" s="51" t="s">
        <v>543</v>
      </c>
      <c r="P553" s="49" t="s">
        <v>23</v>
      </c>
      <c r="Q553" s="49" t="s">
        <v>190</v>
      </c>
      <c r="R553" s="49" t="s">
        <v>109</v>
      </c>
      <c r="S553" s="49">
        <v>5</v>
      </c>
      <c r="T553" s="49">
        <v>11</v>
      </c>
      <c r="U553" s="63">
        <v>52</v>
      </c>
      <c r="V553" s="63">
        <v>572</v>
      </c>
    </row>
    <row r="554" spans="1:22" x14ac:dyDescent="0.25">
      <c r="A554" s="49" t="s">
        <v>326</v>
      </c>
      <c r="B554" s="49" t="s">
        <v>7</v>
      </c>
      <c r="C554" s="49" t="s">
        <v>175</v>
      </c>
      <c r="D554" s="49" t="s">
        <v>80</v>
      </c>
      <c r="E554" s="49" t="s">
        <v>173</v>
      </c>
      <c r="F554" s="49">
        <v>2016</v>
      </c>
      <c r="G554" s="50">
        <v>42870.791666666664</v>
      </c>
      <c r="H554" s="50">
        <v>42881.958333333336</v>
      </c>
      <c r="I554" s="54">
        <v>42870</v>
      </c>
      <c r="J554" s="54">
        <v>42881</v>
      </c>
      <c r="K554" s="51" t="s">
        <v>526</v>
      </c>
      <c r="L554" s="51">
        <v>0.95833333333333337</v>
      </c>
      <c r="M554" s="51" t="s">
        <v>541</v>
      </c>
      <c r="N554" s="51" t="s">
        <v>531</v>
      </c>
      <c r="O554" s="51" t="s">
        <v>543</v>
      </c>
      <c r="P554" s="49" t="s">
        <v>23</v>
      </c>
      <c r="Q554" s="49" t="s">
        <v>28</v>
      </c>
      <c r="R554" s="49" t="s">
        <v>109</v>
      </c>
      <c r="S554" s="49">
        <v>5</v>
      </c>
      <c r="T554" s="49">
        <v>8</v>
      </c>
      <c r="U554" s="63">
        <v>32</v>
      </c>
      <c r="V554" s="63">
        <v>256</v>
      </c>
    </row>
    <row r="555" spans="1:22" x14ac:dyDescent="0.25">
      <c r="A555" s="49" t="s">
        <v>327</v>
      </c>
      <c r="B555" s="49" t="s">
        <v>22</v>
      </c>
      <c r="C555" s="49" t="s">
        <v>176</v>
      </c>
      <c r="D555" s="49" t="s">
        <v>77</v>
      </c>
      <c r="E555" s="49" t="s">
        <v>172</v>
      </c>
      <c r="F555" s="49">
        <v>2016</v>
      </c>
      <c r="G555" s="50">
        <v>42871.791666666664</v>
      </c>
      <c r="H555" s="50">
        <v>42884.958333333336</v>
      </c>
      <c r="I555" s="54">
        <v>42871</v>
      </c>
      <c r="J555" s="54">
        <v>42884</v>
      </c>
      <c r="K555" s="51" t="s">
        <v>526</v>
      </c>
      <c r="L555" s="51">
        <v>0.95833333333333337</v>
      </c>
      <c r="M555" s="51" t="s">
        <v>541</v>
      </c>
      <c r="N555" s="51" t="s">
        <v>531</v>
      </c>
      <c r="O555" s="51" t="s">
        <v>543</v>
      </c>
      <c r="P555" s="49" t="s">
        <v>9</v>
      </c>
      <c r="Q555" s="49" t="s">
        <v>28</v>
      </c>
      <c r="R555" s="49" t="s">
        <v>109</v>
      </c>
      <c r="S555" s="49">
        <v>4</v>
      </c>
      <c r="T555" s="49">
        <v>12</v>
      </c>
      <c r="U555" s="63">
        <v>35</v>
      </c>
      <c r="V555" s="63">
        <v>420</v>
      </c>
    </row>
    <row r="556" spans="1:22" x14ac:dyDescent="0.25">
      <c r="A556" s="49" t="s">
        <v>328</v>
      </c>
      <c r="B556" s="49" t="s">
        <v>14</v>
      </c>
      <c r="C556" s="49" t="s">
        <v>175</v>
      </c>
      <c r="D556" s="49" t="s">
        <v>81</v>
      </c>
      <c r="E556" s="49" t="s">
        <v>172</v>
      </c>
      <c r="F556" s="49">
        <v>2016</v>
      </c>
      <c r="G556" s="50">
        <v>42872.583333333336</v>
      </c>
      <c r="H556" s="50">
        <v>42885.75</v>
      </c>
      <c r="I556" s="54">
        <v>42872</v>
      </c>
      <c r="J556" s="54">
        <v>42885</v>
      </c>
      <c r="K556" s="51" t="s">
        <v>527</v>
      </c>
      <c r="L556" s="51">
        <v>0.75</v>
      </c>
      <c r="M556" s="51" t="s">
        <v>542</v>
      </c>
      <c r="N556" s="51" t="s">
        <v>531</v>
      </c>
      <c r="O556" s="51" t="s">
        <v>543</v>
      </c>
      <c r="P556" s="49" t="s">
        <v>23</v>
      </c>
      <c r="Q556" s="49" t="s">
        <v>22</v>
      </c>
      <c r="R556" s="49" t="s">
        <v>109</v>
      </c>
      <c r="S556" s="49">
        <v>4</v>
      </c>
      <c r="T556" s="49">
        <v>10</v>
      </c>
      <c r="U556" s="63">
        <v>43</v>
      </c>
      <c r="V556" s="63">
        <v>430</v>
      </c>
    </row>
    <row r="557" spans="1:22" x14ac:dyDescent="0.25">
      <c r="A557" s="49" t="s">
        <v>329</v>
      </c>
      <c r="B557" s="49" t="s">
        <v>17</v>
      </c>
      <c r="C557" s="49" t="s">
        <v>176</v>
      </c>
      <c r="D557" s="49" t="s">
        <v>78</v>
      </c>
      <c r="E557" s="49" t="s">
        <v>172</v>
      </c>
      <c r="F557" s="49">
        <v>2016</v>
      </c>
      <c r="G557" s="50">
        <v>42873.375</v>
      </c>
      <c r="H557" s="50">
        <v>42879.75</v>
      </c>
      <c r="I557" s="54">
        <v>42873</v>
      </c>
      <c r="J557" s="54">
        <v>42879</v>
      </c>
      <c r="K557" s="51" t="s">
        <v>525</v>
      </c>
      <c r="L557" s="51">
        <v>0.75</v>
      </c>
      <c r="M557" s="51" t="s">
        <v>540</v>
      </c>
      <c r="N557" s="51" t="s">
        <v>531</v>
      </c>
      <c r="O557" s="51" t="s">
        <v>543</v>
      </c>
      <c r="P557" s="49" t="s">
        <v>9</v>
      </c>
      <c r="Q557" s="49" t="s">
        <v>18</v>
      </c>
      <c r="R557" s="49" t="s">
        <v>113</v>
      </c>
      <c r="S557" s="49">
        <v>5</v>
      </c>
      <c r="T557" s="49">
        <v>10</v>
      </c>
      <c r="U557" s="63">
        <v>62</v>
      </c>
      <c r="V557" s="63">
        <v>620</v>
      </c>
    </row>
    <row r="558" spans="1:22" x14ac:dyDescent="0.25">
      <c r="A558" s="49" t="s">
        <v>330</v>
      </c>
      <c r="B558" s="49" t="s">
        <v>39</v>
      </c>
      <c r="C558" s="49" t="s">
        <v>177</v>
      </c>
      <c r="D558" s="49" t="s">
        <v>78</v>
      </c>
      <c r="E558" s="49" t="s">
        <v>172</v>
      </c>
      <c r="F558" s="49">
        <v>2016</v>
      </c>
      <c r="G558" s="50">
        <v>42874.333333333336</v>
      </c>
      <c r="H558" s="50">
        <v>42887.5</v>
      </c>
      <c r="I558" s="54">
        <v>42874</v>
      </c>
      <c r="J558" s="54">
        <v>42887</v>
      </c>
      <c r="K558" s="51" t="s">
        <v>522</v>
      </c>
      <c r="L558" s="51">
        <v>0.5</v>
      </c>
      <c r="M558" s="51" t="s">
        <v>539</v>
      </c>
      <c r="N558" s="51" t="s">
        <v>531</v>
      </c>
      <c r="O558" s="51" t="s">
        <v>543</v>
      </c>
      <c r="P558" s="49" t="s">
        <v>23</v>
      </c>
      <c r="Q558" s="49" t="s">
        <v>18</v>
      </c>
      <c r="R558" s="49" t="s">
        <v>113</v>
      </c>
      <c r="S558" s="49">
        <v>2</v>
      </c>
      <c r="T558" s="49">
        <v>10</v>
      </c>
      <c r="U558" s="63">
        <v>62</v>
      </c>
      <c r="V558" s="63">
        <v>620</v>
      </c>
    </row>
    <row r="559" spans="1:22" x14ac:dyDescent="0.25">
      <c r="A559" s="49" t="s">
        <v>331</v>
      </c>
      <c r="B559" s="49" t="s">
        <v>19</v>
      </c>
      <c r="C559" s="49" t="s">
        <v>176</v>
      </c>
      <c r="D559" s="49" t="s">
        <v>78</v>
      </c>
      <c r="E559" s="49" t="s">
        <v>172</v>
      </c>
      <c r="F559" s="49">
        <v>2016</v>
      </c>
      <c r="G559" s="50">
        <v>42875.375</v>
      </c>
      <c r="H559" s="50">
        <v>42880.75</v>
      </c>
      <c r="I559" s="54">
        <v>42875</v>
      </c>
      <c r="J559" s="54">
        <v>42880</v>
      </c>
      <c r="K559" s="51" t="s">
        <v>525</v>
      </c>
      <c r="L559" s="51">
        <v>0.75</v>
      </c>
      <c r="M559" s="51" t="s">
        <v>540</v>
      </c>
      <c r="N559" s="51" t="s">
        <v>531</v>
      </c>
      <c r="O559" s="51" t="s">
        <v>543</v>
      </c>
      <c r="P559" s="49" t="s">
        <v>9</v>
      </c>
      <c r="Q559" s="49" t="s">
        <v>38</v>
      </c>
      <c r="R559" s="49" t="s">
        <v>113</v>
      </c>
      <c r="S559" s="49">
        <v>3</v>
      </c>
      <c r="T559" s="49">
        <v>11</v>
      </c>
      <c r="U559" s="63">
        <v>62</v>
      </c>
      <c r="V559" s="63">
        <v>682</v>
      </c>
    </row>
    <row r="560" spans="1:22" x14ac:dyDescent="0.25">
      <c r="A560" s="49" t="s">
        <v>332</v>
      </c>
      <c r="B560" s="49" t="s">
        <v>19</v>
      </c>
      <c r="C560" s="49" t="s">
        <v>176</v>
      </c>
      <c r="D560" s="49" t="s">
        <v>83</v>
      </c>
      <c r="E560" s="49" t="s">
        <v>174</v>
      </c>
      <c r="F560" s="49">
        <v>2016</v>
      </c>
      <c r="G560" s="50">
        <v>42877.791666666664</v>
      </c>
      <c r="H560" s="50">
        <v>42888.958333333336</v>
      </c>
      <c r="I560" s="54">
        <v>42877</v>
      </c>
      <c r="J560" s="54">
        <v>42888</v>
      </c>
      <c r="K560" s="51" t="s">
        <v>526</v>
      </c>
      <c r="L560" s="51">
        <v>0.95833333333333337</v>
      </c>
      <c r="M560" s="51" t="s">
        <v>541</v>
      </c>
      <c r="N560" s="51" t="s">
        <v>531</v>
      </c>
      <c r="O560" s="51" t="s">
        <v>543</v>
      </c>
      <c r="P560" s="49" t="s">
        <v>23</v>
      </c>
      <c r="Q560" s="49" t="s">
        <v>16</v>
      </c>
      <c r="R560" s="49" t="s">
        <v>109</v>
      </c>
      <c r="S560" s="49">
        <v>5</v>
      </c>
      <c r="T560" s="49">
        <v>10</v>
      </c>
      <c r="U560" s="63">
        <v>63</v>
      </c>
      <c r="V560" s="63">
        <v>630</v>
      </c>
    </row>
    <row r="561" spans="1:22" x14ac:dyDescent="0.25">
      <c r="A561" s="49" t="s">
        <v>333</v>
      </c>
      <c r="B561" s="49" t="s">
        <v>22</v>
      </c>
      <c r="C561" s="49" t="s">
        <v>176</v>
      </c>
      <c r="D561" s="49" t="s">
        <v>77</v>
      </c>
      <c r="E561" s="49" t="s">
        <v>172</v>
      </c>
      <c r="F561" s="49">
        <v>2016</v>
      </c>
      <c r="G561" s="50">
        <v>42877.791666666664</v>
      </c>
      <c r="H561" s="50">
        <v>42888.958333333336</v>
      </c>
      <c r="I561" s="54">
        <v>42877</v>
      </c>
      <c r="J561" s="54">
        <v>42888</v>
      </c>
      <c r="K561" s="51" t="s">
        <v>526</v>
      </c>
      <c r="L561" s="51">
        <v>0.95833333333333337</v>
      </c>
      <c r="M561" s="51" t="s">
        <v>541</v>
      </c>
      <c r="N561" s="51" t="s">
        <v>531</v>
      </c>
      <c r="O561" s="51" t="s">
        <v>543</v>
      </c>
      <c r="P561" s="49" t="s">
        <v>9</v>
      </c>
      <c r="Q561" s="49" t="s">
        <v>190</v>
      </c>
      <c r="R561" s="49" t="s">
        <v>109</v>
      </c>
      <c r="S561" s="49">
        <v>5</v>
      </c>
      <c r="T561" s="49">
        <v>9</v>
      </c>
      <c r="U561" s="63">
        <v>35</v>
      </c>
      <c r="V561" s="63">
        <v>315</v>
      </c>
    </row>
    <row r="562" spans="1:22" x14ac:dyDescent="0.25">
      <c r="A562" s="49" t="s">
        <v>334</v>
      </c>
      <c r="B562" s="49" t="s">
        <v>11</v>
      </c>
      <c r="C562" s="49" t="s">
        <v>175</v>
      </c>
      <c r="D562" s="49" t="s">
        <v>80</v>
      </c>
      <c r="E562" s="49" t="s">
        <v>173</v>
      </c>
      <c r="F562" s="49">
        <v>2016</v>
      </c>
      <c r="G562" s="50">
        <v>42878.791666666664</v>
      </c>
      <c r="H562" s="50">
        <v>42891.958333333336</v>
      </c>
      <c r="I562" s="54">
        <v>42878</v>
      </c>
      <c r="J562" s="54">
        <v>42891</v>
      </c>
      <c r="K562" s="51" t="s">
        <v>526</v>
      </c>
      <c r="L562" s="51">
        <v>0.95833333333333337</v>
      </c>
      <c r="M562" s="51" t="s">
        <v>541</v>
      </c>
      <c r="N562" s="51" t="s">
        <v>531</v>
      </c>
      <c r="O562" s="51" t="s">
        <v>543</v>
      </c>
      <c r="P562" s="49" t="s">
        <v>23</v>
      </c>
      <c r="Q562" s="49" t="s">
        <v>21</v>
      </c>
      <c r="R562" s="49" t="s">
        <v>113</v>
      </c>
      <c r="S562" s="49">
        <v>3</v>
      </c>
      <c r="T562" s="49">
        <v>9</v>
      </c>
      <c r="U562" s="63">
        <v>32</v>
      </c>
      <c r="V562" s="63">
        <v>288</v>
      </c>
    </row>
    <row r="563" spans="1:22" x14ac:dyDescent="0.25">
      <c r="A563" s="49" t="s">
        <v>335</v>
      </c>
      <c r="B563" s="49" t="s">
        <v>45</v>
      </c>
      <c r="C563" s="49" t="s">
        <v>177</v>
      </c>
      <c r="D563" s="49" t="s">
        <v>78</v>
      </c>
      <c r="E563" s="49" t="s">
        <v>172</v>
      </c>
      <c r="F563" s="49">
        <v>2016</v>
      </c>
      <c r="G563" s="50">
        <v>42879.583333333336</v>
      </c>
      <c r="H563" s="50">
        <v>42892.75</v>
      </c>
      <c r="I563" s="54">
        <v>42879</v>
      </c>
      <c r="J563" s="54">
        <v>42892</v>
      </c>
      <c r="K563" s="51" t="s">
        <v>527</v>
      </c>
      <c r="L563" s="51">
        <v>0.75</v>
      </c>
      <c r="M563" s="51" t="s">
        <v>542</v>
      </c>
      <c r="N563" s="51" t="s">
        <v>531</v>
      </c>
      <c r="O563" s="51" t="s">
        <v>543</v>
      </c>
      <c r="P563" s="49" t="s">
        <v>9</v>
      </c>
      <c r="Q563" s="49" t="s">
        <v>33</v>
      </c>
      <c r="R563" s="49" t="s">
        <v>113</v>
      </c>
      <c r="S563" s="49">
        <v>3</v>
      </c>
      <c r="T563" s="49">
        <v>9</v>
      </c>
      <c r="U563" s="63">
        <v>62</v>
      </c>
      <c r="V563" s="63">
        <v>558</v>
      </c>
    </row>
    <row r="564" spans="1:22" x14ac:dyDescent="0.25">
      <c r="A564" s="49" t="s">
        <v>336</v>
      </c>
      <c r="B564" s="49" t="s">
        <v>7</v>
      </c>
      <c r="C564" s="49" t="s">
        <v>175</v>
      </c>
      <c r="D564" s="49" t="s">
        <v>82</v>
      </c>
      <c r="E564" s="49" t="s">
        <v>172</v>
      </c>
      <c r="F564" s="49">
        <v>2016</v>
      </c>
      <c r="G564" s="50">
        <v>42880.375</v>
      </c>
      <c r="H564" s="50">
        <v>42886.75</v>
      </c>
      <c r="I564" s="54">
        <v>42880</v>
      </c>
      <c r="J564" s="54">
        <v>42886</v>
      </c>
      <c r="K564" s="51" t="s">
        <v>525</v>
      </c>
      <c r="L564" s="51">
        <v>0.75</v>
      </c>
      <c r="M564" s="51" t="s">
        <v>540</v>
      </c>
      <c r="N564" s="51" t="s">
        <v>531</v>
      </c>
      <c r="O564" s="51" t="s">
        <v>543</v>
      </c>
      <c r="P564" s="49" t="s">
        <v>23</v>
      </c>
      <c r="Q564" s="49" t="s">
        <v>21</v>
      </c>
      <c r="R564" s="49" t="s">
        <v>113</v>
      </c>
      <c r="S564" s="49">
        <v>5</v>
      </c>
      <c r="T564" s="49">
        <v>10</v>
      </c>
      <c r="U564" s="63">
        <v>75</v>
      </c>
      <c r="V564" s="63">
        <v>750</v>
      </c>
    </row>
    <row r="565" spans="1:22" x14ac:dyDescent="0.25">
      <c r="A565" s="49" t="s">
        <v>337</v>
      </c>
      <c r="B565" s="49" t="s">
        <v>22</v>
      </c>
      <c r="C565" s="49" t="s">
        <v>176</v>
      </c>
      <c r="D565" s="49" t="s">
        <v>89</v>
      </c>
      <c r="E565" s="49" t="s">
        <v>169</v>
      </c>
      <c r="F565" s="49">
        <v>2016</v>
      </c>
      <c r="G565" s="50">
        <v>42881.333333333336</v>
      </c>
      <c r="H565" s="50">
        <v>42894.5</v>
      </c>
      <c r="I565" s="54">
        <v>42881</v>
      </c>
      <c r="J565" s="54">
        <v>42894</v>
      </c>
      <c r="K565" s="51" t="s">
        <v>522</v>
      </c>
      <c r="L565" s="51">
        <v>0.5</v>
      </c>
      <c r="M565" s="51" t="s">
        <v>539</v>
      </c>
      <c r="N565" s="51" t="s">
        <v>531</v>
      </c>
      <c r="O565" s="51" t="s">
        <v>543</v>
      </c>
      <c r="P565" s="49" t="s">
        <v>9</v>
      </c>
      <c r="Q565" s="49" t="s">
        <v>28</v>
      </c>
      <c r="R565" s="49" t="s">
        <v>109</v>
      </c>
      <c r="S565" s="49">
        <v>4</v>
      </c>
      <c r="T565" s="49">
        <v>11</v>
      </c>
      <c r="U565" s="63">
        <v>62</v>
      </c>
      <c r="V565" s="63">
        <v>682</v>
      </c>
    </row>
    <row r="566" spans="1:22" x14ac:dyDescent="0.25">
      <c r="A566" s="49" t="s">
        <v>338</v>
      </c>
      <c r="B566" s="49" t="s">
        <v>19</v>
      </c>
      <c r="C566" s="49" t="s">
        <v>176</v>
      </c>
      <c r="D566" s="49" t="s">
        <v>80</v>
      </c>
      <c r="E566" s="49" t="s">
        <v>173</v>
      </c>
      <c r="F566" s="49">
        <v>2016</v>
      </c>
      <c r="G566" s="50">
        <v>42882.375</v>
      </c>
      <c r="H566" s="50">
        <v>42887.75</v>
      </c>
      <c r="I566" s="54">
        <v>42882</v>
      </c>
      <c r="J566" s="54">
        <v>42887</v>
      </c>
      <c r="K566" s="51" t="s">
        <v>525</v>
      </c>
      <c r="L566" s="51">
        <v>0.75</v>
      </c>
      <c r="M566" s="51" t="s">
        <v>540</v>
      </c>
      <c r="N566" s="51" t="s">
        <v>531</v>
      </c>
      <c r="O566" s="51" t="s">
        <v>543</v>
      </c>
      <c r="P566" s="49" t="s">
        <v>23</v>
      </c>
      <c r="Q566" s="49" t="s">
        <v>31</v>
      </c>
      <c r="R566" s="49" t="s">
        <v>113</v>
      </c>
      <c r="S566" s="49">
        <v>4</v>
      </c>
      <c r="T566" s="49">
        <v>12</v>
      </c>
      <c r="U566" s="63">
        <v>32</v>
      </c>
      <c r="V566" s="63">
        <v>384</v>
      </c>
    </row>
    <row r="567" spans="1:22" x14ac:dyDescent="0.25">
      <c r="A567" s="49" t="s">
        <v>339</v>
      </c>
      <c r="B567" s="49" t="s">
        <v>17</v>
      </c>
      <c r="C567" s="49" t="s">
        <v>176</v>
      </c>
      <c r="D567" s="49" t="s">
        <v>78</v>
      </c>
      <c r="E567" s="49" t="s">
        <v>172</v>
      </c>
      <c r="F567" s="49">
        <v>2016</v>
      </c>
      <c r="G567" s="50">
        <v>42884.791666666664</v>
      </c>
      <c r="H567" s="50">
        <v>42895.958333333336</v>
      </c>
      <c r="I567" s="54">
        <v>42884</v>
      </c>
      <c r="J567" s="54">
        <v>42895</v>
      </c>
      <c r="K567" s="51" t="s">
        <v>526</v>
      </c>
      <c r="L567" s="51">
        <v>0.95833333333333337</v>
      </c>
      <c r="M567" s="51" t="s">
        <v>541</v>
      </c>
      <c r="N567" s="51" t="s">
        <v>531</v>
      </c>
      <c r="O567" s="51" t="s">
        <v>543</v>
      </c>
      <c r="P567" s="49" t="s">
        <v>23</v>
      </c>
      <c r="Q567" s="49" t="s">
        <v>16</v>
      </c>
      <c r="R567" s="49" t="s">
        <v>109</v>
      </c>
      <c r="S567" s="49">
        <v>2</v>
      </c>
      <c r="T567" s="49">
        <v>9</v>
      </c>
      <c r="U567" s="63">
        <v>62</v>
      </c>
      <c r="V567" s="63">
        <v>558</v>
      </c>
    </row>
    <row r="568" spans="1:22" x14ac:dyDescent="0.25">
      <c r="A568" s="49" t="s">
        <v>340</v>
      </c>
      <c r="B568" s="49" t="s">
        <v>22</v>
      </c>
      <c r="C568" s="49" t="s">
        <v>176</v>
      </c>
      <c r="D568" s="49" t="s">
        <v>85</v>
      </c>
      <c r="E568" s="49" t="s">
        <v>170</v>
      </c>
      <c r="F568" s="49">
        <v>2016</v>
      </c>
      <c r="G568" s="50">
        <v>42884.791666666664</v>
      </c>
      <c r="H568" s="50">
        <v>42895.958333333336</v>
      </c>
      <c r="I568" s="54">
        <v>42884</v>
      </c>
      <c r="J568" s="54">
        <v>42895</v>
      </c>
      <c r="K568" s="51" t="s">
        <v>526</v>
      </c>
      <c r="L568" s="51">
        <v>0.95833333333333337</v>
      </c>
      <c r="M568" s="51" t="s">
        <v>541</v>
      </c>
      <c r="N568" s="51" t="s">
        <v>531</v>
      </c>
      <c r="O568" s="51" t="s">
        <v>543</v>
      </c>
      <c r="P568" s="49" t="s">
        <v>23</v>
      </c>
      <c r="Q568" s="49" t="s">
        <v>28</v>
      </c>
      <c r="R568" s="49" t="s">
        <v>109</v>
      </c>
      <c r="S568" s="49">
        <v>3</v>
      </c>
      <c r="T568" s="49">
        <v>10</v>
      </c>
      <c r="U568" s="63">
        <v>48</v>
      </c>
      <c r="V568" s="63">
        <v>480</v>
      </c>
    </row>
    <row r="569" spans="1:22" x14ac:dyDescent="0.25">
      <c r="A569" s="49" t="s">
        <v>341</v>
      </c>
      <c r="B569" s="49" t="s">
        <v>22</v>
      </c>
      <c r="C569" s="49" t="s">
        <v>176</v>
      </c>
      <c r="D569" s="49" t="s">
        <v>84</v>
      </c>
      <c r="E569" s="49" t="s">
        <v>172</v>
      </c>
      <c r="F569" s="49">
        <v>2016</v>
      </c>
      <c r="G569" s="50">
        <v>42885.791666666664</v>
      </c>
      <c r="H569" s="50">
        <v>42898.958333333336</v>
      </c>
      <c r="I569" s="54">
        <v>42885</v>
      </c>
      <c r="J569" s="54">
        <v>42898</v>
      </c>
      <c r="K569" s="51" t="s">
        <v>526</v>
      </c>
      <c r="L569" s="51">
        <v>0.95833333333333337</v>
      </c>
      <c r="M569" s="51" t="s">
        <v>541</v>
      </c>
      <c r="N569" s="51" t="s">
        <v>531</v>
      </c>
      <c r="O569" s="51" t="s">
        <v>543</v>
      </c>
      <c r="P569" s="49" t="s">
        <v>23</v>
      </c>
      <c r="Q569" s="49" t="s">
        <v>38</v>
      </c>
      <c r="R569" s="49" t="s">
        <v>113</v>
      </c>
      <c r="S569" s="49">
        <v>3</v>
      </c>
      <c r="T569" s="49">
        <v>11</v>
      </c>
      <c r="U569" s="63">
        <v>52</v>
      </c>
      <c r="V569" s="63">
        <v>572</v>
      </c>
    </row>
    <row r="570" spans="1:22" x14ac:dyDescent="0.25">
      <c r="A570" s="49" t="s">
        <v>342</v>
      </c>
      <c r="B570" s="49" t="s">
        <v>22</v>
      </c>
      <c r="C570" s="49" t="s">
        <v>176</v>
      </c>
      <c r="D570" s="49" t="s">
        <v>86</v>
      </c>
      <c r="E570" s="49" t="s">
        <v>169</v>
      </c>
      <c r="F570" s="49">
        <v>2016</v>
      </c>
      <c r="G570" s="50">
        <v>42886.583333333336</v>
      </c>
      <c r="H570" s="50">
        <v>42899.75</v>
      </c>
      <c r="I570" s="54">
        <v>42886</v>
      </c>
      <c r="J570" s="54">
        <v>42899</v>
      </c>
      <c r="K570" s="51" t="s">
        <v>527</v>
      </c>
      <c r="L570" s="51">
        <v>0.75</v>
      </c>
      <c r="M570" s="51" t="s">
        <v>542</v>
      </c>
      <c r="N570" s="51" t="s">
        <v>531</v>
      </c>
      <c r="O570" s="51" t="s">
        <v>543</v>
      </c>
      <c r="P570" s="49" t="s">
        <v>9</v>
      </c>
      <c r="Q570" s="49" t="s">
        <v>16</v>
      </c>
      <c r="R570" s="49" t="s">
        <v>109</v>
      </c>
      <c r="S570" s="49">
        <v>4</v>
      </c>
      <c r="T570" s="49">
        <v>12</v>
      </c>
      <c r="U570" s="63">
        <v>48</v>
      </c>
      <c r="V570" s="63">
        <v>576</v>
      </c>
    </row>
    <row r="571" spans="1:22" x14ac:dyDescent="0.25">
      <c r="A571" s="49" t="s">
        <v>343</v>
      </c>
      <c r="B571" s="49" t="s">
        <v>29</v>
      </c>
      <c r="C571" s="49" t="s">
        <v>177</v>
      </c>
      <c r="D571" s="49" t="s">
        <v>76</v>
      </c>
      <c r="E571" s="49" t="s">
        <v>174</v>
      </c>
      <c r="F571" s="49">
        <v>2016</v>
      </c>
      <c r="G571" s="50">
        <v>42887.375</v>
      </c>
      <c r="H571" s="50">
        <v>42893.75</v>
      </c>
      <c r="I571" s="54">
        <v>42887</v>
      </c>
      <c r="J571" s="54">
        <v>42893</v>
      </c>
      <c r="K571" s="51" t="s">
        <v>525</v>
      </c>
      <c r="L571" s="51">
        <v>0.75</v>
      </c>
      <c r="M571" s="51" t="s">
        <v>540</v>
      </c>
      <c r="N571" s="51" t="s">
        <v>532</v>
      </c>
      <c r="O571" s="51" t="s">
        <v>543</v>
      </c>
      <c r="P571" s="49" t="s">
        <v>9</v>
      </c>
      <c r="Q571" s="49" t="s">
        <v>12</v>
      </c>
      <c r="R571" s="49" t="s">
        <v>113</v>
      </c>
      <c r="S571" s="49">
        <v>4</v>
      </c>
      <c r="T571" s="49">
        <v>12</v>
      </c>
      <c r="U571" s="63">
        <v>53</v>
      </c>
      <c r="V571" s="63">
        <v>636</v>
      </c>
    </row>
    <row r="572" spans="1:22" x14ac:dyDescent="0.25">
      <c r="A572" s="49" t="s">
        <v>344</v>
      </c>
      <c r="B572" s="49" t="s">
        <v>14</v>
      </c>
      <c r="C572" s="49" t="s">
        <v>175</v>
      </c>
      <c r="D572" s="49" t="s">
        <v>76</v>
      </c>
      <c r="E572" s="49" t="s">
        <v>174</v>
      </c>
      <c r="F572" s="49">
        <v>2016</v>
      </c>
      <c r="G572" s="50">
        <v>42888.333333333336</v>
      </c>
      <c r="H572" s="50">
        <v>42902.5</v>
      </c>
      <c r="I572" s="54">
        <v>42888</v>
      </c>
      <c r="J572" s="54">
        <v>42902</v>
      </c>
      <c r="K572" s="51" t="s">
        <v>522</v>
      </c>
      <c r="L572" s="51">
        <v>0.5</v>
      </c>
      <c r="M572" s="51" t="s">
        <v>539</v>
      </c>
      <c r="N572" s="51" t="s">
        <v>532</v>
      </c>
      <c r="O572" s="51" t="s">
        <v>543</v>
      </c>
      <c r="P572" s="49" t="s">
        <v>23</v>
      </c>
      <c r="Q572" s="49" t="s">
        <v>190</v>
      </c>
      <c r="R572" s="49" t="s">
        <v>109</v>
      </c>
      <c r="S572" s="49">
        <v>5</v>
      </c>
      <c r="T572" s="49">
        <v>9</v>
      </c>
      <c r="U572" s="63">
        <v>53</v>
      </c>
      <c r="V572" s="63">
        <v>477</v>
      </c>
    </row>
    <row r="573" spans="1:22" x14ac:dyDescent="0.25">
      <c r="A573" s="49" t="s">
        <v>345</v>
      </c>
      <c r="B573" s="49" t="s">
        <v>17</v>
      </c>
      <c r="C573" s="49" t="s">
        <v>176</v>
      </c>
      <c r="D573" s="49" t="s">
        <v>83</v>
      </c>
      <c r="E573" s="49" t="s">
        <v>174</v>
      </c>
      <c r="F573" s="49">
        <v>2016</v>
      </c>
      <c r="G573" s="50">
        <v>42889.375</v>
      </c>
      <c r="H573" s="50">
        <v>42894.75</v>
      </c>
      <c r="I573" s="54">
        <v>42889</v>
      </c>
      <c r="J573" s="54">
        <v>42894</v>
      </c>
      <c r="K573" s="51" t="s">
        <v>525</v>
      </c>
      <c r="L573" s="51">
        <v>0.75</v>
      </c>
      <c r="M573" s="51" t="s">
        <v>540</v>
      </c>
      <c r="N573" s="51" t="s">
        <v>532</v>
      </c>
      <c r="O573" s="51" t="s">
        <v>543</v>
      </c>
      <c r="P573" s="49" t="s">
        <v>9</v>
      </c>
      <c r="Q573" s="49" t="s">
        <v>33</v>
      </c>
      <c r="R573" s="49" t="s">
        <v>113</v>
      </c>
      <c r="S573" s="49">
        <v>2</v>
      </c>
      <c r="T573" s="49">
        <v>9</v>
      </c>
      <c r="U573" s="63">
        <v>63</v>
      </c>
      <c r="V573" s="63">
        <v>567</v>
      </c>
    </row>
    <row r="574" spans="1:22" x14ac:dyDescent="0.25">
      <c r="A574" s="49" t="s">
        <v>346</v>
      </c>
      <c r="B574" s="49" t="s">
        <v>7</v>
      </c>
      <c r="C574" s="49" t="s">
        <v>175</v>
      </c>
      <c r="D574" s="49" t="s">
        <v>86</v>
      </c>
      <c r="E574" s="49" t="s">
        <v>169</v>
      </c>
      <c r="F574" s="49">
        <v>2016</v>
      </c>
      <c r="G574" s="50">
        <v>42891.791666666664</v>
      </c>
      <c r="H574" s="50">
        <v>42905.958333333336</v>
      </c>
      <c r="I574" s="54">
        <v>42891</v>
      </c>
      <c r="J574" s="54">
        <v>42905</v>
      </c>
      <c r="K574" s="51" t="s">
        <v>526</v>
      </c>
      <c r="L574" s="51">
        <v>0.95833333333333337</v>
      </c>
      <c r="M574" s="51" t="s">
        <v>541</v>
      </c>
      <c r="N574" s="51" t="s">
        <v>532</v>
      </c>
      <c r="O574" s="51" t="s">
        <v>543</v>
      </c>
      <c r="P574" s="49" t="s">
        <v>9</v>
      </c>
      <c r="Q574" s="49" t="s">
        <v>16</v>
      </c>
      <c r="R574" s="49" t="s">
        <v>109</v>
      </c>
      <c r="S574" s="49">
        <v>3</v>
      </c>
      <c r="T574" s="49">
        <v>10</v>
      </c>
      <c r="U574" s="63">
        <v>48</v>
      </c>
      <c r="V574" s="63">
        <v>480</v>
      </c>
    </row>
    <row r="575" spans="1:22" x14ac:dyDescent="0.25">
      <c r="A575" s="49" t="s">
        <v>347</v>
      </c>
      <c r="B575" s="49" t="s">
        <v>29</v>
      </c>
      <c r="C575" s="49" t="s">
        <v>177</v>
      </c>
      <c r="D575" s="49" t="s">
        <v>82</v>
      </c>
      <c r="E575" s="49" t="s">
        <v>172</v>
      </c>
      <c r="F575" s="49">
        <v>2016</v>
      </c>
      <c r="G575" s="50">
        <v>42891.791666666664</v>
      </c>
      <c r="H575" s="50">
        <v>42905.958333333336</v>
      </c>
      <c r="I575" s="54">
        <v>42891</v>
      </c>
      <c r="J575" s="54">
        <v>42905</v>
      </c>
      <c r="K575" s="51" t="s">
        <v>526</v>
      </c>
      <c r="L575" s="51">
        <v>0.95833333333333337</v>
      </c>
      <c r="M575" s="51" t="s">
        <v>541</v>
      </c>
      <c r="N575" s="51" t="s">
        <v>532</v>
      </c>
      <c r="O575" s="51" t="s">
        <v>543</v>
      </c>
      <c r="P575" s="49" t="s">
        <v>23</v>
      </c>
      <c r="Q575" s="49" t="s">
        <v>190</v>
      </c>
      <c r="R575" s="49" t="s">
        <v>109</v>
      </c>
      <c r="S575" s="49">
        <v>5</v>
      </c>
      <c r="T575" s="49">
        <v>11</v>
      </c>
      <c r="U575" s="63">
        <v>75</v>
      </c>
      <c r="V575" s="63">
        <v>825</v>
      </c>
    </row>
    <row r="576" spans="1:22" x14ac:dyDescent="0.25">
      <c r="A576" s="49" t="s">
        <v>348</v>
      </c>
      <c r="B576" s="49" t="s">
        <v>45</v>
      </c>
      <c r="C576" s="49" t="s">
        <v>177</v>
      </c>
      <c r="D576" s="49" t="s">
        <v>86</v>
      </c>
      <c r="E576" s="49" t="s">
        <v>169</v>
      </c>
      <c r="F576" s="49">
        <v>2016</v>
      </c>
      <c r="G576" s="50">
        <v>42892.791666666664</v>
      </c>
      <c r="H576" s="50">
        <v>42906.958333333336</v>
      </c>
      <c r="I576" s="54">
        <v>42892</v>
      </c>
      <c r="J576" s="54">
        <v>42906</v>
      </c>
      <c r="K576" s="51" t="s">
        <v>526</v>
      </c>
      <c r="L576" s="51">
        <v>0.95833333333333337</v>
      </c>
      <c r="M576" s="51" t="s">
        <v>541</v>
      </c>
      <c r="N576" s="51" t="s">
        <v>532</v>
      </c>
      <c r="O576" s="51" t="s">
        <v>543</v>
      </c>
      <c r="P576" s="49" t="s">
        <v>9</v>
      </c>
      <c r="Q576" s="49" t="s">
        <v>28</v>
      </c>
      <c r="R576" s="49" t="s">
        <v>109</v>
      </c>
      <c r="S576" s="49">
        <v>5</v>
      </c>
      <c r="T576" s="49">
        <v>9</v>
      </c>
      <c r="U576" s="63">
        <v>48</v>
      </c>
      <c r="V576" s="63">
        <v>432</v>
      </c>
    </row>
    <row r="577" spans="1:22" x14ac:dyDescent="0.25">
      <c r="A577" s="49" t="s">
        <v>349</v>
      </c>
      <c r="B577" s="49" t="s">
        <v>7</v>
      </c>
      <c r="C577" s="49" t="s">
        <v>175</v>
      </c>
      <c r="D577" s="49" t="s">
        <v>86</v>
      </c>
      <c r="E577" s="49" t="s">
        <v>169</v>
      </c>
      <c r="F577" s="49">
        <v>2016</v>
      </c>
      <c r="G577" s="50">
        <v>42893.583333333336</v>
      </c>
      <c r="H577" s="50">
        <v>42907.75</v>
      </c>
      <c r="I577" s="54">
        <v>42893</v>
      </c>
      <c r="J577" s="54">
        <v>42907</v>
      </c>
      <c r="K577" s="51" t="s">
        <v>527</v>
      </c>
      <c r="L577" s="51">
        <v>0.75</v>
      </c>
      <c r="M577" s="51" t="s">
        <v>542</v>
      </c>
      <c r="N577" s="51" t="s">
        <v>532</v>
      </c>
      <c r="O577" s="51" t="s">
        <v>543</v>
      </c>
      <c r="P577" s="49" t="s">
        <v>23</v>
      </c>
      <c r="Q577" s="49" t="s">
        <v>24</v>
      </c>
      <c r="R577" s="49" t="s">
        <v>113</v>
      </c>
      <c r="S577" s="49">
        <v>4</v>
      </c>
      <c r="T577" s="49">
        <v>10</v>
      </c>
      <c r="U577" s="63">
        <v>48</v>
      </c>
      <c r="V577" s="63">
        <v>480</v>
      </c>
    </row>
    <row r="578" spans="1:22" x14ac:dyDescent="0.25">
      <c r="A578" s="49" t="s">
        <v>350</v>
      </c>
      <c r="B578" s="49" t="s">
        <v>19</v>
      </c>
      <c r="C578" s="49" t="s">
        <v>176</v>
      </c>
      <c r="D578" s="49" t="s">
        <v>81</v>
      </c>
      <c r="E578" s="49" t="s">
        <v>172</v>
      </c>
      <c r="F578" s="49">
        <v>2016</v>
      </c>
      <c r="G578" s="50">
        <v>42894.375</v>
      </c>
      <c r="H578" s="50">
        <v>42900.75</v>
      </c>
      <c r="I578" s="54">
        <v>42894</v>
      </c>
      <c r="J578" s="54">
        <v>42900</v>
      </c>
      <c r="K578" s="51" t="s">
        <v>525</v>
      </c>
      <c r="L578" s="51">
        <v>0.75</v>
      </c>
      <c r="M578" s="51" t="s">
        <v>540</v>
      </c>
      <c r="N578" s="51" t="s">
        <v>532</v>
      </c>
      <c r="O578" s="51" t="s">
        <v>543</v>
      </c>
      <c r="P578" s="49" t="s">
        <v>9</v>
      </c>
      <c r="Q578" s="49" t="s">
        <v>44</v>
      </c>
      <c r="R578" s="49" t="s">
        <v>113</v>
      </c>
      <c r="S578" s="49">
        <v>4</v>
      </c>
      <c r="T578" s="49">
        <v>12</v>
      </c>
      <c r="U578" s="63">
        <v>43</v>
      </c>
      <c r="V578" s="63">
        <v>516</v>
      </c>
    </row>
    <row r="579" spans="1:22" x14ac:dyDescent="0.25">
      <c r="A579" s="49" t="s">
        <v>351</v>
      </c>
      <c r="B579" s="49" t="s">
        <v>19</v>
      </c>
      <c r="C579" s="49" t="s">
        <v>176</v>
      </c>
      <c r="D579" s="49" t="s">
        <v>86</v>
      </c>
      <c r="E579" s="49" t="s">
        <v>169</v>
      </c>
      <c r="F579" s="49">
        <v>2016</v>
      </c>
      <c r="G579" s="50">
        <v>42895.333333333336</v>
      </c>
      <c r="H579" s="50">
        <v>42909.5</v>
      </c>
      <c r="I579" s="54">
        <v>42895</v>
      </c>
      <c r="J579" s="54">
        <v>42909</v>
      </c>
      <c r="K579" s="51" t="s">
        <v>522</v>
      </c>
      <c r="L579" s="51">
        <v>0.5</v>
      </c>
      <c r="M579" s="51" t="s">
        <v>539</v>
      </c>
      <c r="N579" s="51" t="s">
        <v>532</v>
      </c>
      <c r="O579" s="51" t="s">
        <v>543</v>
      </c>
      <c r="P579" s="49" t="s">
        <v>23</v>
      </c>
      <c r="Q579" s="49" t="s">
        <v>22</v>
      </c>
      <c r="R579" s="49" t="s">
        <v>109</v>
      </c>
      <c r="S579" s="49">
        <v>5</v>
      </c>
      <c r="T579" s="49">
        <v>11</v>
      </c>
      <c r="U579" s="63">
        <v>48</v>
      </c>
      <c r="V579" s="63">
        <v>528</v>
      </c>
    </row>
    <row r="580" spans="1:22" x14ac:dyDescent="0.25">
      <c r="A580" s="49" t="s">
        <v>352</v>
      </c>
      <c r="B580" s="49" t="s">
        <v>14</v>
      </c>
      <c r="C580" s="49" t="s">
        <v>175</v>
      </c>
      <c r="D580" s="49" t="s">
        <v>82</v>
      </c>
      <c r="E580" s="49" t="s">
        <v>172</v>
      </c>
      <c r="F580" s="49">
        <v>2016</v>
      </c>
      <c r="G580" s="50">
        <v>42896.375</v>
      </c>
      <c r="H580" s="50">
        <v>42902.75</v>
      </c>
      <c r="I580" s="54">
        <v>42896</v>
      </c>
      <c r="J580" s="54">
        <v>42902</v>
      </c>
      <c r="K580" s="51" t="s">
        <v>525</v>
      </c>
      <c r="L580" s="51">
        <v>0.75</v>
      </c>
      <c r="M580" s="51" t="s">
        <v>540</v>
      </c>
      <c r="N580" s="51" t="s">
        <v>532</v>
      </c>
      <c r="O580" s="51" t="s">
        <v>543</v>
      </c>
      <c r="P580" s="49" t="s">
        <v>9</v>
      </c>
      <c r="Q580" s="49" t="s">
        <v>38</v>
      </c>
      <c r="R580" s="49" t="s">
        <v>113</v>
      </c>
      <c r="S580" s="49">
        <v>5</v>
      </c>
      <c r="T580" s="49">
        <v>10</v>
      </c>
      <c r="U580" s="63">
        <v>75</v>
      </c>
      <c r="V580" s="63">
        <v>750</v>
      </c>
    </row>
    <row r="581" spans="1:22" x14ac:dyDescent="0.25">
      <c r="A581" s="49" t="s">
        <v>353</v>
      </c>
      <c r="B581" s="49" t="s">
        <v>17</v>
      </c>
      <c r="C581" s="49" t="s">
        <v>176</v>
      </c>
      <c r="D581" s="49" t="s">
        <v>82</v>
      </c>
      <c r="E581" s="49" t="s">
        <v>172</v>
      </c>
      <c r="F581" s="49">
        <v>2016</v>
      </c>
      <c r="G581" s="50">
        <v>42898.791666666664</v>
      </c>
      <c r="H581" s="50">
        <v>42912.958333333336</v>
      </c>
      <c r="I581" s="54">
        <v>42898</v>
      </c>
      <c r="J581" s="54">
        <v>42912</v>
      </c>
      <c r="K581" s="51" t="s">
        <v>526</v>
      </c>
      <c r="L581" s="51">
        <v>0.95833333333333337</v>
      </c>
      <c r="M581" s="51" t="s">
        <v>541</v>
      </c>
      <c r="N581" s="51" t="s">
        <v>532</v>
      </c>
      <c r="O581" s="51" t="s">
        <v>543</v>
      </c>
      <c r="P581" s="49" t="s">
        <v>23</v>
      </c>
      <c r="Q581" s="49" t="s">
        <v>16</v>
      </c>
      <c r="R581" s="49" t="s">
        <v>109</v>
      </c>
      <c r="S581" s="49">
        <v>3</v>
      </c>
      <c r="T581" s="49">
        <v>12</v>
      </c>
      <c r="U581" s="63">
        <v>75</v>
      </c>
      <c r="V581" s="63">
        <v>900</v>
      </c>
    </row>
    <row r="582" spans="1:22" x14ac:dyDescent="0.25">
      <c r="A582" s="49" t="s">
        <v>354</v>
      </c>
      <c r="B582" s="49" t="s">
        <v>39</v>
      </c>
      <c r="C582" s="49" t="s">
        <v>177</v>
      </c>
      <c r="D582" s="49" t="s">
        <v>76</v>
      </c>
      <c r="E582" s="49" t="s">
        <v>174</v>
      </c>
      <c r="F582" s="49">
        <v>2016</v>
      </c>
      <c r="G582" s="50">
        <v>42898.791666666664</v>
      </c>
      <c r="H582" s="50">
        <v>42912.958333333336</v>
      </c>
      <c r="I582" s="54">
        <v>42898</v>
      </c>
      <c r="J582" s="54">
        <v>42912</v>
      </c>
      <c r="K582" s="51" t="s">
        <v>526</v>
      </c>
      <c r="L582" s="51">
        <v>0.95833333333333337</v>
      </c>
      <c r="M582" s="51" t="s">
        <v>541</v>
      </c>
      <c r="N582" s="51" t="s">
        <v>532</v>
      </c>
      <c r="O582" s="51" t="s">
        <v>543</v>
      </c>
      <c r="P582" s="49" t="s">
        <v>9</v>
      </c>
      <c r="Q582" s="49" t="s">
        <v>22</v>
      </c>
      <c r="R582" s="49" t="s">
        <v>109</v>
      </c>
      <c r="S582" s="49">
        <v>4</v>
      </c>
      <c r="T582" s="49">
        <v>8</v>
      </c>
      <c r="U582" s="63">
        <v>53</v>
      </c>
      <c r="V582" s="63">
        <v>424</v>
      </c>
    </row>
    <row r="583" spans="1:22" x14ac:dyDescent="0.25">
      <c r="A583" s="49" t="s">
        <v>355</v>
      </c>
      <c r="B583" s="49" t="s">
        <v>14</v>
      </c>
      <c r="C583" s="49" t="s">
        <v>175</v>
      </c>
      <c r="D583" s="49" t="s">
        <v>79</v>
      </c>
      <c r="E583" s="49" t="s">
        <v>168</v>
      </c>
      <c r="F583" s="49">
        <v>2016</v>
      </c>
      <c r="G583" s="50">
        <v>42899.791666666664</v>
      </c>
      <c r="H583" s="50">
        <v>42913.958333333336</v>
      </c>
      <c r="I583" s="54">
        <v>42899</v>
      </c>
      <c r="J583" s="54">
        <v>42913</v>
      </c>
      <c r="K583" s="51" t="s">
        <v>526</v>
      </c>
      <c r="L583" s="51">
        <v>0.95833333333333337</v>
      </c>
      <c r="M583" s="51" t="s">
        <v>541</v>
      </c>
      <c r="N583" s="51" t="s">
        <v>532</v>
      </c>
      <c r="O583" s="51" t="s">
        <v>543</v>
      </c>
      <c r="P583" s="49" t="s">
        <v>23</v>
      </c>
      <c r="Q583" s="49" t="s">
        <v>38</v>
      </c>
      <c r="R583" s="49" t="s">
        <v>113</v>
      </c>
      <c r="S583" s="49">
        <v>4</v>
      </c>
      <c r="T583" s="49">
        <v>9</v>
      </c>
      <c r="U583" s="63">
        <v>48</v>
      </c>
      <c r="V583" s="63">
        <v>432</v>
      </c>
    </row>
    <row r="584" spans="1:22" x14ac:dyDescent="0.25">
      <c r="A584" s="49" t="s">
        <v>356</v>
      </c>
      <c r="B584" s="49" t="s">
        <v>7</v>
      </c>
      <c r="C584" s="49" t="s">
        <v>175</v>
      </c>
      <c r="D584" s="49" t="s">
        <v>89</v>
      </c>
      <c r="E584" s="49" t="s">
        <v>169</v>
      </c>
      <c r="F584" s="49">
        <v>2016</v>
      </c>
      <c r="G584" s="50">
        <v>42900.583333333336</v>
      </c>
      <c r="H584" s="50">
        <v>42914.75</v>
      </c>
      <c r="I584" s="54">
        <v>42900</v>
      </c>
      <c r="J584" s="54">
        <v>42914</v>
      </c>
      <c r="K584" s="51" t="s">
        <v>527</v>
      </c>
      <c r="L584" s="51">
        <v>0.75</v>
      </c>
      <c r="M584" s="51" t="s">
        <v>542</v>
      </c>
      <c r="N584" s="51" t="s">
        <v>532</v>
      </c>
      <c r="O584" s="51" t="s">
        <v>543</v>
      </c>
      <c r="P584" s="49" t="s">
        <v>23</v>
      </c>
      <c r="Q584" s="49" t="s">
        <v>37</v>
      </c>
      <c r="R584" s="49" t="s">
        <v>113</v>
      </c>
      <c r="S584" s="49">
        <v>4</v>
      </c>
      <c r="T584" s="49">
        <v>9</v>
      </c>
      <c r="U584" s="63">
        <v>62</v>
      </c>
      <c r="V584" s="63">
        <v>558</v>
      </c>
    </row>
    <row r="585" spans="1:22" x14ac:dyDescent="0.25">
      <c r="A585" s="49" t="s">
        <v>357</v>
      </c>
      <c r="B585" s="49" t="s">
        <v>19</v>
      </c>
      <c r="C585" s="49" t="s">
        <v>176</v>
      </c>
      <c r="D585" s="49" t="s">
        <v>83</v>
      </c>
      <c r="E585" s="49" t="s">
        <v>174</v>
      </c>
      <c r="F585" s="49">
        <v>2016</v>
      </c>
      <c r="G585" s="50">
        <v>42901.375</v>
      </c>
      <c r="H585" s="50">
        <v>42907.75</v>
      </c>
      <c r="I585" s="54">
        <v>42901</v>
      </c>
      <c r="J585" s="54">
        <v>42907</v>
      </c>
      <c r="K585" s="51" t="s">
        <v>525</v>
      </c>
      <c r="L585" s="51">
        <v>0.75</v>
      </c>
      <c r="M585" s="51" t="s">
        <v>540</v>
      </c>
      <c r="N585" s="51" t="s">
        <v>532</v>
      </c>
      <c r="O585" s="51" t="s">
        <v>543</v>
      </c>
      <c r="P585" s="49" t="s">
        <v>9</v>
      </c>
      <c r="Q585" s="49" t="s">
        <v>190</v>
      </c>
      <c r="R585" s="49" t="s">
        <v>109</v>
      </c>
      <c r="S585" s="49">
        <v>2</v>
      </c>
      <c r="T585" s="49">
        <v>12</v>
      </c>
      <c r="U585" s="63">
        <v>63</v>
      </c>
      <c r="V585" s="63">
        <v>756</v>
      </c>
    </row>
    <row r="586" spans="1:22" x14ac:dyDescent="0.25">
      <c r="A586" s="49" t="s">
        <v>358</v>
      </c>
      <c r="B586" s="49" t="s">
        <v>17</v>
      </c>
      <c r="C586" s="49" t="s">
        <v>176</v>
      </c>
      <c r="D586" s="49" t="s">
        <v>82</v>
      </c>
      <c r="E586" s="49" t="s">
        <v>172</v>
      </c>
      <c r="F586" s="49">
        <v>2016</v>
      </c>
      <c r="G586" s="50">
        <v>42902.333333333336</v>
      </c>
      <c r="H586" s="50">
        <v>42915.5</v>
      </c>
      <c r="I586" s="54">
        <v>42902</v>
      </c>
      <c r="J586" s="54">
        <v>42915</v>
      </c>
      <c r="K586" s="51" t="s">
        <v>522</v>
      </c>
      <c r="L586" s="51">
        <v>0.5</v>
      </c>
      <c r="M586" s="51" t="s">
        <v>539</v>
      </c>
      <c r="N586" s="51" t="s">
        <v>532</v>
      </c>
      <c r="O586" s="51" t="s">
        <v>543</v>
      </c>
      <c r="P586" s="49" t="s">
        <v>23</v>
      </c>
      <c r="Q586" s="49" t="s">
        <v>16</v>
      </c>
      <c r="R586" s="49" t="s">
        <v>109</v>
      </c>
      <c r="S586" s="49">
        <v>4</v>
      </c>
      <c r="T586" s="49">
        <v>9</v>
      </c>
      <c r="U586" s="63">
        <v>75</v>
      </c>
      <c r="V586" s="63">
        <v>675</v>
      </c>
    </row>
    <row r="587" spans="1:22" x14ac:dyDescent="0.25">
      <c r="A587" s="49" t="s">
        <v>359</v>
      </c>
      <c r="B587" s="49" t="s">
        <v>22</v>
      </c>
      <c r="C587" s="49" t="s">
        <v>176</v>
      </c>
      <c r="D587" s="49" t="s">
        <v>76</v>
      </c>
      <c r="E587" s="49" t="s">
        <v>174</v>
      </c>
      <c r="F587" s="49">
        <v>2016</v>
      </c>
      <c r="G587" s="50">
        <v>42903.375</v>
      </c>
      <c r="H587" s="50">
        <v>42908.75</v>
      </c>
      <c r="I587" s="54">
        <v>42903</v>
      </c>
      <c r="J587" s="54">
        <v>42908</v>
      </c>
      <c r="K587" s="51" t="s">
        <v>525</v>
      </c>
      <c r="L587" s="51">
        <v>0.75</v>
      </c>
      <c r="M587" s="51" t="s">
        <v>540</v>
      </c>
      <c r="N587" s="51" t="s">
        <v>532</v>
      </c>
      <c r="O587" s="51" t="s">
        <v>543</v>
      </c>
      <c r="P587" s="49" t="s">
        <v>9</v>
      </c>
      <c r="Q587" s="49" t="s">
        <v>38</v>
      </c>
      <c r="R587" s="49" t="s">
        <v>113</v>
      </c>
      <c r="S587" s="49">
        <v>4</v>
      </c>
      <c r="T587" s="49">
        <v>11</v>
      </c>
      <c r="U587" s="63">
        <v>53</v>
      </c>
      <c r="V587" s="63">
        <v>583</v>
      </c>
    </row>
    <row r="588" spans="1:22" x14ac:dyDescent="0.25">
      <c r="A588" s="49" t="s">
        <v>360</v>
      </c>
      <c r="B588" s="49" t="s">
        <v>39</v>
      </c>
      <c r="C588" s="49" t="s">
        <v>177</v>
      </c>
      <c r="D588" s="49" t="s">
        <v>83</v>
      </c>
      <c r="E588" s="49" t="s">
        <v>174</v>
      </c>
      <c r="F588" s="49">
        <v>2016</v>
      </c>
      <c r="G588" s="50">
        <v>42905.791666666664</v>
      </c>
      <c r="H588" s="50">
        <v>42916.958333333336</v>
      </c>
      <c r="I588" s="54">
        <v>42905</v>
      </c>
      <c r="J588" s="54">
        <v>42916</v>
      </c>
      <c r="K588" s="51" t="s">
        <v>526</v>
      </c>
      <c r="L588" s="51">
        <v>0.95833333333333337</v>
      </c>
      <c r="M588" s="51" t="s">
        <v>541</v>
      </c>
      <c r="N588" s="51" t="s">
        <v>532</v>
      </c>
      <c r="O588" s="51" t="s">
        <v>543</v>
      </c>
      <c r="P588" s="49" t="s">
        <v>9</v>
      </c>
      <c r="Q588" s="49" t="s">
        <v>44</v>
      </c>
      <c r="R588" s="49" t="s">
        <v>113</v>
      </c>
      <c r="S588" s="49">
        <v>5</v>
      </c>
      <c r="T588" s="49">
        <v>8</v>
      </c>
      <c r="U588" s="63">
        <v>63</v>
      </c>
      <c r="V588" s="63">
        <v>504</v>
      </c>
    </row>
    <row r="589" spans="1:22" x14ac:dyDescent="0.25">
      <c r="A589" s="49" t="s">
        <v>361</v>
      </c>
      <c r="B589" s="49" t="s">
        <v>19</v>
      </c>
      <c r="C589" s="49" t="s">
        <v>176</v>
      </c>
      <c r="D589" s="49" t="s">
        <v>83</v>
      </c>
      <c r="E589" s="49" t="s">
        <v>174</v>
      </c>
      <c r="F589" s="49">
        <v>2016</v>
      </c>
      <c r="G589" s="50">
        <v>42905.791666666664</v>
      </c>
      <c r="H589" s="50">
        <v>42916.958333333336</v>
      </c>
      <c r="I589" s="54">
        <v>42905</v>
      </c>
      <c r="J589" s="54">
        <v>42916</v>
      </c>
      <c r="K589" s="51" t="s">
        <v>526</v>
      </c>
      <c r="L589" s="51">
        <v>0.95833333333333337</v>
      </c>
      <c r="M589" s="51" t="s">
        <v>541</v>
      </c>
      <c r="N589" s="51" t="s">
        <v>532</v>
      </c>
      <c r="O589" s="51" t="s">
        <v>543</v>
      </c>
      <c r="P589" s="49" t="s">
        <v>9</v>
      </c>
      <c r="Q589" s="49" t="s">
        <v>18</v>
      </c>
      <c r="R589" s="49" t="s">
        <v>113</v>
      </c>
      <c r="S589" s="49">
        <v>2</v>
      </c>
      <c r="T589" s="49">
        <v>12</v>
      </c>
      <c r="U589" s="63">
        <v>63</v>
      </c>
      <c r="V589" s="63">
        <v>756</v>
      </c>
    </row>
    <row r="590" spans="1:22" x14ac:dyDescent="0.25">
      <c r="A590" s="49" t="s">
        <v>362</v>
      </c>
      <c r="B590" s="49" t="s">
        <v>14</v>
      </c>
      <c r="C590" s="49" t="s">
        <v>175</v>
      </c>
      <c r="D590" s="49" t="s">
        <v>79</v>
      </c>
      <c r="E590" s="49" t="s">
        <v>168</v>
      </c>
      <c r="F590" s="49">
        <v>2016</v>
      </c>
      <c r="G590" s="50">
        <v>42906.791666666664</v>
      </c>
      <c r="H590" s="50">
        <v>42919.958333333336</v>
      </c>
      <c r="I590" s="54">
        <v>42906</v>
      </c>
      <c r="J590" s="54">
        <v>42919</v>
      </c>
      <c r="K590" s="51" t="s">
        <v>526</v>
      </c>
      <c r="L590" s="51">
        <v>0.95833333333333337</v>
      </c>
      <c r="M590" s="51" t="s">
        <v>541</v>
      </c>
      <c r="N590" s="51" t="s">
        <v>532</v>
      </c>
      <c r="O590" s="51" t="s">
        <v>543</v>
      </c>
      <c r="P590" s="49" t="s">
        <v>9</v>
      </c>
      <c r="Q590" s="49" t="s">
        <v>22</v>
      </c>
      <c r="R590" s="49" t="s">
        <v>109</v>
      </c>
      <c r="S590" s="49">
        <v>5</v>
      </c>
      <c r="T590" s="49">
        <v>9</v>
      </c>
      <c r="U590" s="63">
        <v>48</v>
      </c>
      <c r="V590" s="63">
        <v>432</v>
      </c>
    </row>
    <row r="591" spans="1:22" x14ac:dyDescent="0.25">
      <c r="A591" s="49" t="s">
        <v>363</v>
      </c>
      <c r="B591" s="49" t="s">
        <v>14</v>
      </c>
      <c r="C591" s="49" t="s">
        <v>175</v>
      </c>
      <c r="D591" s="49" t="s">
        <v>86</v>
      </c>
      <c r="E591" s="49" t="s">
        <v>169</v>
      </c>
      <c r="F591" s="49">
        <v>2016</v>
      </c>
      <c r="G591" s="50">
        <v>42907.583333333336</v>
      </c>
      <c r="H591" s="50">
        <v>42920.75</v>
      </c>
      <c r="I591" s="54">
        <v>42907</v>
      </c>
      <c r="J591" s="54">
        <v>42920</v>
      </c>
      <c r="K591" s="51" t="s">
        <v>527</v>
      </c>
      <c r="L591" s="51">
        <v>0.75</v>
      </c>
      <c r="M591" s="51" t="s">
        <v>542</v>
      </c>
      <c r="N591" s="51" t="s">
        <v>532</v>
      </c>
      <c r="O591" s="51" t="s">
        <v>543</v>
      </c>
      <c r="P591" s="49" t="s">
        <v>23</v>
      </c>
      <c r="Q591" s="49" t="s">
        <v>38</v>
      </c>
      <c r="R591" s="49" t="s">
        <v>113</v>
      </c>
      <c r="S591" s="49">
        <v>3</v>
      </c>
      <c r="T591" s="49">
        <v>8</v>
      </c>
      <c r="U591" s="63">
        <v>48</v>
      </c>
      <c r="V591" s="63">
        <v>384</v>
      </c>
    </row>
    <row r="592" spans="1:22" x14ac:dyDescent="0.25">
      <c r="A592" s="49" t="s">
        <v>364</v>
      </c>
      <c r="B592" s="49" t="s">
        <v>19</v>
      </c>
      <c r="C592" s="49" t="s">
        <v>176</v>
      </c>
      <c r="D592" s="49" t="s">
        <v>85</v>
      </c>
      <c r="E592" s="49" t="s">
        <v>170</v>
      </c>
      <c r="F592" s="49">
        <v>2016</v>
      </c>
      <c r="G592" s="50">
        <v>42908.375</v>
      </c>
      <c r="H592" s="50">
        <v>42914.75</v>
      </c>
      <c r="I592" s="54">
        <v>42908</v>
      </c>
      <c r="J592" s="54">
        <v>42914</v>
      </c>
      <c r="K592" s="51" t="s">
        <v>525</v>
      </c>
      <c r="L592" s="51">
        <v>0.75</v>
      </c>
      <c r="M592" s="51" t="s">
        <v>540</v>
      </c>
      <c r="N592" s="51" t="s">
        <v>532</v>
      </c>
      <c r="O592" s="51" t="s">
        <v>543</v>
      </c>
      <c r="P592" s="49" t="s">
        <v>23</v>
      </c>
      <c r="Q592" s="49" t="s">
        <v>18</v>
      </c>
      <c r="R592" s="49" t="s">
        <v>113</v>
      </c>
      <c r="S592" s="49">
        <v>5</v>
      </c>
      <c r="T592" s="49">
        <v>10</v>
      </c>
      <c r="U592" s="63">
        <v>48</v>
      </c>
      <c r="V592" s="63">
        <v>480</v>
      </c>
    </row>
    <row r="593" spans="1:22" x14ac:dyDescent="0.25">
      <c r="A593" s="49" t="s">
        <v>365</v>
      </c>
      <c r="B593" s="49" t="s">
        <v>29</v>
      </c>
      <c r="C593" s="49" t="s">
        <v>177</v>
      </c>
      <c r="D593" s="49" t="s">
        <v>79</v>
      </c>
      <c r="E593" s="49" t="s">
        <v>168</v>
      </c>
      <c r="F593" s="49">
        <v>2016</v>
      </c>
      <c r="G593" s="50">
        <v>42909.333333333336</v>
      </c>
      <c r="H593" s="50">
        <v>42922.5</v>
      </c>
      <c r="I593" s="54">
        <v>42909</v>
      </c>
      <c r="J593" s="54">
        <v>42922</v>
      </c>
      <c r="K593" s="51" t="s">
        <v>522</v>
      </c>
      <c r="L593" s="51">
        <v>0.5</v>
      </c>
      <c r="M593" s="51" t="s">
        <v>539</v>
      </c>
      <c r="N593" s="51" t="s">
        <v>532</v>
      </c>
      <c r="O593" s="51" t="s">
        <v>543</v>
      </c>
      <c r="P593" s="49" t="s">
        <v>23</v>
      </c>
      <c r="Q593" s="49" t="s">
        <v>26</v>
      </c>
      <c r="R593" s="49" t="s">
        <v>113</v>
      </c>
      <c r="S593" s="49">
        <v>4</v>
      </c>
      <c r="T593" s="49">
        <v>9</v>
      </c>
      <c r="U593" s="63">
        <v>48</v>
      </c>
      <c r="V593" s="63">
        <v>432</v>
      </c>
    </row>
    <row r="594" spans="1:22" x14ac:dyDescent="0.25">
      <c r="A594" s="49" t="s">
        <v>366</v>
      </c>
      <c r="B594" s="49" t="s">
        <v>11</v>
      </c>
      <c r="C594" s="49" t="s">
        <v>175</v>
      </c>
      <c r="D594" s="49" t="s">
        <v>89</v>
      </c>
      <c r="E594" s="49" t="s">
        <v>169</v>
      </c>
      <c r="F594" s="49">
        <v>2016</v>
      </c>
      <c r="G594" s="50">
        <v>42910.375</v>
      </c>
      <c r="H594" s="50">
        <v>42915.75</v>
      </c>
      <c r="I594" s="54">
        <v>42910</v>
      </c>
      <c r="J594" s="54">
        <v>42915</v>
      </c>
      <c r="K594" s="51" t="s">
        <v>525</v>
      </c>
      <c r="L594" s="51">
        <v>0.75</v>
      </c>
      <c r="M594" s="51" t="s">
        <v>540</v>
      </c>
      <c r="N594" s="51" t="s">
        <v>532</v>
      </c>
      <c r="O594" s="51" t="s">
        <v>543</v>
      </c>
      <c r="P594" s="49" t="s">
        <v>23</v>
      </c>
      <c r="Q594" s="49" t="s">
        <v>22</v>
      </c>
      <c r="R594" s="49" t="s">
        <v>109</v>
      </c>
      <c r="S594" s="49">
        <v>4</v>
      </c>
      <c r="T594" s="49">
        <v>9</v>
      </c>
      <c r="U594" s="63">
        <v>62</v>
      </c>
      <c r="V594" s="63">
        <v>558</v>
      </c>
    </row>
    <row r="595" spans="1:22" x14ac:dyDescent="0.25">
      <c r="A595" s="49" t="s">
        <v>367</v>
      </c>
      <c r="B595" s="49" t="s">
        <v>11</v>
      </c>
      <c r="C595" s="49" t="s">
        <v>175</v>
      </c>
      <c r="D595" s="49" t="s">
        <v>76</v>
      </c>
      <c r="E595" s="49" t="s">
        <v>174</v>
      </c>
      <c r="F595" s="49">
        <v>2016</v>
      </c>
      <c r="G595" s="50">
        <v>42912.791666666664</v>
      </c>
      <c r="H595" s="50">
        <v>42923.958333333336</v>
      </c>
      <c r="I595" s="54">
        <v>42912</v>
      </c>
      <c r="J595" s="54">
        <v>42923</v>
      </c>
      <c r="K595" s="51" t="s">
        <v>526</v>
      </c>
      <c r="L595" s="51">
        <v>0.95833333333333337</v>
      </c>
      <c r="M595" s="51" t="s">
        <v>541</v>
      </c>
      <c r="N595" s="51" t="s">
        <v>532</v>
      </c>
      <c r="O595" s="51" t="s">
        <v>543</v>
      </c>
      <c r="P595" s="49" t="s">
        <v>9</v>
      </c>
      <c r="Q595" s="49" t="s">
        <v>190</v>
      </c>
      <c r="R595" s="49" t="s">
        <v>109</v>
      </c>
      <c r="S595" s="49">
        <v>5</v>
      </c>
      <c r="T595" s="49">
        <v>10</v>
      </c>
      <c r="U595" s="63">
        <v>53</v>
      </c>
      <c r="V595" s="63">
        <v>530</v>
      </c>
    </row>
    <row r="596" spans="1:22" x14ac:dyDescent="0.25">
      <c r="A596" s="49" t="s">
        <v>368</v>
      </c>
      <c r="B596" s="49" t="s">
        <v>17</v>
      </c>
      <c r="C596" s="49" t="s">
        <v>176</v>
      </c>
      <c r="D596" s="49" t="s">
        <v>88</v>
      </c>
      <c r="E596" s="49" t="s">
        <v>170</v>
      </c>
      <c r="F596" s="49">
        <v>2016</v>
      </c>
      <c r="G596" s="50">
        <v>42912.791666666664</v>
      </c>
      <c r="H596" s="50">
        <v>42923.958333333336</v>
      </c>
      <c r="I596" s="54">
        <v>42912</v>
      </c>
      <c r="J596" s="54">
        <v>42923</v>
      </c>
      <c r="K596" s="51" t="s">
        <v>526</v>
      </c>
      <c r="L596" s="51">
        <v>0.95833333333333337</v>
      </c>
      <c r="M596" s="51" t="s">
        <v>541</v>
      </c>
      <c r="N596" s="51" t="s">
        <v>532</v>
      </c>
      <c r="O596" s="51" t="s">
        <v>543</v>
      </c>
      <c r="P596" s="49" t="s">
        <v>9</v>
      </c>
      <c r="Q596" s="49" t="s">
        <v>190</v>
      </c>
      <c r="R596" s="49" t="s">
        <v>109</v>
      </c>
      <c r="S596" s="49">
        <v>3</v>
      </c>
      <c r="T596" s="49">
        <v>10</v>
      </c>
      <c r="U596" s="63">
        <v>42</v>
      </c>
      <c r="V596" s="63">
        <v>420</v>
      </c>
    </row>
    <row r="597" spans="1:22" x14ac:dyDescent="0.25">
      <c r="A597" s="49" t="s">
        <v>369</v>
      </c>
      <c r="B597" s="49" t="s">
        <v>14</v>
      </c>
      <c r="C597" s="49" t="s">
        <v>175</v>
      </c>
      <c r="D597" s="49" t="s">
        <v>88</v>
      </c>
      <c r="E597" s="49" t="s">
        <v>170</v>
      </c>
      <c r="F597" s="49">
        <v>2016</v>
      </c>
      <c r="G597" s="50">
        <v>42913.791666666664</v>
      </c>
      <c r="H597" s="50">
        <v>42926.958333333336</v>
      </c>
      <c r="I597" s="54">
        <v>42913</v>
      </c>
      <c r="J597" s="54">
        <v>42926</v>
      </c>
      <c r="K597" s="51" t="s">
        <v>526</v>
      </c>
      <c r="L597" s="51">
        <v>0.95833333333333337</v>
      </c>
      <c r="M597" s="51" t="s">
        <v>541</v>
      </c>
      <c r="N597" s="51" t="s">
        <v>532</v>
      </c>
      <c r="O597" s="51" t="s">
        <v>543</v>
      </c>
      <c r="P597" s="49" t="s">
        <v>9</v>
      </c>
      <c r="Q597" s="49" t="s">
        <v>21</v>
      </c>
      <c r="R597" s="49" t="s">
        <v>113</v>
      </c>
      <c r="S597" s="49">
        <v>2</v>
      </c>
      <c r="T597" s="49">
        <v>9</v>
      </c>
      <c r="U597" s="63">
        <v>42</v>
      </c>
      <c r="V597" s="63">
        <v>378</v>
      </c>
    </row>
    <row r="598" spans="1:22" x14ac:dyDescent="0.25">
      <c r="A598" s="49" t="s">
        <v>370</v>
      </c>
      <c r="B598" s="49" t="s">
        <v>19</v>
      </c>
      <c r="C598" s="49" t="s">
        <v>176</v>
      </c>
      <c r="D598" s="49" t="s">
        <v>89</v>
      </c>
      <c r="E598" s="49" t="s">
        <v>169</v>
      </c>
      <c r="F598" s="49">
        <v>2016</v>
      </c>
      <c r="G598" s="50">
        <v>42914.583333333336</v>
      </c>
      <c r="H598" s="50">
        <v>42927.75</v>
      </c>
      <c r="I598" s="54">
        <v>42914</v>
      </c>
      <c r="J598" s="54">
        <v>42927</v>
      </c>
      <c r="K598" s="51" t="s">
        <v>527</v>
      </c>
      <c r="L598" s="51">
        <v>0.75</v>
      </c>
      <c r="M598" s="51" t="s">
        <v>542</v>
      </c>
      <c r="N598" s="51" t="s">
        <v>532</v>
      </c>
      <c r="O598" s="51" t="s">
        <v>543</v>
      </c>
      <c r="P598" s="49" t="s">
        <v>23</v>
      </c>
      <c r="Q598" s="49" t="s">
        <v>190</v>
      </c>
      <c r="R598" s="49" t="s">
        <v>109</v>
      </c>
      <c r="S598" s="49">
        <v>3</v>
      </c>
      <c r="T598" s="49">
        <v>8</v>
      </c>
      <c r="U598" s="63">
        <v>62</v>
      </c>
      <c r="V598" s="63">
        <v>496</v>
      </c>
    </row>
    <row r="599" spans="1:22" x14ac:dyDescent="0.25">
      <c r="A599" s="49" t="s">
        <v>371</v>
      </c>
      <c r="B599" s="49" t="s">
        <v>17</v>
      </c>
      <c r="C599" s="49" t="s">
        <v>176</v>
      </c>
      <c r="D599" s="49" t="s">
        <v>80</v>
      </c>
      <c r="E599" s="49" t="s">
        <v>173</v>
      </c>
      <c r="F599" s="49">
        <v>2016</v>
      </c>
      <c r="G599" s="50">
        <v>42915.375</v>
      </c>
      <c r="H599" s="50">
        <v>42921.75</v>
      </c>
      <c r="I599" s="54">
        <v>42915</v>
      </c>
      <c r="J599" s="54">
        <v>42921</v>
      </c>
      <c r="K599" s="51" t="s">
        <v>525</v>
      </c>
      <c r="L599" s="51">
        <v>0.75</v>
      </c>
      <c r="M599" s="51" t="s">
        <v>540</v>
      </c>
      <c r="N599" s="51" t="s">
        <v>532</v>
      </c>
      <c r="O599" s="51" t="s">
        <v>543</v>
      </c>
      <c r="P599" s="49" t="s">
        <v>23</v>
      </c>
      <c r="Q599" s="49" t="s">
        <v>38</v>
      </c>
      <c r="R599" s="49" t="s">
        <v>113</v>
      </c>
      <c r="S599" s="49">
        <v>4</v>
      </c>
      <c r="T599" s="49">
        <v>8</v>
      </c>
      <c r="U599" s="63">
        <v>32</v>
      </c>
      <c r="V599" s="63">
        <v>256</v>
      </c>
    </row>
    <row r="600" spans="1:22" x14ac:dyDescent="0.25">
      <c r="A600" s="49" t="s">
        <v>372</v>
      </c>
      <c r="B600" s="49" t="s">
        <v>29</v>
      </c>
      <c r="C600" s="49" t="s">
        <v>177</v>
      </c>
      <c r="D600" s="49" t="s">
        <v>85</v>
      </c>
      <c r="E600" s="49" t="s">
        <v>170</v>
      </c>
      <c r="F600" s="49">
        <v>2016</v>
      </c>
      <c r="G600" s="50">
        <v>42916.333333333336</v>
      </c>
      <c r="H600" s="50">
        <v>42929.5</v>
      </c>
      <c r="I600" s="54">
        <v>42916</v>
      </c>
      <c r="J600" s="54">
        <v>42929</v>
      </c>
      <c r="K600" s="51" t="s">
        <v>522</v>
      </c>
      <c r="L600" s="51">
        <v>0.5</v>
      </c>
      <c r="M600" s="51" t="s">
        <v>539</v>
      </c>
      <c r="N600" s="51" t="s">
        <v>532</v>
      </c>
      <c r="O600" s="51" t="s">
        <v>543</v>
      </c>
      <c r="P600" s="49" t="s">
        <v>23</v>
      </c>
      <c r="Q600" s="49" t="s">
        <v>41</v>
      </c>
      <c r="R600" s="49" t="s">
        <v>113</v>
      </c>
      <c r="S600" s="49">
        <v>4</v>
      </c>
      <c r="T600" s="49">
        <v>8</v>
      </c>
      <c r="U600" s="63">
        <v>48</v>
      </c>
      <c r="V600" s="63">
        <v>384</v>
      </c>
    </row>
    <row r="601" spans="1:22" x14ac:dyDescent="0.25">
      <c r="A601" s="49" t="s">
        <v>373</v>
      </c>
      <c r="B601" s="49" t="s">
        <v>22</v>
      </c>
      <c r="C601" s="49" t="s">
        <v>176</v>
      </c>
      <c r="D601" s="49" t="s">
        <v>77</v>
      </c>
      <c r="E601" s="49" t="s">
        <v>172</v>
      </c>
      <c r="F601" s="49">
        <v>2016</v>
      </c>
      <c r="G601" s="50">
        <v>42935.791666666664</v>
      </c>
      <c r="H601" s="50">
        <v>42948.958333333336</v>
      </c>
      <c r="I601" s="54">
        <v>42935</v>
      </c>
      <c r="J601" s="54">
        <v>42948</v>
      </c>
      <c r="K601" s="51" t="s">
        <v>526</v>
      </c>
      <c r="L601" s="51">
        <v>0.95833333333333337</v>
      </c>
      <c r="M601" s="51" t="s">
        <v>541</v>
      </c>
      <c r="N601" s="51" t="s">
        <v>533</v>
      </c>
      <c r="O601" s="51" t="s">
        <v>543</v>
      </c>
      <c r="P601" s="49" t="s">
        <v>9</v>
      </c>
      <c r="Q601" s="49" t="s">
        <v>31</v>
      </c>
      <c r="R601" s="49" t="s">
        <v>113</v>
      </c>
      <c r="S601" s="49">
        <v>4</v>
      </c>
      <c r="T601" s="49">
        <v>9</v>
      </c>
      <c r="U601" s="63">
        <v>35</v>
      </c>
      <c r="V601" s="63">
        <v>315</v>
      </c>
    </row>
    <row r="602" spans="1:22" x14ac:dyDescent="0.25">
      <c r="A602" s="49" t="s">
        <v>374</v>
      </c>
      <c r="B602" s="49" t="s">
        <v>7</v>
      </c>
      <c r="C602" s="49" t="s">
        <v>175</v>
      </c>
      <c r="D602" s="49" t="s">
        <v>84</v>
      </c>
      <c r="E602" s="49" t="s">
        <v>172</v>
      </c>
      <c r="F602" s="49">
        <v>2016</v>
      </c>
      <c r="G602" s="50">
        <v>42936.583333333336</v>
      </c>
      <c r="H602" s="50">
        <v>42949.75</v>
      </c>
      <c r="I602" s="54">
        <v>42936</v>
      </c>
      <c r="J602" s="54">
        <v>42949</v>
      </c>
      <c r="K602" s="51" t="s">
        <v>527</v>
      </c>
      <c r="L602" s="51">
        <v>0.75</v>
      </c>
      <c r="M602" s="51" t="s">
        <v>542</v>
      </c>
      <c r="N602" s="51" t="s">
        <v>533</v>
      </c>
      <c r="O602" s="51" t="s">
        <v>543</v>
      </c>
      <c r="P602" s="49" t="s">
        <v>23</v>
      </c>
      <c r="Q602" s="49" t="s">
        <v>31</v>
      </c>
      <c r="R602" s="49" t="s">
        <v>113</v>
      </c>
      <c r="S602" s="49">
        <v>2</v>
      </c>
      <c r="T602" s="49">
        <v>10</v>
      </c>
      <c r="U602" s="63">
        <v>52</v>
      </c>
      <c r="V602" s="63">
        <v>520</v>
      </c>
    </row>
    <row r="603" spans="1:22" x14ac:dyDescent="0.25">
      <c r="A603" s="49" t="s">
        <v>375</v>
      </c>
      <c r="B603" s="49" t="s">
        <v>19</v>
      </c>
      <c r="C603" s="49" t="s">
        <v>176</v>
      </c>
      <c r="D603" s="49" t="s">
        <v>89</v>
      </c>
      <c r="E603" s="49" t="s">
        <v>169</v>
      </c>
      <c r="F603" s="49">
        <v>2016</v>
      </c>
      <c r="G603" s="50">
        <v>42938.333333333336</v>
      </c>
      <c r="H603" s="50">
        <v>42951.5</v>
      </c>
      <c r="I603" s="54">
        <v>42938</v>
      </c>
      <c r="J603" s="54">
        <v>42951</v>
      </c>
      <c r="K603" s="51" t="s">
        <v>522</v>
      </c>
      <c r="L603" s="51">
        <v>0.5</v>
      </c>
      <c r="M603" s="51" t="s">
        <v>539</v>
      </c>
      <c r="N603" s="51" t="s">
        <v>533</v>
      </c>
      <c r="O603" s="51" t="s">
        <v>543</v>
      </c>
      <c r="P603" s="49" t="s">
        <v>23</v>
      </c>
      <c r="Q603" s="49" t="s">
        <v>21</v>
      </c>
      <c r="R603" s="49" t="s">
        <v>113</v>
      </c>
      <c r="S603" s="49">
        <v>4</v>
      </c>
      <c r="T603" s="49">
        <v>12</v>
      </c>
      <c r="U603" s="63">
        <v>62</v>
      </c>
      <c r="V603" s="63">
        <v>744</v>
      </c>
    </row>
    <row r="604" spans="1:22" x14ac:dyDescent="0.25">
      <c r="A604" s="49" t="s">
        <v>376</v>
      </c>
      <c r="B604" s="49" t="s">
        <v>22</v>
      </c>
      <c r="C604" s="49" t="s">
        <v>176</v>
      </c>
      <c r="D604" s="49" t="s">
        <v>78</v>
      </c>
      <c r="E604" s="49" t="s">
        <v>172</v>
      </c>
      <c r="F604" s="49">
        <v>2016</v>
      </c>
      <c r="G604" s="50">
        <v>42941.791666666664</v>
      </c>
      <c r="H604" s="50">
        <v>42952.958333333336</v>
      </c>
      <c r="I604" s="54">
        <v>42941</v>
      </c>
      <c r="J604" s="54">
        <v>42952</v>
      </c>
      <c r="K604" s="51" t="s">
        <v>526</v>
      </c>
      <c r="L604" s="51">
        <v>0.95833333333333337</v>
      </c>
      <c r="M604" s="51" t="s">
        <v>541</v>
      </c>
      <c r="N604" s="51" t="s">
        <v>533</v>
      </c>
      <c r="O604" s="51" t="s">
        <v>543</v>
      </c>
      <c r="P604" s="49" t="s">
        <v>9</v>
      </c>
      <c r="Q604" s="49" t="s">
        <v>35</v>
      </c>
      <c r="R604" s="49" t="s">
        <v>109</v>
      </c>
      <c r="S604" s="49">
        <v>3</v>
      </c>
      <c r="T604" s="49">
        <v>9</v>
      </c>
      <c r="U604" s="63">
        <v>62</v>
      </c>
      <c r="V604" s="63">
        <v>558</v>
      </c>
    </row>
    <row r="605" spans="1:22" x14ac:dyDescent="0.25">
      <c r="A605" s="49" t="s">
        <v>377</v>
      </c>
      <c r="B605" s="49" t="s">
        <v>22</v>
      </c>
      <c r="C605" s="49" t="s">
        <v>176</v>
      </c>
      <c r="D605" s="49" t="s">
        <v>79</v>
      </c>
      <c r="E605" s="49" t="s">
        <v>168</v>
      </c>
      <c r="F605" s="49">
        <v>2016</v>
      </c>
      <c r="G605" s="50">
        <v>42941.791666666664</v>
      </c>
      <c r="H605" s="50">
        <v>42952.958333333336</v>
      </c>
      <c r="I605" s="54">
        <v>42941</v>
      </c>
      <c r="J605" s="54">
        <v>42952</v>
      </c>
      <c r="K605" s="51" t="s">
        <v>526</v>
      </c>
      <c r="L605" s="51">
        <v>0.95833333333333337</v>
      </c>
      <c r="M605" s="51" t="s">
        <v>541</v>
      </c>
      <c r="N605" s="51" t="s">
        <v>533</v>
      </c>
      <c r="O605" s="51" t="s">
        <v>543</v>
      </c>
      <c r="P605" s="49" t="s">
        <v>23</v>
      </c>
      <c r="Q605" s="49" t="s">
        <v>190</v>
      </c>
      <c r="R605" s="49" t="s">
        <v>109</v>
      </c>
      <c r="S605" s="49">
        <v>4</v>
      </c>
      <c r="T605" s="49">
        <v>12</v>
      </c>
      <c r="U605" s="63">
        <v>48</v>
      </c>
      <c r="V605" s="63">
        <v>576</v>
      </c>
    </row>
    <row r="606" spans="1:22" x14ac:dyDescent="0.25">
      <c r="A606" s="49" t="s">
        <v>378</v>
      </c>
      <c r="B606" s="49" t="s">
        <v>19</v>
      </c>
      <c r="C606" s="49" t="s">
        <v>176</v>
      </c>
      <c r="D606" s="49" t="s">
        <v>83</v>
      </c>
      <c r="E606" s="49" t="s">
        <v>174</v>
      </c>
      <c r="F606" s="49">
        <v>2016</v>
      </c>
      <c r="G606" s="50">
        <v>42942.791666666664</v>
      </c>
      <c r="H606" s="50">
        <v>42955.958333333336</v>
      </c>
      <c r="I606" s="54">
        <v>42942</v>
      </c>
      <c r="J606" s="54">
        <v>42955</v>
      </c>
      <c r="K606" s="51" t="s">
        <v>526</v>
      </c>
      <c r="L606" s="51">
        <v>0.95833333333333337</v>
      </c>
      <c r="M606" s="51" t="s">
        <v>541</v>
      </c>
      <c r="N606" s="51" t="s">
        <v>533</v>
      </c>
      <c r="O606" s="51" t="s">
        <v>543</v>
      </c>
      <c r="P606" s="49" t="s">
        <v>9</v>
      </c>
      <c r="Q606" s="49" t="s">
        <v>16</v>
      </c>
      <c r="R606" s="49" t="s">
        <v>109</v>
      </c>
      <c r="S606" s="49">
        <v>4</v>
      </c>
      <c r="T606" s="49">
        <v>8</v>
      </c>
      <c r="U606" s="63">
        <v>63</v>
      </c>
      <c r="V606" s="63">
        <v>504</v>
      </c>
    </row>
    <row r="607" spans="1:22" x14ac:dyDescent="0.25">
      <c r="A607" s="49" t="s">
        <v>379</v>
      </c>
      <c r="B607" s="49" t="s">
        <v>39</v>
      </c>
      <c r="C607" s="49" t="s">
        <v>177</v>
      </c>
      <c r="D607" s="49" t="s">
        <v>84</v>
      </c>
      <c r="E607" s="49" t="s">
        <v>172</v>
      </c>
      <c r="F607" s="49">
        <v>2016</v>
      </c>
      <c r="G607" s="50">
        <v>42943.583333333336</v>
      </c>
      <c r="H607" s="50">
        <v>42956.75</v>
      </c>
      <c r="I607" s="54">
        <v>42943</v>
      </c>
      <c r="J607" s="54">
        <v>42956</v>
      </c>
      <c r="K607" s="51" t="s">
        <v>527</v>
      </c>
      <c r="L607" s="51">
        <v>0.75</v>
      </c>
      <c r="M607" s="51" t="s">
        <v>542</v>
      </c>
      <c r="N607" s="51" t="s">
        <v>533</v>
      </c>
      <c r="O607" s="51" t="s">
        <v>543</v>
      </c>
      <c r="P607" s="49" t="s">
        <v>23</v>
      </c>
      <c r="Q607" s="49" t="s">
        <v>18</v>
      </c>
      <c r="R607" s="49" t="s">
        <v>113</v>
      </c>
      <c r="S607" s="49">
        <v>5</v>
      </c>
      <c r="T607" s="49">
        <v>11</v>
      </c>
      <c r="U607" s="63">
        <v>52</v>
      </c>
      <c r="V607" s="63">
        <v>572</v>
      </c>
    </row>
    <row r="608" spans="1:22" x14ac:dyDescent="0.25">
      <c r="A608" s="49" t="s">
        <v>380</v>
      </c>
      <c r="B608" s="49" t="s">
        <v>45</v>
      </c>
      <c r="C608" s="49" t="s">
        <v>177</v>
      </c>
      <c r="D608" s="49" t="s">
        <v>89</v>
      </c>
      <c r="E608" s="49" t="s">
        <v>169</v>
      </c>
      <c r="F608" s="49">
        <v>2016</v>
      </c>
      <c r="G608" s="50">
        <v>42944.375</v>
      </c>
      <c r="H608" s="50">
        <v>42950.75</v>
      </c>
      <c r="I608" s="54">
        <v>42944</v>
      </c>
      <c r="J608" s="54">
        <v>42950</v>
      </c>
      <c r="K608" s="51" t="s">
        <v>525</v>
      </c>
      <c r="L608" s="51">
        <v>0.75</v>
      </c>
      <c r="M608" s="51" t="s">
        <v>540</v>
      </c>
      <c r="N608" s="51" t="s">
        <v>533</v>
      </c>
      <c r="O608" s="51" t="s">
        <v>543</v>
      </c>
      <c r="P608" s="49" t="s">
        <v>23</v>
      </c>
      <c r="Q608" s="49" t="s">
        <v>38</v>
      </c>
      <c r="R608" s="49" t="s">
        <v>113</v>
      </c>
      <c r="S608" s="49">
        <v>4</v>
      </c>
      <c r="T608" s="49">
        <v>9</v>
      </c>
      <c r="U608" s="63">
        <v>62</v>
      </c>
      <c r="V608" s="63">
        <v>558</v>
      </c>
    </row>
    <row r="609" spans="1:22" x14ac:dyDescent="0.25">
      <c r="A609" s="49" t="s">
        <v>381</v>
      </c>
      <c r="B609" s="49" t="s">
        <v>7</v>
      </c>
      <c r="C609" s="49" t="s">
        <v>175</v>
      </c>
      <c r="D609" s="49" t="s">
        <v>82</v>
      </c>
      <c r="E609" s="49" t="s">
        <v>172</v>
      </c>
      <c r="F609" s="49">
        <v>2016</v>
      </c>
      <c r="G609" s="50">
        <v>42945.333333333336</v>
      </c>
      <c r="H609" s="50">
        <v>42958.5</v>
      </c>
      <c r="I609" s="54">
        <v>42945</v>
      </c>
      <c r="J609" s="54">
        <v>42958</v>
      </c>
      <c r="K609" s="51" t="s">
        <v>522</v>
      </c>
      <c r="L609" s="51">
        <v>0.5</v>
      </c>
      <c r="M609" s="51" t="s">
        <v>539</v>
      </c>
      <c r="N609" s="51" t="s">
        <v>533</v>
      </c>
      <c r="O609" s="51" t="s">
        <v>543</v>
      </c>
      <c r="P609" s="49" t="s">
        <v>9</v>
      </c>
      <c r="Q609" s="49" t="s">
        <v>16</v>
      </c>
      <c r="R609" s="49" t="s">
        <v>109</v>
      </c>
      <c r="S609" s="49">
        <v>3</v>
      </c>
      <c r="T609" s="49">
        <v>12</v>
      </c>
      <c r="U609" s="63">
        <v>75</v>
      </c>
      <c r="V609" s="63">
        <v>900</v>
      </c>
    </row>
    <row r="610" spans="1:22" x14ac:dyDescent="0.25">
      <c r="A610" s="49" t="s">
        <v>382</v>
      </c>
      <c r="B610" s="49" t="s">
        <v>14</v>
      </c>
      <c r="C610" s="49" t="s">
        <v>175</v>
      </c>
      <c r="D610" s="49" t="s">
        <v>80</v>
      </c>
      <c r="E610" s="49" t="s">
        <v>173</v>
      </c>
      <c r="F610" s="49">
        <v>2016</v>
      </c>
      <c r="G610" s="50">
        <v>42946.375</v>
      </c>
      <c r="H610" s="50">
        <v>42951.75</v>
      </c>
      <c r="I610" s="54">
        <v>42946</v>
      </c>
      <c r="J610" s="54">
        <v>42951</v>
      </c>
      <c r="K610" s="51" t="s">
        <v>525</v>
      </c>
      <c r="L610" s="51">
        <v>0.75</v>
      </c>
      <c r="M610" s="51" t="s">
        <v>540</v>
      </c>
      <c r="N610" s="51" t="s">
        <v>533</v>
      </c>
      <c r="O610" s="51" t="s">
        <v>543</v>
      </c>
      <c r="P610" s="49" t="s">
        <v>23</v>
      </c>
      <c r="Q610" s="49" t="s">
        <v>16</v>
      </c>
      <c r="R610" s="49" t="s">
        <v>109</v>
      </c>
      <c r="S610" s="49">
        <v>5</v>
      </c>
      <c r="T610" s="49">
        <v>11</v>
      </c>
      <c r="U610" s="63">
        <v>32</v>
      </c>
      <c r="V610" s="63">
        <v>352</v>
      </c>
    </row>
    <row r="611" spans="1:22" x14ac:dyDescent="0.25">
      <c r="A611" s="49" t="s">
        <v>383</v>
      </c>
      <c r="B611" s="49" t="s">
        <v>45</v>
      </c>
      <c r="C611" s="49" t="s">
        <v>177</v>
      </c>
      <c r="D611" s="49" t="s">
        <v>86</v>
      </c>
      <c r="E611" s="49" t="s">
        <v>169</v>
      </c>
      <c r="F611" s="49">
        <v>2016</v>
      </c>
      <c r="G611" s="50">
        <v>42948.791666666664</v>
      </c>
      <c r="H611" s="50">
        <v>42962.958333333336</v>
      </c>
      <c r="I611" s="54">
        <v>42948</v>
      </c>
      <c r="J611" s="54">
        <v>42962</v>
      </c>
      <c r="K611" s="51" t="s">
        <v>526</v>
      </c>
      <c r="L611" s="51">
        <v>0.95833333333333337</v>
      </c>
      <c r="M611" s="51" t="s">
        <v>541</v>
      </c>
      <c r="N611" s="51" t="s">
        <v>534</v>
      </c>
      <c r="O611" s="51" t="s">
        <v>543</v>
      </c>
      <c r="P611" s="49" t="s">
        <v>9</v>
      </c>
      <c r="Q611" s="49" t="s">
        <v>26</v>
      </c>
      <c r="R611" s="49" t="s">
        <v>113</v>
      </c>
      <c r="S611" s="49">
        <v>4</v>
      </c>
      <c r="T611" s="49">
        <v>9</v>
      </c>
      <c r="U611" s="63">
        <v>48</v>
      </c>
      <c r="V611" s="63">
        <v>432</v>
      </c>
    </row>
    <row r="612" spans="1:22" x14ac:dyDescent="0.25">
      <c r="A612" s="49" t="s">
        <v>384</v>
      </c>
      <c r="B612" s="49" t="s">
        <v>39</v>
      </c>
      <c r="C612" s="49" t="s">
        <v>177</v>
      </c>
      <c r="D612" s="49" t="s">
        <v>89</v>
      </c>
      <c r="E612" s="49" t="s">
        <v>169</v>
      </c>
      <c r="F612" s="49">
        <v>2016</v>
      </c>
      <c r="G612" s="50">
        <v>42948.791666666664</v>
      </c>
      <c r="H612" s="50">
        <v>42962.958333333336</v>
      </c>
      <c r="I612" s="54">
        <v>42948</v>
      </c>
      <c r="J612" s="54">
        <v>42962</v>
      </c>
      <c r="K612" s="51" t="s">
        <v>526</v>
      </c>
      <c r="L612" s="51">
        <v>0.95833333333333337</v>
      </c>
      <c r="M612" s="51" t="s">
        <v>541</v>
      </c>
      <c r="N612" s="51" t="s">
        <v>534</v>
      </c>
      <c r="O612" s="51" t="s">
        <v>543</v>
      </c>
      <c r="P612" s="49" t="s">
        <v>23</v>
      </c>
      <c r="Q612" s="49" t="s">
        <v>41</v>
      </c>
      <c r="R612" s="49" t="s">
        <v>113</v>
      </c>
      <c r="S612" s="49">
        <v>3</v>
      </c>
      <c r="T612" s="49">
        <v>12</v>
      </c>
      <c r="U612" s="63">
        <v>62</v>
      </c>
      <c r="V612" s="63">
        <v>744</v>
      </c>
    </row>
    <row r="613" spans="1:22" x14ac:dyDescent="0.25">
      <c r="A613" s="49" t="s">
        <v>385</v>
      </c>
      <c r="B613" s="49" t="s">
        <v>39</v>
      </c>
      <c r="C613" s="49" t="s">
        <v>177</v>
      </c>
      <c r="D613" s="49" t="s">
        <v>84</v>
      </c>
      <c r="E613" s="49" t="s">
        <v>172</v>
      </c>
      <c r="F613" s="49">
        <v>2016</v>
      </c>
      <c r="G613" s="50">
        <v>42949.791666666664</v>
      </c>
      <c r="H613" s="50">
        <v>42963.958333333336</v>
      </c>
      <c r="I613" s="54">
        <v>42949</v>
      </c>
      <c r="J613" s="54">
        <v>42963</v>
      </c>
      <c r="K613" s="51" t="s">
        <v>526</v>
      </c>
      <c r="L613" s="51">
        <v>0.95833333333333337</v>
      </c>
      <c r="M613" s="51" t="s">
        <v>541</v>
      </c>
      <c r="N613" s="51" t="s">
        <v>534</v>
      </c>
      <c r="O613" s="51" t="s">
        <v>543</v>
      </c>
      <c r="P613" s="49" t="s">
        <v>9</v>
      </c>
      <c r="Q613" s="49" t="s">
        <v>22</v>
      </c>
      <c r="R613" s="49" t="s">
        <v>109</v>
      </c>
      <c r="S613" s="49">
        <v>2</v>
      </c>
      <c r="T613" s="49">
        <v>10</v>
      </c>
      <c r="U613" s="63">
        <v>52</v>
      </c>
      <c r="V613" s="63">
        <v>520</v>
      </c>
    </row>
    <row r="614" spans="1:22" x14ac:dyDescent="0.25">
      <c r="A614" s="49" t="s">
        <v>386</v>
      </c>
      <c r="B614" s="49" t="s">
        <v>7</v>
      </c>
      <c r="C614" s="49" t="s">
        <v>175</v>
      </c>
      <c r="D614" s="49" t="s">
        <v>85</v>
      </c>
      <c r="E614" s="49" t="s">
        <v>170</v>
      </c>
      <c r="F614" s="49">
        <v>2016</v>
      </c>
      <c r="G614" s="50">
        <v>42950.583333333336</v>
      </c>
      <c r="H614" s="50">
        <v>42964.75</v>
      </c>
      <c r="I614" s="54">
        <v>42950</v>
      </c>
      <c r="J614" s="54">
        <v>42964</v>
      </c>
      <c r="K614" s="51" t="s">
        <v>527</v>
      </c>
      <c r="L614" s="51">
        <v>0.75</v>
      </c>
      <c r="M614" s="51" t="s">
        <v>542</v>
      </c>
      <c r="N614" s="51" t="s">
        <v>534</v>
      </c>
      <c r="O614" s="51" t="s">
        <v>543</v>
      </c>
      <c r="P614" s="49" t="s">
        <v>23</v>
      </c>
      <c r="Q614" s="49" t="s">
        <v>38</v>
      </c>
      <c r="R614" s="49" t="s">
        <v>113</v>
      </c>
      <c r="S614" s="49">
        <v>2</v>
      </c>
      <c r="T614" s="49">
        <v>10</v>
      </c>
      <c r="U614" s="63">
        <v>48</v>
      </c>
      <c r="V614" s="63">
        <v>480</v>
      </c>
    </row>
    <row r="615" spans="1:22" x14ac:dyDescent="0.25">
      <c r="A615" s="49" t="s">
        <v>387</v>
      </c>
      <c r="B615" s="49" t="s">
        <v>39</v>
      </c>
      <c r="C615" s="49" t="s">
        <v>177</v>
      </c>
      <c r="D615" s="49" t="s">
        <v>81</v>
      </c>
      <c r="E615" s="49" t="s">
        <v>172</v>
      </c>
      <c r="F615" s="49">
        <v>2016</v>
      </c>
      <c r="G615" s="50">
        <v>42951.375</v>
      </c>
      <c r="H615" s="50">
        <v>42957.75</v>
      </c>
      <c r="I615" s="54">
        <v>42951</v>
      </c>
      <c r="J615" s="54">
        <v>42957</v>
      </c>
      <c r="K615" s="51" t="s">
        <v>525</v>
      </c>
      <c r="L615" s="51">
        <v>0.75</v>
      </c>
      <c r="M615" s="51" t="s">
        <v>540</v>
      </c>
      <c r="N615" s="51" t="s">
        <v>534</v>
      </c>
      <c r="O615" s="51" t="s">
        <v>543</v>
      </c>
      <c r="P615" s="49" t="s">
        <v>9</v>
      </c>
      <c r="Q615" s="49" t="s">
        <v>190</v>
      </c>
      <c r="R615" s="49" t="s">
        <v>109</v>
      </c>
      <c r="S615" s="49">
        <v>5</v>
      </c>
      <c r="T615" s="49">
        <v>9</v>
      </c>
      <c r="U615" s="63">
        <v>43</v>
      </c>
      <c r="V615" s="63">
        <v>387</v>
      </c>
    </row>
    <row r="616" spans="1:22" x14ac:dyDescent="0.25">
      <c r="A616" s="49" t="s">
        <v>388</v>
      </c>
      <c r="B616" s="49" t="s">
        <v>19</v>
      </c>
      <c r="C616" s="49" t="s">
        <v>176</v>
      </c>
      <c r="D616" s="49" t="s">
        <v>77</v>
      </c>
      <c r="E616" s="49" t="s">
        <v>172</v>
      </c>
      <c r="F616" s="49">
        <v>2016</v>
      </c>
      <c r="G616" s="50">
        <v>42952.333333333336</v>
      </c>
      <c r="H616" s="50">
        <v>42969.5</v>
      </c>
      <c r="I616" s="54">
        <v>42952</v>
      </c>
      <c r="J616" s="54">
        <v>42969</v>
      </c>
      <c r="K616" s="51" t="s">
        <v>522</v>
      </c>
      <c r="L616" s="51">
        <v>0.5</v>
      </c>
      <c r="M616" s="51" t="s">
        <v>539</v>
      </c>
      <c r="N616" s="51" t="s">
        <v>534</v>
      </c>
      <c r="O616" s="51" t="s">
        <v>543</v>
      </c>
      <c r="P616" s="49" t="s">
        <v>9</v>
      </c>
      <c r="Q616" s="49" t="s">
        <v>12</v>
      </c>
      <c r="R616" s="49" t="s">
        <v>113</v>
      </c>
      <c r="S616" s="49">
        <v>3</v>
      </c>
      <c r="T616" s="49">
        <v>12</v>
      </c>
      <c r="U616" s="63">
        <v>35</v>
      </c>
      <c r="V616" s="63">
        <v>420</v>
      </c>
    </row>
    <row r="617" spans="1:22" x14ac:dyDescent="0.25">
      <c r="A617" s="49" t="s">
        <v>389</v>
      </c>
      <c r="B617" s="49" t="s">
        <v>11</v>
      </c>
      <c r="C617" s="49" t="s">
        <v>175</v>
      </c>
      <c r="D617" s="49" t="s">
        <v>76</v>
      </c>
      <c r="E617" s="49" t="s">
        <v>174</v>
      </c>
      <c r="F617" s="49">
        <v>2016</v>
      </c>
      <c r="G617" s="50">
        <v>42953.375</v>
      </c>
      <c r="H617" s="50">
        <v>42958.75</v>
      </c>
      <c r="I617" s="54">
        <v>42953</v>
      </c>
      <c r="J617" s="54">
        <v>42958</v>
      </c>
      <c r="K617" s="51" t="s">
        <v>525</v>
      </c>
      <c r="L617" s="51">
        <v>0.75</v>
      </c>
      <c r="M617" s="51" t="s">
        <v>540</v>
      </c>
      <c r="N617" s="51" t="s">
        <v>534</v>
      </c>
      <c r="O617" s="51" t="s">
        <v>543</v>
      </c>
      <c r="P617" s="49" t="s">
        <v>23</v>
      </c>
      <c r="Q617" s="49" t="s">
        <v>18</v>
      </c>
      <c r="R617" s="49" t="s">
        <v>113</v>
      </c>
      <c r="S617" s="49">
        <v>4</v>
      </c>
      <c r="T617" s="49">
        <v>9</v>
      </c>
      <c r="U617" s="63">
        <v>53</v>
      </c>
      <c r="V617" s="63">
        <v>477</v>
      </c>
    </row>
    <row r="618" spans="1:22" x14ac:dyDescent="0.25">
      <c r="A618" s="49" t="s">
        <v>390</v>
      </c>
      <c r="B618" s="49" t="s">
        <v>11</v>
      </c>
      <c r="C618" s="49" t="s">
        <v>175</v>
      </c>
      <c r="D618" s="49" t="s">
        <v>79</v>
      </c>
      <c r="E618" s="49" t="s">
        <v>168</v>
      </c>
      <c r="F618" s="49">
        <v>2016</v>
      </c>
      <c r="G618" s="50">
        <v>42955.791666666664</v>
      </c>
      <c r="H618" s="50">
        <v>42970.958333333336</v>
      </c>
      <c r="I618" s="54">
        <v>42955</v>
      </c>
      <c r="J618" s="54">
        <v>42970</v>
      </c>
      <c r="K618" s="51" t="s">
        <v>526</v>
      </c>
      <c r="L618" s="51">
        <v>0.95833333333333337</v>
      </c>
      <c r="M618" s="51" t="s">
        <v>541</v>
      </c>
      <c r="N618" s="51" t="s">
        <v>534</v>
      </c>
      <c r="O618" s="51" t="s">
        <v>543</v>
      </c>
      <c r="P618" s="49" t="s">
        <v>23</v>
      </c>
      <c r="Q618" s="49" t="s">
        <v>35</v>
      </c>
      <c r="R618" s="49" t="s">
        <v>109</v>
      </c>
      <c r="S618" s="49">
        <v>5</v>
      </c>
      <c r="T618" s="49">
        <v>8</v>
      </c>
      <c r="U618" s="63">
        <v>48</v>
      </c>
      <c r="V618" s="63">
        <v>384</v>
      </c>
    </row>
    <row r="619" spans="1:22" x14ac:dyDescent="0.25">
      <c r="A619" s="49" t="s">
        <v>391</v>
      </c>
      <c r="B619" s="49" t="s">
        <v>39</v>
      </c>
      <c r="C619" s="49" t="s">
        <v>177</v>
      </c>
      <c r="D619" s="49" t="s">
        <v>78</v>
      </c>
      <c r="E619" s="49" t="s">
        <v>172</v>
      </c>
      <c r="F619" s="49">
        <v>2016</v>
      </c>
      <c r="G619" s="50">
        <v>42955.791666666664</v>
      </c>
      <c r="H619" s="50">
        <v>42970.958333333336</v>
      </c>
      <c r="I619" s="54">
        <v>42955</v>
      </c>
      <c r="J619" s="54">
        <v>42970</v>
      </c>
      <c r="K619" s="51" t="s">
        <v>526</v>
      </c>
      <c r="L619" s="51">
        <v>0.95833333333333337</v>
      </c>
      <c r="M619" s="51" t="s">
        <v>541</v>
      </c>
      <c r="N619" s="51" t="s">
        <v>534</v>
      </c>
      <c r="O619" s="51" t="s">
        <v>543</v>
      </c>
      <c r="P619" s="49" t="s">
        <v>9</v>
      </c>
      <c r="Q619" s="49" t="s">
        <v>38</v>
      </c>
      <c r="R619" s="49" t="s">
        <v>113</v>
      </c>
      <c r="S619" s="49">
        <v>4</v>
      </c>
      <c r="T619" s="49">
        <v>8</v>
      </c>
      <c r="U619" s="63">
        <v>62</v>
      </c>
      <c r="V619" s="63">
        <v>496</v>
      </c>
    </row>
    <row r="620" spans="1:22" x14ac:dyDescent="0.25">
      <c r="A620" s="49" t="s">
        <v>392</v>
      </c>
      <c r="B620" s="49" t="s">
        <v>39</v>
      </c>
      <c r="C620" s="49" t="s">
        <v>177</v>
      </c>
      <c r="D620" s="49" t="s">
        <v>84</v>
      </c>
      <c r="E620" s="49" t="s">
        <v>172</v>
      </c>
      <c r="F620" s="49">
        <v>2016</v>
      </c>
      <c r="G620" s="50">
        <v>42956.791666666664</v>
      </c>
      <c r="H620" s="50">
        <v>42971.958333333336</v>
      </c>
      <c r="I620" s="54">
        <v>42956</v>
      </c>
      <c r="J620" s="54">
        <v>42971</v>
      </c>
      <c r="K620" s="51" t="s">
        <v>526</v>
      </c>
      <c r="L620" s="51">
        <v>0.95833333333333337</v>
      </c>
      <c r="M620" s="51" t="s">
        <v>541</v>
      </c>
      <c r="N620" s="51" t="s">
        <v>534</v>
      </c>
      <c r="O620" s="51" t="s">
        <v>543</v>
      </c>
      <c r="P620" s="49" t="s">
        <v>23</v>
      </c>
      <c r="Q620" s="49" t="s">
        <v>190</v>
      </c>
      <c r="R620" s="49" t="s">
        <v>109</v>
      </c>
      <c r="S620" s="49">
        <v>4</v>
      </c>
      <c r="T620" s="49">
        <v>8</v>
      </c>
      <c r="U620" s="63">
        <v>52</v>
      </c>
      <c r="V620" s="63">
        <v>416</v>
      </c>
    </row>
    <row r="621" spans="1:22" x14ac:dyDescent="0.25">
      <c r="A621" s="49" t="s">
        <v>393</v>
      </c>
      <c r="B621" s="49" t="s">
        <v>17</v>
      </c>
      <c r="C621" s="49" t="s">
        <v>176</v>
      </c>
      <c r="D621" s="49" t="s">
        <v>80</v>
      </c>
      <c r="E621" s="49" t="s">
        <v>173</v>
      </c>
      <c r="F621" s="49">
        <v>2016</v>
      </c>
      <c r="G621" s="50">
        <v>42957.583333333336</v>
      </c>
      <c r="H621" s="50">
        <v>42972.75</v>
      </c>
      <c r="I621" s="54">
        <v>42957</v>
      </c>
      <c r="J621" s="54">
        <v>42972</v>
      </c>
      <c r="K621" s="51" t="s">
        <v>527</v>
      </c>
      <c r="L621" s="51">
        <v>0.75</v>
      </c>
      <c r="M621" s="51" t="s">
        <v>542</v>
      </c>
      <c r="N621" s="51" t="s">
        <v>534</v>
      </c>
      <c r="O621" s="51" t="s">
        <v>543</v>
      </c>
      <c r="P621" s="49" t="s">
        <v>23</v>
      </c>
      <c r="Q621" s="49" t="s">
        <v>37</v>
      </c>
      <c r="R621" s="49" t="s">
        <v>113</v>
      </c>
      <c r="S621" s="49">
        <v>5</v>
      </c>
      <c r="T621" s="49">
        <v>12</v>
      </c>
      <c r="U621" s="63">
        <v>32</v>
      </c>
      <c r="V621" s="63">
        <v>384</v>
      </c>
    </row>
    <row r="622" spans="1:22" x14ac:dyDescent="0.25">
      <c r="A622" s="49" t="s">
        <v>394</v>
      </c>
      <c r="B622" s="49" t="s">
        <v>11</v>
      </c>
      <c r="C622" s="49" t="s">
        <v>175</v>
      </c>
      <c r="D622" s="49" t="s">
        <v>78</v>
      </c>
      <c r="E622" s="49" t="s">
        <v>172</v>
      </c>
      <c r="F622" s="49">
        <v>2016</v>
      </c>
      <c r="G622" s="50">
        <v>42958.375</v>
      </c>
      <c r="H622" s="50">
        <v>42965.75</v>
      </c>
      <c r="I622" s="54">
        <v>42958</v>
      </c>
      <c r="J622" s="54">
        <v>42965</v>
      </c>
      <c r="K622" s="51" t="s">
        <v>525</v>
      </c>
      <c r="L622" s="51">
        <v>0.75</v>
      </c>
      <c r="M622" s="51" t="s">
        <v>540</v>
      </c>
      <c r="N622" s="51" t="s">
        <v>534</v>
      </c>
      <c r="O622" s="51" t="s">
        <v>543</v>
      </c>
      <c r="P622" s="49" t="s">
        <v>23</v>
      </c>
      <c r="Q622" s="49" t="s">
        <v>44</v>
      </c>
      <c r="R622" s="49" t="s">
        <v>113</v>
      </c>
      <c r="S622" s="49">
        <v>2</v>
      </c>
      <c r="T622" s="49">
        <v>8</v>
      </c>
      <c r="U622" s="63">
        <v>62</v>
      </c>
      <c r="V622" s="63">
        <v>496</v>
      </c>
    </row>
    <row r="623" spans="1:22" x14ac:dyDescent="0.25">
      <c r="A623" s="49" t="s">
        <v>395</v>
      </c>
      <c r="B623" s="49" t="s">
        <v>7</v>
      </c>
      <c r="C623" s="49" t="s">
        <v>175</v>
      </c>
      <c r="D623" s="49" t="s">
        <v>77</v>
      </c>
      <c r="E623" s="49" t="s">
        <v>172</v>
      </c>
      <c r="F623" s="49">
        <v>2016</v>
      </c>
      <c r="G623" s="50">
        <v>42959.333333333336</v>
      </c>
      <c r="H623" s="50">
        <v>42973.5</v>
      </c>
      <c r="I623" s="54">
        <v>42959</v>
      </c>
      <c r="J623" s="54">
        <v>42973</v>
      </c>
      <c r="K623" s="51" t="s">
        <v>522</v>
      </c>
      <c r="L623" s="51">
        <v>0.5</v>
      </c>
      <c r="M623" s="51" t="s">
        <v>539</v>
      </c>
      <c r="N623" s="51" t="s">
        <v>534</v>
      </c>
      <c r="O623" s="51" t="s">
        <v>543</v>
      </c>
      <c r="P623" s="49" t="s">
        <v>9</v>
      </c>
      <c r="Q623" s="49" t="s">
        <v>22</v>
      </c>
      <c r="R623" s="49" t="s">
        <v>109</v>
      </c>
      <c r="S623" s="49">
        <v>4</v>
      </c>
      <c r="T623" s="49">
        <v>11</v>
      </c>
      <c r="U623" s="63">
        <v>35</v>
      </c>
      <c r="V623" s="63">
        <v>385</v>
      </c>
    </row>
    <row r="624" spans="1:22" x14ac:dyDescent="0.25">
      <c r="A624" s="49" t="s">
        <v>396</v>
      </c>
      <c r="B624" s="49" t="s">
        <v>14</v>
      </c>
      <c r="C624" s="49" t="s">
        <v>175</v>
      </c>
      <c r="D624" s="49" t="s">
        <v>78</v>
      </c>
      <c r="E624" s="49" t="s">
        <v>172</v>
      </c>
      <c r="F624" s="49">
        <v>2016</v>
      </c>
      <c r="G624" s="50">
        <v>42960.375</v>
      </c>
      <c r="H624" s="50">
        <v>42965.75</v>
      </c>
      <c r="I624" s="54">
        <v>42960</v>
      </c>
      <c r="J624" s="54">
        <v>42965</v>
      </c>
      <c r="K624" s="51" t="s">
        <v>525</v>
      </c>
      <c r="L624" s="51">
        <v>0.75</v>
      </c>
      <c r="M624" s="51" t="s">
        <v>540</v>
      </c>
      <c r="N624" s="51" t="s">
        <v>534</v>
      </c>
      <c r="O624" s="51" t="s">
        <v>543</v>
      </c>
      <c r="P624" s="49" t="s">
        <v>9</v>
      </c>
      <c r="Q624" s="49" t="s">
        <v>41</v>
      </c>
      <c r="R624" s="49" t="s">
        <v>113</v>
      </c>
      <c r="S624" s="49">
        <v>5</v>
      </c>
      <c r="T624" s="49">
        <v>12</v>
      </c>
      <c r="U624" s="63">
        <v>62</v>
      </c>
      <c r="V624" s="63">
        <v>744</v>
      </c>
    </row>
    <row r="625" spans="1:22" x14ac:dyDescent="0.25">
      <c r="A625" s="49" t="s">
        <v>397</v>
      </c>
      <c r="B625" s="49" t="s">
        <v>11</v>
      </c>
      <c r="C625" s="49" t="s">
        <v>175</v>
      </c>
      <c r="D625" s="49" t="s">
        <v>88</v>
      </c>
      <c r="E625" s="49" t="s">
        <v>170</v>
      </c>
      <c r="F625" s="49">
        <v>2016</v>
      </c>
      <c r="G625" s="50">
        <v>42962.791666666664</v>
      </c>
      <c r="H625" s="50">
        <v>42977.958333333336</v>
      </c>
      <c r="I625" s="54">
        <v>42962</v>
      </c>
      <c r="J625" s="54">
        <v>42977</v>
      </c>
      <c r="K625" s="51" t="s">
        <v>526</v>
      </c>
      <c r="L625" s="51">
        <v>0.95833333333333337</v>
      </c>
      <c r="M625" s="51" t="s">
        <v>541</v>
      </c>
      <c r="N625" s="51" t="s">
        <v>534</v>
      </c>
      <c r="O625" s="51" t="s">
        <v>543</v>
      </c>
      <c r="P625" s="49" t="s">
        <v>23</v>
      </c>
      <c r="Q625" s="49" t="s">
        <v>16</v>
      </c>
      <c r="R625" s="49" t="s">
        <v>109</v>
      </c>
      <c r="S625" s="49">
        <v>3</v>
      </c>
      <c r="T625" s="49">
        <v>11</v>
      </c>
      <c r="U625" s="63">
        <v>42</v>
      </c>
      <c r="V625" s="63">
        <v>462</v>
      </c>
    </row>
    <row r="626" spans="1:22" x14ac:dyDescent="0.25">
      <c r="A626" s="49" t="s">
        <v>398</v>
      </c>
      <c r="B626" s="49" t="s">
        <v>19</v>
      </c>
      <c r="C626" s="49" t="s">
        <v>176</v>
      </c>
      <c r="D626" s="49" t="s">
        <v>80</v>
      </c>
      <c r="E626" s="49" t="s">
        <v>173</v>
      </c>
      <c r="F626" s="49">
        <v>2016</v>
      </c>
      <c r="G626" s="50">
        <v>42962.791666666664</v>
      </c>
      <c r="H626" s="50">
        <v>42977.958333333336</v>
      </c>
      <c r="I626" s="54">
        <v>42962</v>
      </c>
      <c r="J626" s="54">
        <v>42977</v>
      </c>
      <c r="K626" s="51" t="s">
        <v>526</v>
      </c>
      <c r="L626" s="51">
        <v>0.95833333333333337</v>
      </c>
      <c r="M626" s="51" t="s">
        <v>541</v>
      </c>
      <c r="N626" s="51" t="s">
        <v>534</v>
      </c>
      <c r="O626" s="51" t="s">
        <v>543</v>
      </c>
      <c r="P626" s="49" t="s">
        <v>23</v>
      </c>
      <c r="Q626" s="49" t="s">
        <v>190</v>
      </c>
      <c r="R626" s="49" t="s">
        <v>109</v>
      </c>
      <c r="S626" s="49">
        <v>5</v>
      </c>
      <c r="T626" s="49">
        <v>12</v>
      </c>
      <c r="U626" s="63">
        <v>32</v>
      </c>
      <c r="V626" s="63">
        <v>384</v>
      </c>
    </row>
    <row r="627" spans="1:22" x14ac:dyDescent="0.25">
      <c r="A627" s="49" t="s">
        <v>399</v>
      </c>
      <c r="B627" s="49" t="s">
        <v>11</v>
      </c>
      <c r="C627" s="49" t="s">
        <v>175</v>
      </c>
      <c r="D627" s="49" t="s">
        <v>84</v>
      </c>
      <c r="E627" s="49" t="s">
        <v>172</v>
      </c>
      <c r="F627" s="49">
        <v>2016</v>
      </c>
      <c r="G627" s="50">
        <v>42963.791666666664</v>
      </c>
      <c r="H627" s="50">
        <v>42978.958333333336</v>
      </c>
      <c r="I627" s="54">
        <v>42963</v>
      </c>
      <c r="J627" s="54">
        <v>42978</v>
      </c>
      <c r="K627" s="51" t="s">
        <v>526</v>
      </c>
      <c r="L627" s="51">
        <v>0.95833333333333337</v>
      </c>
      <c r="M627" s="51" t="s">
        <v>541</v>
      </c>
      <c r="N627" s="51" t="s">
        <v>534</v>
      </c>
      <c r="O627" s="51" t="s">
        <v>543</v>
      </c>
      <c r="P627" s="49" t="s">
        <v>23</v>
      </c>
      <c r="Q627" s="49" t="s">
        <v>37</v>
      </c>
      <c r="R627" s="49" t="s">
        <v>113</v>
      </c>
      <c r="S627" s="49">
        <v>3</v>
      </c>
      <c r="T627" s="49">
        <v>12</v>
      </c>
      <c r="U627" s="63">
        <v>52</v>
      </c>
      <c r="V627" s="63">
        <v>624</v>
      </c>
    </row>
    <row r="628" spans="1:22" x14ac:dyDescent="0.25">
      <c r="A628" s="49" t="s">
        <v>400</v>
      </c>
      <c r="B628" s="49" t="s">
        <v>39</v>
      </c>
      <c r="C628" s="49" t="s">
        <v>177</v>
      </c>
      <c r="D628" s="49" t="s">
        <v>82</v>
      </c>
      <c r="E628" s="49" t="s">
        <v>172</v>
      </c>
      <c r="F628" s="49">
        <v>2016</v>
      </c>
      <c r="G628" s="50">
        <v>42964.583333333336</v>
      </c>
      <c r="H628" s="50">
        <v>42979.75</v>
      </c>
      <c r="I628" s="54">
        <v>42964</v>
      </c>
      <c r="J628" s="54">
        <v>42979</v>
      </c>
      <c r="K628" s="51" t="s">
        <v>527</v>
      </c>
      <c r="L628" s="51">
        <v>0.75</v>
      </c>
      <c r="M628" s="51" t="s">
        <v>542</v>
      </c>
      <c r="N628" s="51" t="s">
        <v>534</v>
      </c>
      <c r="O628" s="51" t="s">
        <v>543</v>
      </c>
      <c r="P628" s="49" t="s">
        <v>23</v>
      </c>
      <c r="Q628" s="49" t="s">
        <v>190</v>
      </c>
      <c r="R628" s="49" t="s">
        <v>109</v>
      </c>
      <c r="S628" s="49">
        <v>3</v>
      </c>
      <c r="T628" s="49">
        <v>11</v>
      </c>
      <c r="U628" s="63">
        <v>75</v>
      </c>
      <c r="V628" s="63">
        <v>825</v>
      </c>
    </row>
    <row r="629" spans="1:22" x14ac:dyDescent="0.25">
      <c r="A629" s="49" t="s">
        <v>401</v>
      </c>
      <c r="B629" s="49" t="s">
        <v>19</v>
      </c>
      <c r="C629" s="49" t="s">
        <v>176</v>
      </c>
      <c r="D629" s="49" t="s">
        <v>84</v>
      </c>
      <c r="E629" s="49" t="s">
        <v>172</v>
      </c>
      <c r="F629" s="49">
        <v>2016</v>
      </c>
      <c r="G629" s="50">
        <v>42965.375</v>
      </c>
      <c r="H629" s="50">
        <v>42972.75</v>
      </c>
      <c r="I629" s="54">
        <v>42965</v>
      </c>
      <c r="J629" s="54">
        <v>42972</v>
      </c>
      <c r="K629" s="51" t="s">
        <v>525</v>
      </c>
      <c r="L629" s="51">
        <v>0.75</v>
      </c>
      <c r="M629" s="51" t="s">
        <v>540</v>
      </c>
      <c r="N629" s="51" t="s">
        <v>534</v>
      </c>
      <c r="O629" s="51" t="s">
        <v>543</v>
      </c>
      <c r="P629" s="49" t="s">
        <v>9</v>
      </c>
      <c r="Q629" s="49" t="s">
        <v>190</v>
      </c>
      <c r="R629" s="49" t="s">
        <v>109</v>
      </c>
      <c r="S629" s="49">
        <v>2</v>
      </c>
      <c r="T629" s="49">
        <v>11</v>
      </c>
      <c r="U629" s="63">
        <v>52</v>
      </c>
      <c r="V629" s="63">
        <v>572</v>
      </c>
    </row>
    <row r="630" spans="1:22" x14ac:dyDescent="0.25">
      <c r="A630" s="49" t="s">
        <v>402</v>
      </c>
      <c r="B630" s="49" t="s">
        <v>11</v>
      </c>
      <c r="C630" s="49" t="s">
        <v>175</v>
      </c>
      <c r="D630" s="49" t="s">
        <v>88</v>
      </c>
      <c r="E630" s="49" t="s">
        <v>170</v>
      </c>
      <c r="F630" s="49">
        <v>2016</v>
      </c>
      <c r="G630" s="50">
        <v>42966.333333333336</v>
      </c>
      <c r="H630" s="50">
        <v>42980.5</v>
      </c>
      <c r="I630" s="54">
        <v>42966</v>
      </c>
      <c r="J630" s="54">
        <v>42980</v>
      </c>
      <c r="K630" s="51" t="s">
        <v>522</v>
      </c>
      <c r="L630" s="51">
        <v>0.5</v>
      </c>
      <c r="M630" s="51" t="s">
        <v>539</v>
      </c>
      <c r="N630" s="51" t="s">
        <v>534</v>
      </c>
      <c r="O630" s="51" t="s">
        <v>543</v>
      </c>
      <c r="P630" s="49" t="s">
        <v>23</v>
      </c>
      <c r="Q630" s="49" t="s">
        <v>16</v>
      </c>
      <c r="R630" s="49" t="s">
        <v>109</v>
      </c>
      <c r="S630" s="49">
        <v>3</v>
      </c>
      <c r="T630" s="49">
        <v>11</v>
      </c>
      <c r="U630" s="63">
        <v>42</v>
      </c>
      <c r="V630" s="63">
        <v>462</v>
      </c>
    </row>
    <row r="631" spans="1:22" x14ac:dyDescent="0.25">
      <c r="A631" s="49" t="s">
        <v>403</v>
      </c>
      <c r="B631" s="49" t="s">
        <v>7</v>
      </c>
      <c r="C631" s="49" t="s">
        <v>175</v>
      </c>
      <c r="D631" s="49" t="s">
        <v>76</v>
      </c>
      <c r="E631" s="49" t="s">
        <v>174</v>
      </c>
      <c r="F631" s="49">
        <v>2016</v>
      </c>
      <c r="G631" s="50">
        <v>42967.375</v>
      </c>
      <c r="H631" s="50">
        <v>42972.75</v>
      </c>
      <c r="I631" s="54">
        <v>42967</v>
      </c>
      <c r="J631" s="54">
        <v>42972</v>
      </c>
      <c r="K631" s="51" t="s">
        <v>525</v>
      </c>
      <c r="L631" s="51">
        <v>0.75</v>
      </c>
      <c r="M631" s="51" t="s">
        <v>540</v>
      </c>
      <c r="N631" s="51" t="s">
        <v>534</v>
      </c>
      <c r="O631" s="51" t="s">
        <v>543</v>
      </c>
      <c r="P631" s="49" t="s">
        <v>9</v>
      </c>
      <c r="Q631" s="49" t="s">
        <v>18</v>
      </c>
      <c r="R631" s="49" t="s">
        <v>113</v>
      </c>
      <c r="S631" s="49">
        <v>4</v>
      </c>
      <c r="T631" s="49">
        <v>12</v>
      </c>
      <c r="U631" s="63">
        <v>53</v>
      </c>
      <c r="V631" s="63">
        <v>636</v>
      </c>
    </row>
    <row r="632" spans="1:22" x14ac:dyDescent="0.25">
      <c r="A632" s="49" t="s">
        <v>404</v>
      </c>
      <c r="B632" s="49" t="s">
        <v>39</v>
      </c>
      <c r="C632" s="49" t="s">
        <v>177</v>
      </c>
      <c r="D632" s="49" t="s">
        <v>80</v>
      </c>
      <c r="E632" s="49" t="s">
        <v>173</v>
      </c>
      <c r="F632" s="49">
        <v>2016</v>
      </c>
      <c r="G632" s="50">
        <v>42969.791666666664</v>
      </c>
      <c r="H632" s="50">
        <v>42983.958333333336</v>
      </c>
      <c r="I632" s="54">
        <v>42969</v>
      </c>
      <c r="J632" s="54">
        <v>42983</v>
      </c>
      <c r="K632" s="51" t="s">
        <v>526</v>
      </c>
      <c r="L632" s="51">
        <v>0.95833333333333337</v>
      </c>
      <c r="M632" s="51" t="s">
        <v>541</v>
      </c>
      <c r="N632" s="51" t="s">
        <v>534</v>
      </c>
      <c r="O632" s="51" t="s">
        <v>543</v>
      </c>
      <c r="P632" s="49" t="s">
        <v>23</v>
      </c>
      <c r="Q632" s="49" t="s">
        <v>16</v>
      </c>
      <c r="R632" s="49" t="s">
        <v>109</v>
      </c>
      <c r="S632" s="49">
        <v>5</v>
      </c>
      <c r="T632" s="49">
        <v>12</v>
      </c>
      <c r="U632" s="63">
        <v>32</v>
      </c>
      <c r="V632" s="63">
        <v>384</v>
      </c>
    </row>
    <row r="633" spans="1:22" x14ac:dyDescent="0.25">
      <c r="A633" s="49" t="s">
        <v>405</v>
      </c>
      <c r="B633" s="49" t="s">
        <v>39</v>
      </c>
      <c r="C633" s="49" t="s">
        <v>177</v>
      </c>
      <c r="D633" s="49" t="s">
        <v>88</v>
      </c>
      <c r="E633" s="49" t="s">
        <v>170</v>
      </c>
      <c r="F633" s="49">
        <v>2016</v>
      </c>
      <c r="G633" s="50">
        <v>42969.791666666664</v>
      </c>
      <c r="H633" s="50">
        <v>42983.958333333336</v>
      </c>
      <c r="I633" s="54">
        <v>42969</v>
      </c>
      <c r="J633" s="54">
        <v>42983</v>
      </c>
      <c r="K633" s="51" t="s">
        <v>526</v>
      </c>
      <c r="L633" s="51">
        <v>0.95833333333333337</v>
      </c>
      <c r="M633" s="51" t="s">
        <v>541</v>
      </c>
      <c r="N633" s="51" t="s">
        <v>534</v>
      </c>
      <c r="O633" s="51" t="s">
        <v>543</v>
      </c>
      <c r="P633" s="49" t="s">
        <v>9</v>
      </c>
      <c r="Q633" s="49" t="s">
        <v>190</v>
      </c>
      <c r="R633" s="49" t="s">
        <v>109</v>
      </c>
      <c r="S633" s="49">
        <v>4</v>
      </c>
      <c r="T633" s="49">
        <v>8</v>
      </c>
      <c r="U633" s="63">
        <v>42</v>
      </c>
      <c r="V633" s="63">
        <v>336</v>
      </c>
    </row>
    <row r="634" spans="1:22" x14ac:dyDescent="0.25">
      <c r="A634" s="49" t="s">
        <v>406</v>
      </c>
      <c r="B634" s="49" t="s">
        <v>45</v>
      </c>
      <c r="C634" s="49" t="s">
        <v>177</v>
      </c>
      <c r="D634" s="49" t="s">
        <v>82</v>
      </c>
      <c r="E634" s="49" t="s">
        <v>172</v>
      </c>
      <c r="F634" s="49">
        <v>2016</v>
      </c>
      <c r="G634" s="50">
        <v>42970.791666666664</v>
      </c>
      <c r="H634" s="50">
        <v>42984.958333333336</v>
      </c>
      <c r="I634" s="54">
        <v>42970</v>
      </c>
      <c r="J634" s="54">
        <v>42984</v>
      </c>
      <c r="K634" s="51" t="s">
        <v>526</v>
      </c>
      <c r="L634" s="51">
        <v>0.95833333333333337</v>
      </c>
      <c r="M634" s="51" t="s">
        <v>541</v>
      </c>
      <c r="N634" s="51" t="s">
        <v>534</v>
      </c>
      <c r="O634" s="51" t="s">
        <v>543</v>
      </c>
      <c r="P634" s="49" t="s">
        <v>23</v>
      </c>
      <c r="Q634" s="49" t="s">
        <v>37</v>
      </c>
      <c r="R634" s="49" t="s">
        <v>113</v>
      </c>
      <c r="S634" s="49">
        <v>3</v>
      </c>
      <c r="T634" s="49">
        <v>11</v>
      </c>
      <c r="U634" s="63">
        <v>75</v>
      </c>
      <c r="V634" s="63">
        <v>825</v>
      </c>
    </row>
    <row r="635" spans="1:22" x14ac:dyDescent="0.25">
      <c r="A635" s="49" t="s">
        <v>407</v>
      </c>
      <c r="B635" s="49" t="s">
        <v>7</v>
      </c>
      <c r="C635" s="49" t="s">
        <v>175</v>
      </c>
      <c r="D635" s="49" t="s">
        <v>80</v>
      </c>
      <c r="E635" s="49" t="s">
        <v>173</v>
      </c>
      <c r="F635" s="49">
        <v>2016</v>
      </c>
      <c r="G635" s="50">
        <v>42971.583333333336</v>
      </c>
      <c r="H635" s="50">
        <v>42985.75</v>
      </c>
      <c r="I635" s="54">
        <v>42971</v>
      </c>
      <c r="J635" s="54">
        <v>42985</v>
      </c>
      <c r="K635" s="51" t="s">
        <v>527</v>
      </c>
      <c r="L635" s="51">
        <v>0.75</v>
      </c>
      <c r="M635" s="51" t="s">
        <v>542</v>
      </c>
      <c r="N635" s="51" t="s">
        <v>534</v>
      </c>
      <c r="O635" s="51" t="s">
        <v>543</v>
      </c>
      <c r="P635" s="49" t="s">
        <v>23</v>
      </c>
      <c r="Q635" s="49" t="s">
        <v>37</v>
      </c>
      <c r="R635" s="49" t="s">
        <v>113</v>
      </c>
      <c r="S635" s="49">
        <v>5</v>
      </c>
      <c r="T635" s="49">
        <v>9</v>
      </c>
      <c r="U635" s="63">
        <v>32</v>
      </c>
      <c r="V635" s="63">
        <v>288</v>
      </c>
    </row>
    <row r="636" spans="1:22" x14ac:dyDescent="0.25">
      <c r="A636" s="49" t="s">
        <v>408</v>
      </c>
      <c r="B636" s="49" t="s">
        <v>14</v>
      </c>
      <c r="C636" s="49" t="s">
        <v>175</v>
      </c>
      <c r="D636" s="49" t="s">
        <v>77</v>
      </c>
      <c r="E636" s="49" t="s">
        <v>172</v>
      </c>
      <c r="F636" s="49">
        <v>2016</v>
      </c>
      <c r="G636" s="50">
        <v>42972.375</v>
      </c>
      <c r="H636" s="50">
        <v>42979.75</v>
      </c>
      <c r="I636" s="54">
        <v>42972</v>
      </c>
      <c r="J636" s="54">
        <v>42979</v>
      </c>
      <c r="K636" s="51" t="s">
        <v>525</v>
      </c>
      <c r="L636" s="51">
        <v>0.75</v>
      </c>
      <c r="M636" s="51" t="s">
        <v>540</v>
      </c>
      <c r="N636" s="51" t="s">
        <v>534</v>
      </c>
      <c r="O636" s="51" t="s">
        <v>543</v>
      </c>
      <c r="P636" s="49" t="s">
        <v>9</v>
      </c>
      <c r="Q636" s="49" t="s">
        <v>31</v>
      </c>
      <c r="R636" s="49" t="s">
        <v>113</v>
      </c>
      <c r="S636" s="49">
        <v>2</v>
      </c>
      <c r="T636" s="49">
        <v>8</v>
      </c>
      <c r="U636" s="63">
        <v>35</v>
      </c>
      <c r="V636" s="63">
        <v>280</v>
      </c>
    </row>
    <row r="637" spans="1:22" x14ac:dyDescent="0.25">
      <c r="A637" s="49" t="s">
        <v>409</v>
      </c>
      <c r="B637" s="49" t="s">
        <v>7</v>
      </c>
      <c r="C637" s="49" t="s">
        <v>175</v>
      </c>
      <c r="D637" s="49" t="s">
        <v>86</v>
      </c>
      <c r="E637" s="49" t="s">
        <v>169</v>
      </c>
      <c r="F637" s="49">
        <v>2016</v>
      </c>
      <c r="G637" s="50">
        <v>42973.333333333336</v>
      </c>
      <c r="H637" s="50">
        <v>42987.5</v>
      </c>
      <c r="I637" s="54">
        <v>42973</v>
      </c>
      <c r="J637" s="54">
        <v>42987</v>
      </c>
      <c r="K637" s="51" t="s">
        <v>522</v>
      </c>
      <c r="L637" s="51">
        <v>0.5</v>
      </c>
      <c r="M637" s="51" t="s">
        <v>539</v>
      </c>
      <c r="N637" s="51" t="s">
        <v>534</v>
      </c>
      <c r="O637" s="51" t="s">
        <v>543</v>
      </c>
      <c r="P637" s="49" t="s">
        <v>9</v>
      </c>
      <c r="Q637" s="49" t="s">
        <v>44</v>
      </c>
      <c r="R637" s="49" t="s">
        <v>113</v>
      </c>
      <c r="S637" s="49">
        <v>2</v>
      </c>
      <c r="T637" s="49">
        <v>8</v>
      </c>
      <c r="U637" s="63">
        <v>48</v>
      </c>
      <c r="V637" s="63">
        <v>384</v>
      </c>
    </row>
    <row r="638" spans="1:22" x14ac:dyDescent="0.25">
      <c r="A638" s="49" t="s">
        <v>410</v>
      </c>
      <c r="B638" s="49" t="s">
        <v>29</v>
      </c>
      <c r="C638" s="49" t="s">
        <v>177</v>
      </c>
      <c r="D638" s="49" t="s">
        <v>82</v>
      </c>
      <c r="E638" s="49" t="s">
        <v>172</v>
      </c>
      <c r="F638" s="49">
        <v>2016</v>
      </c>
      <c r="G638" s="50">
        <v>42974.375</v>
      </c>
      <c r="H638" s="50">
        <v>42980.75</v>
      </c>
      <c r="I638" s="54">
        <v>42974</v>
      </c>
      <c r="J638" s="54">
        <v>42980</v>
      </c>
      <c r="K638" s="51" t="s">
        <v>525</v>
      </c>
      <c r="L638" s="51">
        <v>0.75</v>
      </c>
      <c r="M638" s="51" t="s">
        <v>540</v>
      </c>
      <c r="N638" s="51" t="s">
        <v>534</v>
      </c>
      <c r="O638" s="51" t="s">
        <v>543</v>
      </c>
      <c r="P638" s="49" t="s">
        <v>23</v>
      </c>
      <c r="Q638" s="49" t="s">
        <v>38</v>
      </c>
      <c r="R638" s="49" t="s">
        <v>113</v>
      </c>
      <c r="S638" s="49">
        <v>2</v>
      </c>
      <c r="T638" s="49">
        <v>11</v>
      </c>
      <c r="U638" s="63">
        <v>75</v>
      </c>
      <c r="V638" s="63">
        <v>825</v>
      </c>
    </row>
    <row r="639" spans="1:22" x14ac:dyDescent="0.25">
      <c r="A639" s="49" t="s">
        <v>411</v>
      </c>
      <c r="B639" s="49" t="s">
        <v>11</v>
      </c>
      <c r="C639" s="49" t="s">
        <v>175</v>
      </c>
      <c r="D639" s="49" t="s">
        <v>88</v>
      </c>
      <c r="E639" s="49" t="s">
        <v>170</v>
      </c>
      <c r="F639" s="49">
        <v>2016</v>
      </c>
      <c r="G639" s="50">
        <v>42976.791666666664</v>
      </c>
      <c r="H639" s="50">
        <v>42987.958333333336</v>
      </c>
      <c r="I639" s="54">
        <v>42976</v>
      </c>
      <c r="J639" s="54">
        <v>42987</v>
      </c>
      <c r="K639" s="51" t="s">
        <v>526</v>
      </c>
      <c r="L639" s="51">
        <v>0.95833333333333337</v>
      </c>
      <c r="M639" s="51" t="s">
        <v>541</v>
      </c>
      <c r="N639" s="51" t="s">
        <v>534</v>
      </c>
      <c r="O639" s="51" t="s">
        <v>543</v>
      </c>
      <c r="P639" s="49" t="s">
        <v>9</v>
      </c>
      <c r="Q639" s="49" t="s">
        <v>18</v>
      </c>
      <c r="R639" s="49" t="s">
        <v>113</v>
      </c>
      <c r="S639" s="49">
        <v>5</v>
      </c>
      <c r="T639" s="49">
        <v>12</v>
      </c>
      <c r="U639" s="63">
        <v>42</v>
      </c>
      <c r="V639" s="63">
        <v>504</v>
      </c>
    </row>
    <row r="640" spans="1:22" x14ac:dyDescent="0.25">
      <c r="A640" s="49" t="s">
        <v>412</v>
      </c>
      <c r="B640" s="49" t="s">
        <v>19</v>
      </c>
      <c r="C640" s="49" t="s">
        <v>176</v>
      </c>
      <c r="D640" s="49" t="s">
        <v>82</v>
      </c>
      <c r="E640" s="49" t="s">
        <v>172</v>
      </c>
      <c r="F640" s="49">
        <v>2016</v>
      </c>
      <c r="G640" s="50">
        <v>42976.791666666664</v>
      </c>
      <c r="H640" s="50">
        <v>42987.958333333336</v>
      </c>
      <c r="I640" s="54">
        <v>42976</v>
      </c>
      <c r="J640" s="54">
        <v>42987</v>
      </c>
      <c r="K640" s="51" t="s">
        <v>526</v>
      </c>
      <c r="L640" s="51">
        <v>0.95833333333333337</v>
      </c>
      <c r="M640" s="51" t="s">
        <v>541</v>
      </c>
      <c r="N640" s="51" t="s">
        <v>534</v>
      </c>
      <c r="O640" s="51" t="s">
        <v>543</v>
      </c>
      <c r="P640" s="49" t="s">
        <v>23</v>
      </c>
      <c r="Q640" s="49" t="s">
        <v>16</v>
      </c>
      <c r="R640" s="49" t="s">
        <v>109</v>
      </c>
      <c r="S640" s="49">
        <v>4</v>
      </c>
      <c r="T640" s="49">
        <v>12</v>
      </c>
      <c r="U640" s="63">
        <v>75</v>
      </c>
      <c r="V640" s="63">
        <v>900</v>
      </c>
    </row>
    <row r="641" spans="1:22" x14ac:dyDescent="0.25">
      <c r="A641" s="49" t="s">
        <v>413</v>
      </c>
      <c r="B641" s="49" t="s">
        <v>22</v>
      </c>
      <c r="C641" s="49" t="s">
        <v>176</v>
      </c>
      <c r="D641" s="49" t="s">
        <v>89</v>
      </c>
      <c r="E641" s="49" t="s">
        <v>169</v>
      </c>
      <c r="F641" s="49">
        <v>2016</v>
      </c>
      <c r="G641" s="50">
        <v>42977.791666666664</v>
      </c>
      <c r="H641" s="50">
        <v>42990.958333333336</v>
      </c>
      <c r="I641" s="54">
        <v>42977</v>
      </c>
      <c r="J641" s="54">
        <v>42990</v>
      </c>
      <c r="K641" s="51" t="s">
        <v>526</v>
      </c>
      <c r="L641" s="51">
        <v>0.95833333333333337</v>
      </c>
      <c r="M641" s="51" t="s">
        <v>541</v>
      </c>
      <c r="N641" s="51" t="s">
        <v>534</v>
      </c>
      <c r="O641" s="51" t="s">
        <v>543</v>
      </c>
      <c r="P641" s="49" t="s">
        <v>23</v>
      </c>
      <c r="Q641" s="49" t="s">
        <v>18</v>
      </c>
      <c r="R641" s="49" t="s">
        <v>113</v>
      </c>
      <c r="S641" s="49">
        <v>3</v>
      </c>
      <c r="T641" s="49">
        <v>12</v>
      </c>
      <c r="U641" s="63">
        <v>62</v>
      </c>
      <c r="V641" s="63">
        <v>744</v>
      </c>
    </row>
    <row r="642" spans="1:22" x14ac:dyDescent="0.25">
      <c r="A642" s="49" t="s">
        <v>414</v>
      </c>
      <c r="B642" s="49" t="s">
        <v>7</v>
      </c>
      <c r="C642" s="49" t="s">
        <v>175</v>
      </c>
      <c r="D642" s="49" t="s">
        <v>78</v>
      </c>
      <c r="E642" s="49" t="s">
        <v>172</v>
      </c>
      <c r="F642" s="49">
        <v>2016</v>
      </c>
      <c r="G642" s="50">
        <v>42978.583333333336</v>
      </c>
      <c r="H642" s="50">
        <v>42991.75</v>
      </c>
      <c r="I642" s="54">
        <v>42978</v>
      </c>
      <c r="J642" s="54">
        <v>42991</v>
      </c>
      <c r="K642" s="51" t="s">
        <v>527</v>
      </c>
      <c r="L642" s="51">
        <v>0.75</v>
      </c>
      <c r="M642" s="51" t="s">
        <v>542</v>
      </c>
      <c r="N642" s="51" t="s">
        <v>534</v>
      </c>
      <c r="O642" s="51" t="s">
        <v>543</v>
      </c>
      <c r="P642" s="49" t="s">
        <v>9</v>
      </c>
      <c r="Q642" s="49" t="s">
        <v>38</v>
      </c>
      <c r="R642" s="49" t="s">
        <v>113</v>
      </c>
      <c r="S642" s="49">
        <v>2</v>
      </c>
      <c r="T642" s="49">
        <v>11</v>
      </c>
      <c r="U642" s="63">
        <v>62</v>
      </c>
      <c r="V642" s="63">
        <v>682</v>
      </c>
    </row>
    <row r="643" spans="1:22" x14ac:dyDescent="0.25">
      <c r="A643" s="49" t="s">
        <v>415</v>
      </c>
      <c r="B643" s="49" t="s">
        <v>29</v>
      </c>
      <c r="C643" s="49" t="s">
        <v>177</v>
      </c>
      <c r="D643" s="49" t="s">
        <v>80</v>
      </c>
      <c r="E643" s="49" t="s">
        <v>173</v>
      </c>
      <c r="F643" s="49">
        <v>2016</v>
      </c>
      <c r="G643" s="50">
        <v>42979.375</v>
      </c>
      <c r="H643" s="50">
        <v>42985.75</v>
      </c>
      <c r="I643" s="54">
        <v>42979</v>
      </c>
      <c r="J643" s="54">
        <v>42985</v>
      </c>
      <c r="K643" s="51" t="s">
        <v>525</v>
      </c>
      <c r="L643" s="51">
        <v>0.75</v>
      </c>
      <c r="M643" s="51" t="s">
        <v>540</v>
      </c>
      <c r="N643" s="51" t="s">
        <v>535</v>
      </c>
      <c r="O643" s="51" t="s">
        <v>543</v>
      </c>
      <c r="P643" s="49" t="s">
        <v>23</v>
      </c>
      <c r="Q643" s="49" t="s">
        <v>18</v>
      </c>
      <c r="R643" s="49" t="s">
        <v>113</v>
      </c>
      <c r="S643" s="49">
        <v>3</v>
      </c>
      <c r="T643" s="49">
        <v>12</v>
      </c>
      <c r="U643" s="63">
        <v>32</v>
      </c>
      <c r="V643" s="63">
        <v>384</v>
      </c>
    </row>
    <row r="644" spans="1:22" x14ac:dyDescent="0.25">
      <c r="A644" s="49" t="s">
        <v>416</v>
      </c>
      <c r="B644" s="49" t="s">
        <v>45</v>
      </c>
      <c r="C644" s="49" t="s">
        <v>177</v>
      </c>
      <c r="D644" s="49" t="s">
        <v>78</v>
      </c>
      <c r="E644" s="49" t="s">
        <v>172</v>
      </c>
      <c r="F644" s="49">
        <v>2016</v>
      </c>
      <c r="G644" s="50">
        <v>42980.333333333336</v>
      </c>
      <c r="H644" s="50">
        <v>42993.5</v>
      </c>
      <c r="I644" s="54">
        <v>42980</v>
      </c>
      <c r="J644" s="54">
        <v>42993</v>
      </c>
      <c r="K644" s="51" t="s">
        <v>522</v>
      </c>
      <c r="L644" s="51">
        <v>0.5</v>
      </c>
      <c r="M644" s="51" t="s">
        <v>539</v>
      </c>
      <c r="N644" s="51" t="s">
        <v>535</v>
      </c>
      <c r="O644" s="51" t="s">
        <v>543</v>
      </c>
      <c r="P644" s="49" t="s">
        <v>9</v>
      </c>
      <c r="Q644" s="49" t="s">
        <v>44</v>
      </c>
      <c r="R644" s="49" t="s">
        <v>113</v>
      </c>
      <c r="S644" s="49">
        <v>2</v>
      </c>
      <c r="T644" s="49">
        <v>8</v>
      </c>
      <c r="U644" s="63">
        <v>62</v>
      </c>
      <c r="V644" s="63">
        <v>496</v>
      </c>
    </row>
    <row r="645" spans="1:22" x14ac:dyDescent="0.25">
      <c r="A645" s="49" t="s">
        <v>417</v>
      </c>
      <c r="B645" s="49" t="s">
        <v>29</v>
      </c>
      <c r="C645" s="49" t="s">
        <v>177</v>
      </c>
      <c r="D645" s="49" t="s">
        <v>77</v>
      </c>
      <c r="E645" s="49" t="s">
        <v>172</v>
      </c>
      <c r="F645" s="49">
        <v>2016</v>
      </c>
      <c r="G645" s="50">
        <v>42981.375</v>
      </c>
      <c r="H645" s="50">
        <v>42986.75</v>
      </c>
      <c r="I645" s="54">
        <v>42981</v>
      </c>
      <c r="J645" s="54">
        <v>42986</v>
      </c>
      <c r="K645" s="51" t="s">
        <v>525</v>
      </c>
      <c r="L645" s="51">
        <v>0.75</v>
      </c>
      <c r="M645" s="51" t="s">
        <v>540</v>
      </c>
      <c r="N645" s="51" t="s">
        <v>535</v>
      </c>
      <c r="O645" s="51" t="s">
        <v>543</v>
      </c>
      <c r="P645" s="49" t="s">
        <v>9</v>
      </c>
      <c r="Q645" s="49" t="s">
        <v>21</v>
      </c>
      <c r="R645" s="49" t="s">
        <v>113</v>
      </c>
      <c r="S645" s="49">
        <v>4</v>
      </c>
      <c r="T645" s="49">
        <v>12</v>
      </c>
      <c r="U645" s="63">
        <v>35</v>
      </c>
      <c r="V645" s="63">
        <v>420</v>
      </c>
    </row>
    <row r="646" spans="1:22" x14ac:dyDescent="0.25">
      <c r="A646" s="49" t="s">
        <v>418</v>
      </c>
      <c r="B646" s="49" t="s">
        <v>11</v>
      </c>
      <c r="C646" s="49" t="s">
        <v>175</v>
      </c>
      <c r="D646" s="49" t="s">
        <v>85</v>
      </c>
      <c r="E646" s="49" t="s">
        <v>170</v>
      </c>
      <c r="F646" s="49">
        <v>2016</v>
      </c>
      <c r="G646" s="50">
        <v>42983.791666666664</v>
      </c>
      <c r="H646" s="50">
        <v>42994.958333333336</v>
      </c>
      <c r="I646" s="54">
        <v>42983</v>
      </c>
      <c r="J646" s="54">
        <v>42994</v>
      </c>
      <c r="K646" s="51" t="s">
        <v>526</v>
      </c>
      <c r="L646" s="51">
        <v>0.95833333333333337</v>
      </c>
      <c r="M646" s="51" t="s">
        <v>541</v>
      </c>
      <c r="N646" s="51" t="s">
        <v>535</v>
      </c>
      <c r="O646" s="51" t="s">
        <v>543</v>
      </c>
      <c r="P646" s="49" t="s">
        <v>9</v>
      </c>
      <c r="Q646" s="49" t="s">
        <v>190</v>
      </c>
      <c r="R646" s="49" t="s">
        <v>109</v>
      </c>
      <c r="S646" s="49">
        <v>3</v>
      </c>
      <c r="T646" s="49">
        <v>11</v>
      </c>
      <c r="U646" s="63">
        <v>48</v>
      </c>
      <c r="V646" s="63">
        <v>528</v>
      </c>
    </row>
    <row r="647" spans="1:22" x14ac:dyDescent="0.25">
      <c r="A647" s="49" t="s">
        <v>419</v>
      </c>
      <c r="B647" s="49" t="s">
        <v>17</v>
      </c>
      <c r="C647" s="49" t="s">
        <v>176</v>
      </c>
      <c r="D647" s="49" t="s">
        <v>83</v>
      </c>
      <c r="E647" s="49" t="s">
        <v>174</v>
      </c>
      <c r="F647" s="49">
        <v>2016</v>
      </c>
      <c r="G647" s="50">
        <v>42983.791666666664</v>
      </c>
      <c r="H647" s="50">
        <v>42994.958333333336</v>
      </c>
      <c r="I647" s="54">
        <v>42983</v>
      </c>
      <c r="J647" s="54">
        <v>42994</v>
      </c>
      <c r="K647" s="51" t="s">
        <v>526</v>
      </c>
      <c r="L647" s="51">
        <v>0.95833333333333337</v>
      </c>
      <c r="M647" s="51" t="s">
        <v>541</v>
      </c>
      <c r="N647" s="51" t="s">
        <v>535</v>
      </c>
      <c r="O647" s="51" t="s">
        <v>543</v>
      </c>
      <c r="P647" s="49" t="s">
        <v>9</v>
      </c>
      <c r="Q647" s="49" t="s">
        <v>16</v>
      </c>
      <c r="R647" s="49" t="s">
        <v>109</v>
      </c>
      <c r="S647" s="49">
        <v>2</v>
      </c>
      <c r="T647" s="49">
        <v>8</v>
      </c>
      <c r="U647" s="63">
        <v>63</v>
      </c>
      <c r="V647" s="63">
        <v>504</v>
      </c>
    </row>
    <row r="648" spans="1:22" x14ac:dyDescent="0.25">
      <c r="A648" s="49" t="s">
        <v>420</v>
      </c>
      <c r="B648" s="49" t="s">
        <v>17</v>
      </c>
      <c r="C648" s="49" t="s">
        <v>176</v>
      </c>
      <c r="D648" s="49" t="s">
        <v>84</v>
      </c>
      <c r="E648" s="49" t="s">
        <v>172</v>
      </c>
      <c r="F648" s="49">
        <v>2016</v>
      </c>
      <c r="G648" s="50">
        <v>42984.791666666664</v>
      </c>
      <c r="H648" s="50">
        <v>42997.958333333336</v>
      </c>
      <c r="I648" s="54">
        <v>42984</v>
      </c>
      <c r="J648" s="54">
        <v>42997</v>
      </c>
      <c r="K648" s="51" t="s">
        <v>526</v>
      </c>
      <c r="L648" s="51">
        <v>0.95833333333333337</v>
      </c>
      <c r="M648" s="51" t="s">
        <v>541</v>
      </c>
      <c r="N648" s="51" t="s">
        <v>535</v>
      </c>
      <c r="O648" s="51" t="s">
        <v>543</v>
      </c>
      <c r="P648" s="49" t="s">
        <v>9</v>
      </c>
      <c r="Q648" s="49" t="s">
        <v>38</v>
      </c>
      <c r="R648" s="49" t="s">
        <v>113</v>
      </c>
      <c r="S648" s="49">
        <v>2</v>
      </c>
      <c r="T648" s="49">
        <v>11</v>
      </c>
      <c r="U648" s="63">
        <v>52</v>
      </c>
      <c r="V648" s="63">
        <v>572</v>
      </c>
    </row>
    <row r="649" spans="1:22" x14ac:dyDescent="0.25">
      <c r="A649" s="49" t="s">
        <v>421</v>
      </c>
      <c r="B649" s="49" t="s">
        <v>22</v>
      </c>
      <c r="C649" s="49" t="s">
        <v>176</v>
      </c>
      <c r="D649" s="49" t="s">
        <v>80</v>
      </c>
      <c r="E649" s="49" t="s">
        <v>173</v>
      </c>
      <c r="F649" s="49">
        <v>2016</v>
      </c>
      <c r="G649" s="50">
        <v>42985.583333333336</v>
      </c>
      <c r="H649" s="50">
        <v>42998.75</v>
      </c>
      <c r="I649" s="54">
        <v>42985</v>
      </c>
      <c r="J649" s="54">
        <v>42998</v>
      </c>
      <c r="K649" s="51" t="s">
        <v>527</v>
      </c>
      <c r="L649" s="51">
        <v>0.75</v>
      </c>
      <c r="M649" s="51" t="s">
        <v>542</v>
      </c>
      <c r="N649" s="51" t="s">
        <v>535</v>
      </c>
      <c r="O649" s="51" t="s">
        <v>543</v>
      </c>
      <c r="P649" s="49" t="s">
        <v>9</v>
      </c>
      <c r="Q649" s="49" t="s">
        <v>21</v>
      </c>
      <c r="R649" s="49" t="s">
        <v>113</v>
      </c>
      <c r="S649" s="49">
        <v>4</v>
      </c>
      <c r="T649" s="49">
        <v>9</v>
      </c>
      <c r="U649" s="63">
        <v>32</v>
      </c>
      <c r="V649" s="63">
        <v>288</v>
      </c>
    </row>
    <row r="650" spans="1:22" x14ac:dyDescent="0.25">
      <c r="A650" s="49" t="s">
        <v>422</v>
      </c>
      <c r="B650" s="49" t="s">
        <v>29</v>
      </c>
      <c r="C650" s="49" t="s">
        <v>177</v>
      </c>
      <c r="D650" s="49" t="s">
        <v>80</v>
      </c>
      <c r="E650" s="49" t="s">
        <v>173</v>
      </c>
      <c r="F650" s="49">
        <v>2016</v>
      </c>
      <c r="G650" s="50">
        <v>42986.375</v>
      </c>
      <c r="H650" s="50">
        <v>42992.75</v>
      </c>
      <c r="I650" s="54">
        <v>42986</v>
      </c>
      <c r="J650" s="54">
        <v>42992</v>
      </c>
      <c r="K650" s="51" t="s">
        <v>525</v>
      </c>
      <c r="L650" s="51">
        <v>0.75</v>
      </c>
      <c r="M650" s="51" t="s">
        <v>540</v>
      </c>
      <c r="N650" s="51" t="s">
        <v>535</v>
      </c>
      <c r="O650" s="51" t="s">
        <v>543</v>
      </c>
      <c r="P650" s="49" t="s">
        <v>23</v>
      </c>
      <c r="Q650" s="49" t="s">
        <v>12</v>
      </c>
      <c r="R650" s="49" t="s">
        <v>113</v>
      </c>
      <c r="S650" s="49">
        <v>3</v>
      </c>
      <c r="T650" s="49">
        <v>9</v>
      </c>
      <c r="U650" s="63">
        <v>32</v>
      </c>
      <c r="V650" s="63">
        <v>288</v>
      </c>
    </row>
    <row r="651" spans="1:22" x14ac:dyDescent="0.25">
      <c r="A651" s="49" t="s">
        <v>423</v>
      </c>
      <c r="B651" s="49" t="s">
        <v>14</v>
      </c>
      <c r="C651" s="49" t="s">
        <v>175</v>
      </c>
      <c r="D651" s="49" t="s">
        <v>82</v>
      </c>
      <c r="E651" s="49" t="s">
        <v>172</v>
      </c>
      <c r="F651" s="49">
        <v>2016</v>
      </c>
      <c r="G651" s="50">
        <v>42987.333333333336</v>
      </c>
      <c r="H651" s="50">
        <v>43000.5</v>
      </c>
      <c r="I651" s="54">
        <v>42987</v>
      </c>
      <c r="J651" s="54">
        <v>43000</v>
      </c>
      <c r="K651" s="51" t="s">
        <v>522</v>
      </c>
      <c r="L651" s="51">
        <v>0.5</v>
      </c>
      <c r="M651" s="51" t="s">
        <v>539</v>
      </c>
      <c r="N651" s="51" t="s">
        <v>535</v>
      </c>
      <c r="O651" s="51" t="s">
        <v>543</v>
      </c>
      <c r="P651" s="49" t="s">
        <v>9</v>
      </c>
      <c r="Q651" s="49" t="s">
        <v>24</v>
      </c>
      <c r="R651" s="49" t="s">
        <v>113</v>
      </c>
      <c r="S651" s="49">
        <v>5</v>
      </c>
      <c r="T651" s="49">
        <v>8</v>
      </c>
      <c r="U651" s="63">
        <v>75</v>
      </c>
      <c r="V651" s="63">
        <v>600</v>
      </c>
    </row>
    <row r="652" spans="1:22" x14ac:dyDescent="0.25">
      <c r="A652" s="49" t="s">
        <v>424</v>
      </c>
      <c r="B652" s="49" t="s">
        <v>45</v>
      </c>
      <c r="C652" s="49" t="s">
        <v>177</v>
      </c>
      <c r="D652" s="49" t="s">
        <v>84</v>
      </c>
      <c r="E652" s="49" t="s">
        <v>172</v>
      </c>
      <c r="F652" s="49">
        <v>2016</v>
      </c>
      <c r="G652" s="50">
        <v>42988.375</v>
      </c>
      <c r="H652" s="50">
        <v>42993.75</v>
      </c>
      <c r="I652" s="54">
        <v>42988</v>
      </c>
      <c r="J652" s="54">
        <v>42993</v>
      </c>
      <c r="K652" s="51" t="s">
        <v>525</v>
      </c>
      <c r="L652" s="51">
        <v>0.75</v>
      </c>
      <c r="M652" s="51" t="s">
        <v>540</v>
      </c>
      <c r="N652" s="51" t="s">
        <v>535</v>
      </c>
      <c r="O652" s="51" t="s">
        <v>543</v>
      </c>
      <c r="P652" s="49" t="s">
        <v>23</v>
      </c>
      <c r="Q652" s="49" t="s">
        <v>38</v>
      </c>
      <c r="R652" s="49" t="s">
        <v>113</v>
      </c>
      <c r="S652" s="49">
        <v>2</v>
      </c>
      <c r="T652" s="49">
        <v>10</v>
      </c>
      <c r="U652" s="63">
        <v>52</v>
      </c>
      <c r="V652" s="63">
        <v>520</v>
      </c>
    </row>
    <row r="653" spans="1:22" x14ac:dyDescent="0.25">
      <c r="A653" s="49" t="s">
        <v>425</v>
      </c>
      <c r="B653" s="49" t="s">
        <v>19</v>
      </c>
      <c r="C653" s="49" t="s">
        <v>176</v>
      </c>
      <c r="D653" s="49" t="s">
        <v>84</v>
      </c>
      <c r="E653" s="49" t="s">
        <v>172</v>
      </c>
      <c r="F653" s="49">
        <v>2016</v>
      </c>
      <c r="G653" s="50">
        <v>42990.791666666664</v>
      </c>
      <c r="H653" s="50">
        <v>43001.958333333336</v>
      </c>
      <c r="I653" s="54">
        <v>42990</v>
      </c>
      <c r="J653" s="54">
        <v>43001</v>
      </c>
      <c r="K653" s="51" t="s">
        <v>526</v>
      </c>
      <c r="L653" s="51">
        <v>0.95833333333333337</v>
      </c>
      <c r="M653" s="51" t="s">
        <v>541</v>
      </c>
      <c r="N653" s="51" t="s">
        <v>535</v>
      </c>
      <c r="O653" s="51" t="s">
        <v>543</v>
      </c>
      <c r="P653" s="49" t="s">
        <v>23</v>
      </c>
      <c r="Q653" s="49" t="s">
        <v>190</v>
      </c>
      <c r="R653" s="49" t="s">
        <v>109</v>
      </c>
      <c r="S653" s="49">
        <v>5</v>
      </c>
      <c r="T653" s="49">
        <v>11</v>
      </c>
      <c r="U653" s="63">
        <v>52</v>
      </c>
      <c r="V653" s="63">
        <v>572</v>
      </c>
    </row>
    <row r="654" spans="1:22" x14ac:dyDescent="0.25">
      <c r="A654" s="49" t="s">
        <v>426</v>
      </c>
      <c r="B654" s="49" t="s">
        <v>7</v>
      </c>
      <c r="C654" s="49" t="s">
        <v>175</v>
      </c>
      <c r="D654" s="49" t="s">
        <v>80</v>
      </c>
      <c r="E654" s="49" t="s">
        <v>173</v>
      </c>
      <c r="F654" s="49">
        <v>2016</v>
      </c>
      <c r="G654" s="50">
        <v>42990.791666666664</v>
      </c>
      <c r="H654" s="50">
        <v>43001.958333333336</v>
      </c>
      <c r="I654" s="54">
        <v>42990</v>
      </c>
      <c r="J654" s="54">
        <v>43001</v>
      </c>
      <c r="K654" s="51" t="s">
        <v>526</v>
      </c>
      <c r="L654" s="51">
        <v>0.95833333333333337</v>
      </c>
      <c r="M654" s="51" t="s">
        <v>541</v>
      </c>
      <c r="N654" s="51" t="s">
        <v>535</v>
      </c>
      <c r="O654" s="51" t="s">
        <v>543</v>
      </c>
      <c r="P654" s="49" t="s">
        <v>23</v>
      </c>
      <c r="Q654" s="49" t="s">
        <v>28</v>
      </c>
      <c r="R654" s="49" t="s">
        <v>109</v>
      </c>
      <c r="S654" s="49">
        <v>5</v>
      </c>
      <c r="T654" s="49">
        <v>8</v>
      </c>
      <c r="U654" s="63">
        <v>32</v>
      </c>
      <c r="V654" s="63">
        <v>256</v>
      </c>
    </row>
    <row r="655" spans="1:22" x14ac:dyDescent="0.25">
      <c r="A655" s="49" t="s">
        <v>427</v>
      </c>
      <c r="B655" s="49" t="s">
        <v>22</v>
      </c>
      <c r="C655" s="49" t="s">
        <v>176</v>
      </c>
      <c r="D655" s="49" t="s">
        <v>77</v>
      </c>
      <c r="E655" s="49" t="s">
        <v>172</v>
      </c>
      <c r="F655" s="49">
        <v>2016</v>
      </c>
      <c r="G655" s="50">
        <v>42991.791666666664</v>
      </c>
      <c r="H655" s="50">
        <v>43004.958333333336</v>
      </c>
      <c r="I655" s="54">
        <v>42991</v>
      </c>
      <c r="J655" s="54">
        <v>43004</v>
      </c>
      <c r="K655" s="51" t="s">
        <v>526</v>
      </c>
      <c r="L655" s="51">
        <v>0.95833333333333337</v>
      </c>
      <c r="M655" s="51" t="s">
        <v>541</v>
      </c>
      <c r="N655" s="51" t="s">
        <v>535</v>
      </c>
      <c r="O655" s="51" t="s">
        <v>543</v>
      </c>
      <c r="P655" s="49" t="s">
        <v>9</v>
      </c>
      <c r="Q655" s="49" t="s">
        <v>28</v>
      </c>
      <c r="R655" s="49" t="s">
        <v>109</v>
      </c>
      <c r="S655" s="49">
        <v>4</v>
      </c>
      <c r="T655" s="49">
        <v>12</v>
      </c>
      <c r="U655" s="63">
        <v>35</v>
      </c>
      <c r="V655" s="63">
        <v>420</v>
      </c>
    </row>
    <row r="656" spans="1:22" x14ac:dyDescent="0.25">
      <c r="A656" s="49" t="s">
        <v>428</v>
      </c>
      <c r="B656" s="49" t="s">
        <v>14</v>
      </c>
      <c r="C656" s="49" t="s">
        <v>175</v>
      </c>
      <c r="D656" s="49" t="s">
        <v>81</v>
      </c>
      <c r="E656" s="49" t="s">
        <v>172</v>
      </c>
      <c r="F656" s="49">
        <v>2016</v>
      </c>
      <c r="G656" s="50">
        <v>42992.583333333336</v>
      </c>
      <c r="H656" s="50">
        <v>43005.75</v>
      </c>
      <c r="I656" s="54">
        <v>42992</v>
      </c>
      <c r="J656" s="54">
        <v>43005</v>
      </c>
      <c r="K656" s="51" t="s">
        <v>527</v>
      </c>
      <c r="L656" s="51">
        <v>0.75</v>
      </c>
      <c r="M656" s="51" t="s">
        <v>542</v>
      </c>
      <c r="N656" s="51" t="s">
        <v>535</v>
      </c>
      <c r="O656" s="51" t="s">
        <v>543</v>
      </c>
      <c r="P656" s="49" t="s">
        <v>23</v>
      </c>
      <c r="Q656" s="49" t="s">
        <v>22</v>
      </c>
      <c r="R656" s="49" t="s">
        <v>109</v>
      </c>
      <c r="S656" s="49">
        <v>4</v>
      </c>
      <c r="T656" s="49">
        <v>10</v>
      </c>
      <c r="U656" s="63">
        <v>43</v>
      </c>
      <c r="V656" s="63">
        <v>430</v>
      </c>
    </row>
    <row r="657" spans="1:22" x14ac:dyDescent="0.25">
      <c r="A657" s="49" t="s">
        <v>429</v>
      </c>
      <c r="B657" s="49" t="s">
        <v>17</v>
      </c>
      <c r="C657" s="49" t="s">
        <v>176</v>
      </c>
      <c r="D657" s="49" t="s">
        <v>78</v>
      </c>
      <c r="E657" s="49" t="s">
        <v>172</v>
      </c>
      <c r="F657" s="49">
        <v>2016</v>
      </c>
      <c r="G657" s="50">
        <v>42993.375</v>
      </c>
      <c r="H657" s="50">
        <v>42999.75</v>
      </c>
      <c r="I657" s="54">
        <v>42993</v>
      </c>
      <c r="J657" s="54">
        <v>42999</v>
      </c>
      <c r="K657" s="51" t="s">
        <v>525</v>
      </c>
      <c r="L657" s="51">
        <v>0.75</v>
      </c>
      <c r="M657" s="51" t="s">
        <v>540</v>
      </c>
      <c r="N657" s="51" t="s">
        <v>535</v>
      </c>
      <c r="O657" s="51" t="s">
        <v>543</v>
      </c>
      <c r="P657" s="49" t="s">
        <v>9</v>
      </c>
      <c r="Q657" s="49" t="s">
        <v>18</v>
      </c>
      <c r="R657" s="49" t="s">
        <v>113</v>
      </c>
      <c r="S657" s="49">
        <v>5</v>
      </c>
      <c r="T657" s="49">
        <v>10</v>
      </c>
      <c r="U657" s="63">
        <v>62</v>
      </c>
      <c r="V657" s="63">
        <v>620</v>
      </c>
    </row>
    <row r="658" spans="1:22" x14ac:dyDescent="0.25">
      <c r="A658" s="49" t="s">
        <v>430</v>
      </c>
      <c r="B658" s="49" t="s">
        <v>39</v>
      </c>
      <c r="C658" s="49" t="s">
        <v>177</v>
      </c>
      <c r="D658" s="49" t="s">
        <v>78</v>
      </c>
      <c r="E658" s="49" t="s">
        <v>172</v>
      </c>
      <c r="F658" s="49">
        <v>2016</v>
      </c>
      <c r="G658" s="50">
        <v>42994.333333333336</v>
      </c>
      <c r="H658" s="50">
        <v>43007.5</v>
      </c>
      <c r="I658" s="54">
        <v>42994</v>
      </c>
      <c r="J658" s="54">
        <v>43007</v>
      </c>
      <c r="K658" s="51" t="s">
        <v>522</v>
      </c>
      <c r="L658" s="51">
        <v>0.5</v>
      </c>
      <c r="M658" s="51" t="s">
        <v>539</v>
      </c>
      <c r="N658" s="51" t="s">
        <v>535</v>
      </c>
      <c r="O658" s="51" t="s">
        <v>543</v>
      </c>
      <c r="P658" s="49" t="s">
        <v>23</v>
      </c>
      <c r="Q658" s="49" t="s">
        <v>18</v>
      </c>
      <c r="R658" s="49" t="s">
        <v>113</v>
      </c>
      <c r="S658" s="49">
        <v>2</v>
      </c>
      <c r="T658" s="49">
        <v>10</v>
      </c>
      <c r="U658" s="63">
        <v>62</v>
      </c>
      <c r="V658" s="63">
        <v>620</v>
      </c>
    </row>
    <row r="659" spans="1:22" x14ac:dyDescent="0.25">
      <c r="A659" s="49" t="s">
        <v>431</v>
      </c>
      <c r="B659" s="49" t="s">
        <v>19</v>
      </c>
      <c r="C659" s="49" t="s">
        <v>176</v>
      </c>
      <c r="D659" s="49" t="s">
        <v>78</v>
      </c>
      <c r="E659" s="49" t="s">
        <v>172</v>
      </c>
      <c r="F659" s="49">
        <v>2016</v>
      </c>
      <c r="G659" s="50">
        <v>42995.375</v>
      </c>
      <c r="H659" s="50">
        <v>43000.75</v>
      </c>
      <c r="I659" s="54">
        <v>42995</v>
      </c>
      <c r="J659" s="54">
        <v>43000</v>
      </c>
      <c r="K659" s="51" t="s">
        <v>525</v>
      </c>
      <c r="L659" s="51">
        <v>0.75</v>
      </c>
      <c r="M659" s="51" t="s">
        <v>540</v>
      </c>
      <c r="N659" s="51" t="s">
        <v>535</v>
      </c>
      <c r="O659" s="51" t="s">
        <v>543</v>
      </c>
      <c r="P659" s="49" t="s">
        <v>9</v>
      </c>
      <c r="Q659" s="49" t="s">
        <v>38</v>
      </c>
      <c r="R659" s="49" t="s">
        <v>113</v>
      </c>
      <c r="S659" s="49">
        <v>3</v>
      </c>
      <c r="T659" s="49">
        <v>11</v>
      </c>
      <c r="U659" s="63">
        <v>62</v>
      </c>
      <c r="V659" s="63">
        <v>682</v>
      </c>
    </row>
    <row r="660" spans="1:22" x14ac:dyDescent="0.25">
      <c r="A660" s="49" t="s">
        <v>432</v>
      </c>
      <c r="B660" s="49" t="s">
        <v>19</v>
      </c>
      <c r="C660" s="49" t="s">
        <v>176</v>
      </c>
      <c r="D660" s="49" t="s">
        <v>83</v>
      </c>
      <c r="E660" s="49" t="s">
        <v>174</v>
      </c>
      <c r="F660" s="49">
        <v>2016</v>
      </c>
      <c r="G660" s="50">
        <v>42997.791666666664</v>
      </c>
      <c r="H660" s="50">
        <v>43008.958333333336</v>
      </c>
      <c r="I660" s="54">
        <v>42997</v>
      </c>
      <c r="J660" s="54">
        <v>43008</v>
      </c>
      <c r="K660" s="51" t="s">
        <v>526</v>
      </c>
      <c r="L660" s="51">
        <v>0.95833333333333337</v>
      </c>
      <c r="M660" s="51" t="s">
        <v>541</v>
      </c>
      <c r="N660" s="51" t="s">
        <v>535</v>
      </c>
      <c r="O660" s="51" t="s">
        <v>543</v>
      </c>
      <c r="P660" s="49" t="s">
        <v>23</v>
      </c>
      <c r="Q660" s="49" t="s">
        <v>16</v>
      </c>
      <c r="R660" s="49" t="s">
        <v>109</v>
      </c>
      <c r="S660" s="49">
        <v>5</v>
      </c>
      <c r="T660" s="49">
        <v>10</v>
      </c>
      <c r="U660" s="63">
        <v>63</v>
      </c>
      <c r="V660" s="63">
        <v>630</v>
      </c>
    </row>
    <row r="661" spans="1:22" x14ac:dyDescent="0.25">
      <c r="A661" s="49" t="s">
        <v>433</v>
      </c>
      <c r="B661" s="49" t="s">
        <v>22</v>
      </c>
      <c r="C661" s="49" t="s">
        <v>176</v>
      </c>
      <c r="D661" s="49" t="s">
        <v>77</v>
      </c>
      <c r="E661" s="49" t="s">
        <v>172</v>
      </c>
      <c r="F661" s="49">
        <v>2016</v>
      </c>
      <c r="G661" s="50">
        <v>42997.791666666664</v>
      </c>
      <c r="H661" s="50">
        <v>43008.958333333336</v>
      </c>
      <c r="I661" s="54">
        <v>42997</v>
      </c>
      <c r="J661" s="54">
        <v>43008</v>
      </c>
      <c r="K661" s="51" t="s">
        <v>526</v>
      </c>
      <c r="L661" s="51">
        <v>0.95833333333333337</v>
      </c>
      <c r="M661" s="51" t="s">
        <v>541</v>
      </c>
      <c r="N661" s="51" t="s">
        <v>535</v>
      </c>
      <c r="O661" s="51" t="s">
        <v>543</v>
      </c>
      <c r="P661" s="49" t="s">
        <v>9</v>
      </c>
      <c r="Q661" s="49" t="s">
        <v>190</v>
      </c>
      <c r="R661" s="49" t="s">
        <v>109</v>
      </c>
      <c r="S661" s="49">
        <v>5</v>
      </c>
      <c r="T661" s="49">
        <v>9</v>
      </c>
      <c r="U661" s="63">
        <v>35</v>
      </c>
      <c r="V661" s="63">
        <v>315</v>
      </c>
    </row>
    <row r="662" spans="1:22" x14ac:dyDescent="0.25">
      <c r="A662" s="49" t="s">
        <v>434</v>
      </c>
      <c r="B662" s="49" t="s">
        <v>11</v>
      </c>
      <c r="C662" s="49" t="s">
        <v>175</v>
      </c>
      <c r="D662" s="49" t="s">
        <v>80</v>
      </c>
      <c r="E662" s="49" t="s">
        <v>173</v>
      </c>
      <c r="F662" s="49">
        <v>2016</v>
      </c>
      <c r="G662" s="50">
        <v>42998.791666666664</v>
      </c>
      <c r="H662" s="50">
        <v>43011.958333333336</v>
      </c>
      <c r="I662" s="54">
        <v>42998</v>
      </c>
      <c r="J662" s="54">
        <v>43011</v>
      </c>
      <c r="K662" s="51" t="s">
        <v>526</v>
      </c>
      <c r="L662" s="51">
        <v>0.95833333333333337</v>
      </c>
      <c r="M662" s="51" t="s">
        <v>541</v>
      </c>
      <c r="N662" s="51" t="s">
        <v>535</v>
      </c>
      <c r="O662" s="51" t="s">
        <v>543</v>
      </c>
      <c r="P662" s="49" t="s">
        <v>23</v>
      </c>
      <c r="Q662" s="49" t="s">
        <v>21</v>
      </c>
      <c r="R662" s="49" t="s">
        <v>113</v>
      </c>
      <c r="S662" s="49">
        <v>3</v>
      </c>
      <c r="T662" s="49">
        <v>9</v>
      </c>
      <c r="U662" s="63">
        <v>32</v>
      </c>
      <c r="V662" s="63">
        <v>288</v>
      </c>
    </row>
    <row r="663" spans="1:22" x14ac:dyDescent="0.25">
      <c r="A663" s="49" t="s">
        <v>435</v>
      </c>
      <c r="B663" s="49" t="s">
        <v>45</v>
      </c>
      <c r="C663" s="49" t="s">
        <v>177</v>
      </c>
      <c r="D663" s="49" t="s">
        <v>78</v>
      </c>
      <c r="E663" s="49" t="s">
        <v>172</v>
      </c>
      <c r="F663" s="49">
        <v>2016</v>
      </c>
      <c r="G663" s="50">
        <v>42999.583333333336</v>
      </c>
      <c r="H663" s="50">
        <v>43012.75</v>
      </c>
      <c r="I663" s="54">
        <v>42999</v>
      </c>
      <c r="J663" s="54">
        <v>43012</v>
      </c>
      <c r="K663" s="51" t="s">
        <v>527</v>
      </c>
      <c r="L663" s="51">
        <v>0.75</v>
      </c>
      <c r="M663" s="51" t="s">
        <v>542</v>
      </c>
      <c r="N663" s="51" t="s">
        <v>535</v>
      </c>
      <c r="O663" s="51" t="s">
        <v>543</v>
      </c>
      <c r="P663" s="49" t="s">
        <v>9</v>
      </c>
      <c r="Q663" s="49" t="s">
        <v>33</v>
      </c>
      <c r="R663" s="49" t="s">
        <v>113</v>
      </c>
      <c r="S663" s="49">
        <v>3</v>
      </c>
      <c r="T663" s="49">
        <v>9</v>
      </c>
      <c r="U663" s="63">
        <v>62</v>
      </c>
      <c r="V663" s="63">
        <v>558</v>
      </c>
    </row>
    <row r="664" spans="1:22" x14ac:dyDescent="0.25">
      <c r="A664" s="49" t="s">
        <v>436</v>
      </c>
      <c r="B664" s="49" t="s">
        <v>7</v>
      </c>
      <c r="C664" s="49" t="s">
        <v>175</v>
      </c>
      <c r="D664" s="49" t="s">
        <v>82</v>
      </c>
      <c r="E664" s="49" t="s">
        <v>172</v>
      </c>
      <c r="F664" s="49">
        <v>2016</v>
      </c>
      <c r="G664" s="50">
        <v>43000.375</v>
      </c>
      <c r="H664" s="50">
        <v>43006.75</v>
      </c>
      <c r="I664" s="54">
        <v>43000</v>
      </c>
      <c r="J664" s="54">
        <v>43006</v>
      </c>
      <c r="K664" s="51" t="s">
        <v>525</v>
      </c>
      <c r="L664" s="51">
        <v>0.75</v>
      </c>
      <c r="M664" s="51" t="s">
        <v>540</v>
      </c>
      <c r="N664" s="51" t="s">
        <v>535</v>
      </c>
      <c r="O664" s="51" t="s">
        <v>543</v>
      </c>
      <c r="P664" s="49" t="s">
        <v>23</v>
      </c>
      <c r="Q664" s="49" t="s">
        <v>21</v>
      </c>
      <c r="R664" s="49" t="s">
        <v>113</v>
      </c>
      <c r="S664" s="49">
        <v>5</v>
      </c>
      <c r="T664" s="49">
        <v>10</v>
      </c>
      <c r="U664" s="63">
        <v>75</v>
      </c>
      <c r="V664" s="63">
        <v>750</v>
      </c>
    </row>
    <row r="665" spans="1:22" x14ac:dyDescent="0.25">
      <c r="A665" s="49" t="s">
        <v>437</v>
      </c>
      <c r="B665" s="49" t="s">
        <v>22</v>
      </c>
      <c r="C665" s="49" t="s">
        <v>176</v>
      </c>
      <c r="D665" s="49" t="s">
        <v>89</v>
      </c>
      <c r="E665" s="49" t="s">
        <v>169</v>
      </c>
      <c r="F665" s="49">
        <v>2016</v>
      </c>
      <c r="G665" s="50">
        <v>43001.333333333336</v>
      </c>
      <c r="H665" s="50">
        <v>43014.5</v>
      </c>
      <c r="I665" s="54">
        <v>43001</v>
      </c>
      <c r="J665" s="54">
        <v>43014</v>
      </c>
      <c r="K665" s="51" t="s">
        <v>522</v>
      </c>
      <c r="L665" s="51">
        <v>0.5</v>
      </c>
      <c r="M665" s="51" t="s">
        <v>539</v>
      </c>
      <c r="N665" s="51" t="s">
        <v>535</v>
      </c>
      <c r="O665" s="51" t="s">
        <v>543</v>
      </c>
      <c r="P665" s="49" t="s">
        <v>9</v>
      </c>
      <c r="Q665" s="49" t="s">
        <v>28</v>
      </c>
      <c r="R665" s="49" t="s">
        <v>109</v>
      </c>
      <c r="S665" s="49">
        <v>4</v>
      </c>
      <c r="T665" s="49">
        <v>11</v>
      </c>
      <c r="U665" s="63">
        <v>62</v>
      </c>
      <c r="V665" s="63">
        <v>682</v>
      </c>
    </row>
    <row r="666" spans="1:22" x14ac:dyDescent="0.25">
      <c r="A666" s="49" t="s">
        <v>438</v>
      </c>
      <c r="B666" s="49" t="s">
        <v>19</v>
      </c>
      <c r="C666" s="49" t="s">
        <v>176</v>
      </c>
      <c r="D666" s="49" t="s">
        <v>80</v>
      </c>
      <c r="E666" s="49" t="s">
        <v>173</v>
      </c>
      <c r="F666" s="49">
        <v>2016</v>
      </c>
      <c r="G666" s="50">
        <v>43002.375</v>
      </c>
      <c r="H666" s="50">
        <v>43007.75</v>
      </c>
      <c r="I666" s="54">
        <v>43002</v>
      </c>
      <c r="J666" s="54">
        <v>43007</v>
      </c>
      <c r="K666" s="51" t="s">
        <v>525</v>
      </c>
      <c r="L666" s="51">
        <v>0.75</v>
      </c>
      <c r="M666" s="51" t="s">
        <v>540</v>
      </c>
      <c r="N666" s="51" t="s">
        <v>535</v>
      </c>
      <c r="O666" s="51" t="s">
        <v>543</v>
      </c>
      <c r="P666" s="49" t="s">
        <v>23</v>
      </c>
      <c r="Q666" s="49" t="s">
        <v>31</v>
      </c>
      <c r="R666" s="49" t="s">
        <v>113</v>
      </c>
      <c r="S666" s="49">
        <v>4</v>
      </c>
      <c r="T666" s="49">
        <v>12</v>
      </c>
      <c r="U666" s="63">
        <v>32</v>
      </c>
      <c r="V666" s="63">
        <v>384</v>
      </c>
    </row>
    <row r="667" spans="1:22" x14ac:dyDescent="0.25">
      <c r="A667" s="49" t="s">
        <v>439</v>
      </c>
      <c r="B667" s="49" t="s">
        <v>17</v>
      </c>
      <c r="C667" s="49" t="s">
        <v>176</v>
      </c>
      <c r="D667" s="49" t="s">
        <v>78</v>
      </c>
      <c r="E667" s="49" t="s">
        <v>172</v>
      </c>
      <c r="F667" s="49">
        <v>2016</v>
      </c>
      <c r="G667" s="50">
        <v>43004.791666666664</v>
      </c>
      <c r="H667" s="50">
        <v>43015.958333333336</v>
      </c>
      <c r="I667" s="54">
        <v>43004</v>
      </c>
      <c r="J667" s="54">
        <v>43015</v>
      </c>
      <c r="K667" s="51" t="s">
        <v>526</v>
      </c>
      <c r="L667" s="51">
        <v>0.95833333333333337</v>
      </c>
      <c r="M667" s="51" t="s">
        <v>541</v>
      </c>
      <c r="N667" s="51" t="s">
        <v>535</v>
      </c>
      <c r="O667" s="51" t="s">
        <v>543</v>
      </c>
      <c r="P667" s="49" t="s">
        <v>23</v>
      </c>
      <c r="Q667" s="49" t="s">
        <v>16</v>
      </c>
      <c r="R667" s="49" t="s">
        <v>109</v>
      </c>
      <c r="S667" s="49">
        <v>2</v>
      </c>
      <c r="T667" s="49">
        <v>9</v>
      </c>
      <c r="U667" s="63">
        <v>62</v>
      </c>
      <c r="V667" s="63">
        <v>558</v>
      </c>
    </row>
    <row r="668" spans="1:22" x14ac:dyDescent="0.25">
      <c r="A668" s="49" t="s">
        <v>440</v>
      </c>
      <c r="B668" s="49" t="s">
        <v>22</v>
      </c>
      <c r="C668" s="49" t="s">
        <v>176</v>
      </c>
      <c r="D668" s="49" t="s">
        <v>85</v>
      </c>
      <c r="E668" s="49" t="s">
        <v>170</v>
      </c>
      <c r="F668" s="49">
        <v>2016</v>
      </c>
      <c r="G668" s="50">
        <v>43004.791666666664</v>
      </c>
      <c r="H668" s="50">
        <v>43015.958333333336</v>
      </c>
      <c r="I668" s="54">
        <v>43004</v>
      </c>
      <c r="J668" s="54">
        <v>43015</v>
      </c>
      <c r="K668" s="51" t="s">
        <v>526</v>
      </c>
      <c r="L668" s="51">
        <v>0.95833333333333337</v>
      </c>
      <c r="M668" s="51" t="s">
        <v>541</v>
      </c>
      <c r="N668" s="51" t="s">
        <v>535</v>
      </c>
      <c r="O668" s="51" t="s">
        <v>543</v>
      </c>
      <c r="P668" s="49" t="s">
        <v>23</v>
      </c>
      <c r="Q668" s="49" t="s">
        <v>28</v>
      </c>
      <c r="R668" s="49" t="s">
        <v>109</v>
      </c>
      <c r="S668" s="49">
        <v>3</v>
      </c>
      <c r="T668" s="49">
        <v>10</v>
      </c>
      <c r="U668" s="63">
        <v>48</v>
      </c>
      <c r="V668" s="63">
        <v>480</v>
      </c>
    </row>
    <row r="669" spans="1:22" x14ac:dyDescent="0.25">
      <c r="A669" s="49" t="s">
        <v>441</v>
      </c>
      <c r="B669" s="49" t="s">
        <v>22</v>
      </c>
      <c r="C669" s="49" t="s">
        <v>176</v>
      </c>
      <c r="D669" s="49" t="s">
        <v>84</v>
      </c>
      <c r="E669" s="49" t="s">
        <v>172</v>
      </c>
      <c r="F669" s="49">
        <v>2016</v>
      </c>
      <c r="G669" s="50">
        <v>43005.791666666664</v>
      </c>
      <c r="H669" s="50">
        <v>43018.958333333336</v>
      </c>
      <c r="I669" s="54">
        <v>43005</v>
      </c>
      <c r="J669" s="54">
        <v>43018</v>
      </c>
      <c r="K669" s="51" t="s">
        <v>526</v>
      </c>
      <c r="L669" s="51">
        <v>0.95833333333333337</v>
      </c>
      <c r="M669" s="51" t="s">
        <v>541</v>
      </c>
      <c r="N669" s="51" t="s">
        <v>535</v>
      </c>
      <c r="O669" s="51" t="s">
        <v>543</v>
      </c>
      <c r="P669" s="49" t="s">
        <v>23</v>
      </c>
      <c r="Q669" s="49" t="s">
        <v>38</v>
      </c>
      <c r="R669" s="49" t="s">
        <v>113</v>
      </c>
      <c r="S669" s="49">
        <v>3</v>
      </c>
      <c r="T669" s="49">
        <v>11</v>
      </c>
      <c r="U669" s="63">
        <v>52</v>
      </c>
      <c r="V669" s="63">
        <v>572</v>
      </c>
    </row>
    <row r="670" spans="1:22" x14ac:dyDescent="0.25">
      <c r="A670" s="49" t="s">
        <v>442</v>
      </c>
      <c r="B670" s="49" t="s">
        <v>22</v>
      </c>
      <c r="C670" s="49" t="s">
        <v>176</v>
      </c>
      <c r="D670" s="49" t="s">
        <v>86</v>
      </c>
      <c r="E670" s="49" t="s">
        <v>169</v>
      </c>
      <c r="F670" s="49">
        <v>2016</v>
      </c>
      <c r="G670" s="50">
        <v>43006.583333333336</v>
      </c>
      <c r="H670" s="50">
        <v>43019.75</v>
      </c>
      <c r="I670" s="54">
        <v>43006</v>
      </c>
      <c r="J670" s="54">
        <v>43019</v>
      </c>
      <c r="K670" s="51" t="s">
        <v>527</v>
      </c>
      <c r="L670" s="51">
        <v>0.75</v>
      </c>
      <c r="M670" s="51" t="s">
        <v>542</v>
      </c>
      <c r="N670" s="51" t="s">
        <v>535</v>
      </c>
      <c r="O670" s="51" t="s">
        <v>543</v>
      </c>
      <c r="P670" s="49" t="s">
        <v>9</v>
      </c>
      <c r="Q670" s="49" t="s">
        <v>16</v>
      </c>
      <c r="R670" s="49" t="s">
        <v>109</v>
      </c>
      <c r="S670" s="49">
        <v>4</v>
      </c>
      <c r="T670" s="49">
        <v>12</v>
      </c>
      <c r="U670" s="63">
        <v>48</v>
      </c>
      <c r="V670" s="63">
        <v>576</v>
      </c>
    </row>
    <row r="671" spans="1:22" x14ac:dyDescent="0.25">
      <c r="A671" s="49" t="s">
        <v>443</v>
      </c>
      <c r="B671" s="49" t="s">
        <v>29</v>
      </c>
      <c r="C671" s="49" t="s">
        <v>177</v>
      </c>
      <c r="D671" s="49" t="s">
        <v>76</v>
      </c>
      <c r="E671" s="49" t="s">
        <v>174</v>
      </c>
      <c r="F671" s="49">
        <v>2016</v>
      </c>
      <c r="G671" s="50">
        <v>43007.375</v>
      </c>
      <c r="H671" s="50">
        <v>43013.75</v>
      </c>
      <c r="I671" s="54">
        <v>43007</v>
      </c>
      <c r="J671" s="54">
        <v>43013</v>
      </c>
      <c r="K671" s="51" t="s">
        <v>525</v>
      </c>
      <c r="L671" s="51">
        <v>0.75</v>
      </c>
      <c r="M671" s="51" t="s">
        <v>540</v>
      </c>
      <c r="N671" s="51" t="s">
        <v>535</v>
      </c>
      <c r="O671" s="51" t="s">
        <v>543</v>
      </c>
      <c r="P671" s="49" t="s">
        <v>9</v>
      </c>
      <c r="Q671" s="49" t="s">
        <v>12</v>
      </c>
      <c r="R671" s="49" t="s">
        <v>113</v>
      </c>
      <c r="S671" s="49">
        <v>4</v>
      </c>
      <c r="T671" s="49">
        <v>12</v>
      </c>
      <c r="U671" s="63">
        <v>53</v>
      </c>
      <c r="V671" s="63">
        <v>636</v>
      </c>
    </row>
    <row r="672" spans="1:22" x14ac:dyDescent="0.25">
      <c r="A672" s="49" t="s">
        <v>444</v>
      </c>
      <c r="B672" s="49" t="s">
        <v>14</v>
      </c>
      <c r="C672" s="49" t="s">
        <v>175</v>
      </c>
      <c r="D672" s="49" t="s">
        <v>76</v>
      </c>
      <c r="E672" s="49" t="s">
        <v>174</v>
      </c>
      <c r="F672" s="49">
        <v>2016</v>
      </c>
      <c r="G672" s="50">
        <v>43008.333333333336</v>
      </c>
      <c r="H672" s="50">
        <v>43022.5</v>
      </c>
      <c r="I672" s="54">
        <v>43008</v>
      </c>
      <c r="J672" s="54">
        <v>43022</v>
      </c>
      <c r="K672" s="51" t="s">
        <v>522</v>
      </c>
      <c r="L672" s="51">
        <v>0.5</v>
      </c>
      <c r="M672" s="51" t="s">
        <v>539</v>
      </c>
      <c r="N672" s="51" t="s">
        <v>535</v>
      </c>
      <c r="O672" s="51" t="s">
        <v>543</v>
      </c>
      <c r="P672" s="49" t="s">
        <v>23</v>
      </c>
      <c r="Q672" s="49" t="s">
        <v>190</v>
      </c>
      <c r="R672" s="49" t="s">
        <v>109</v>
      </c>
      <c r="S672" s="49">
        <v>5</v>
      </c>
      <c r="T672" s="49">
        <v>9</v>
      </c>
      <c r="U672" s="63">
        <v>53</v>
      </c>
      <c r="V672" s="63">
        <v>477</v>
      </c>
    </row>
    <row r="673" spans="1:22" x14ac:dyDescent="0.25">
      <c r="A673" s="49" t="s">
        <v>445</v>
      </c>
      <c r="B673" s="49" t="s">
        <v>22</v>
      </c>
      <c r="C673" s="49" t="s">
        <v>176</v>
      </c>
      <c r="D673" s="49" t="s">
        <v>77</v>
      </c>
      <c r="E673" s="49" t="s">
        <v>172</v>
      </c>
      <c r="F673" s="49">
        <v>2016</v>
      </c>
      <c r="G673" s="50">
        <v>43025.791666666664</v>
      </c>
      <c r="H673" s="50">
        <v>43038.958333333336</v>
      </c>
      <c r="I673" s="54">
        <v>43025</v>
      </c>
      <c r="J673" s="54">
        <v>43038</v>
      </c>
      <c r="K673" s="51" t="s">
        <v>526</v>
      </c>
      <c r="L673" s="51">
        <v>0.95833333333333337</v>
      </c>
      <c r="M673" s="51" t="s">
        <v>541</v>
      </c>
      <c r="N673" s="51" t="s">
        <v>536</v>
      </c>
      <c r="O673" s="51" t="s">
        <v>543</v>
      </c>
      <c r="P673" s="49" t="s">
        <v>9</v>
      </c>
      <c r="Q673" s="49" t="s">
        <v>31</v>
      </c>
      <c r="R673" s="49" t="s">
        <v>113</v>
      </c>
      <c r="S673" s="49">
        <v>4</v>
      </c>
      <c r="T673" s="49">
        <v>9</v>
      </c>
      <c r="U673" s="63">
        <v>35</v>
      </c>
      <c r="V673" s="63">
        <v>315</v>
      </c>
    </row>
    <row r="674" spans="1:22" x14ac:dyDescent="0.25">
      <c r="A674" s="49" t="s">
        <v>446</v>
      </c>
      <c r="B674" s="49" t="s">
        <v>7</v>
      </c>
      <c r="C674" s="49" t="s">
        <v>175</v>
      </c>
      <c r="D674" s="49" t="s">
        <v>84</v>
      </c>
      <c r="E674" s="49" t="s">
        <v>172</v>
      </c>
      <c r="F674" s="49">
        <v>2016</v>
      </c>
      <c r="G674" s="50">
        <v>43026.583333333336</v>
      </c>
      <c r="H674" s="50">
        <v>43039.75</v>
      </c>
      <c r="I674" s="54">
        <v>43026</v>
      </c>
      <c r="J674" s="54">
        <v>43039</v>
      </c>
      <c r="K674" s="51" t="s">
        <v>527</v>
      </c>
      <c r="L674" s="51">
        <v>0.75</v>
      </c>
      <c r="M674" s="51" t="s">
        <v>542</v>
      </c>
      <c r="N674" s="51" t="s">
        <v>536</v>
      </c>
      <c r="O674" s="51" t="s">
        <v>543</v>
      </c>
      <c r="P674" s="49" t="s">
        <v>23</v>
      </c>
      <c r="Q674" s="49" t="s">
        <v>31</v>
      </c>
      <c r="R674" s="49" t="s">
        <v>113</v>
      </c>
      <c r="S674" s="49">
        <v>2</v>
      </c>
      <c r="T674" s="49">
        <v>10</v>
      </c>
      <c r="U674" s="63">
        <v>52</v>
      </c>
      <c r="V674" s="63">
        <v>520</v>
      </c>
    </row>
    <row r="675" spans="1:22" x14ac:dyDescent="0.25">
      <c r="A675" s="49" t="s">
        <v>447</v>
      </c>
      <c r="B675" s="49" t="s">
        <v>19</v>
      </c>
      <c r="C675" s="49" t="s">
        <v>176</v>
      </c>
      <c r="D675" s="49" t="s">
        <v>89</v>
      </c>
      <c r="E675" s="49" t="s">
        <v>169</v>
      </c>
      <c r="F675" s="49">
        <v>2016</v>
      </c>
      <c r="G675" s="50">
        <v>43028.333333333336</v>
      </c>
      <c r="H675" s="50">
        <v>43041.5</v>
      </c>
      <c r="I675" s="54">
        <v>43028</v>
      </c>
      <c r="J675" s="54">
        <v>43041</v>
      </c>
      <c r="K675" s="51" t="s">
        <v>522</v>
      </c>
      <c r="L675" s="51">
        <v>0.5</v>
      </c>
      <c r="M675" s="51" t="s">
        <v>539</v>
      </c>
      <c r="N675" s="51" t="s">
        <v>536</v>
      </c>
      <c r="O675" s="51" t="s">
        <v>543</v>
      </c>
      <c r="P675" s="49" t="s">
        <v>23</v>
      </c>
      <c r="Q675" s="49" t="s">
        <v>21</v>
      </c>
      <c r="R675" s="49" t="s">
        <v>113</v>
      </c>
      <c r="S675" s="49">
        <v>4</v>
      </c>
      <c r="T675" s="49">
        <v>12</v>
      </c>
      <c r="U675" s="63">
        <v>62</v>
      </c>
      <c r="V675" s="63">
        <v>744</v>
      </c>
    </row>
    <row r="676" spans="1:22" x14ac:dyDescent="0.25">
      <c r="A676" s="49" t="s">
        <v>448</v>
      </c>
      <c r="B676" s="49" t="s">
        <v>22</v>
      </c>
      <c r="C676" s="49" t="s">
        <v>176</v>
      </c>
      <c r="D676" s="49" t="s">
        <v>78</v>
      </c>
      <c r="E676" s="49" t="s">
        <v>172</v>
      </c>
      <c r="F676" s="49">
        <v>2016</v>
      </c>
      <c r="G676" s="50">
        <v>43031.791666666664</v>
      </c>
      <c r="H676" s="50">
        <v>43042.958333333336</v>
      </c>
      <c r="I676" s="54">
        <v>43031</v>
      </c>
      <c r="J676" s="54">
        <v>43042</v>
      </c>
      <c r="K676" s="51" t="s">
        <v>526</v>
      </c>
      <c r="L676" s="51">
        <v>0.95833333333333337</v>
      </c>
      <c r="M676" s="51" t="s">
        <v>541</v>
      </c>
      <c r="N676" s="51" t="s">
        <v>536</v>
      </c>
      <c r="O676" s="51" t="s">
        <v>543</v>
      </c>
      <c r="P676" s="49" t="s">
        <v>9</v>
      </c>
      <c r="Q676" s="49" t="s">
        <v>35</v>
      </c>
      <c r="R676" s="49" t="s">
        <v>109</v>
      </c>
      <c r="S676" s="49">
        <v>3</v>
      </c>
      <c r="T676" s="49">
        <v>9</v>
      </c>
      <c r="U676" s="63">
        <v>62</v>
      </c>
      <c r="V676" s="63">
        <v>558</v>
      </c>
    </row>
    <row r="677" spans="1:22" x14ac:dyDescent="0.25">
      <c r="A677" s="49" t="s">
        <v>449</v>
      </c>
      <c r="B677" s="49" t="s">
        <v>22</v>
      </c>
      <c r="C677" s="49" t="s">
        <v>176</v>
      </c>
      <c r="D677" s="49" t="s">
        <v>79</v>
      </c>
      <c r="E677" s="49" t="s">
        <v>168</v>
      </c>
      <c r="F677" s="49">
        <v>2016</v>
      </c>
      <c r="G677" s="50">
        <v>43031.791666666664</v>
      </c>
      <c r="H677" s="50">
        <v>43042.958333333336</v>
      </c>
      <c r="I677" s="54">
        <v>43031</v>
      </c>
      <c r="J677" s="54">
        <v>43042</v>
      </c>
      <c r="K677" s="51" t="s">
        <v>526</v>
      </c>
      <c r="L677" s="51">
        <v>0.95833333333333337</v>
      </c>
      <c r="M677" s="51" t="s">
        <v>541</v>
      </c>
      <c r="N677" s="51" t="s">
        <v>536</v>
      </c>
      <c r="O677" s="51" t="s">
        <v>543</v>
      </c>
      <c r="P677" s="49" t="s">
        <v>23</v>
      </c>
      <c r="Q677" s="49" t="s">
        <v>190</v>
      </c>
      <c r="R677" s="49" t="s">
        <v>109</v>
      </c>
      <c r="S677" s="49">
        <v>4</v>
      </c>
      <c r="T677" s="49">
        <v>12</v>
      </c>
      <c r="U677" s="63">
        <v>48</v>
      </c>
      <c r="V677" s="63">
        <v>576</v>
      </c>
    </row>
    <row r="678" spans="1:22" x14ac:dyDescent="0.25">
      <c r="A678" s="49" t="s">
        <v>450</v>
      </c>
      <c r="B678" s="49" t="s">
        <v>19</v>
      </c>
      <c r="C678" s="49" t="s">
        <v>176</v>
      </c>
      <c r="D678" s="49" t="s">
        <v>83</v>
      </c>
      <c r="E678" s="49" t="s">
        <v>174</v>
      </c>
      <c r="F678" s="49">
        <v>2016</v>
      </c>
      <c r="G678" s="50">
        <v>43032.791666666664</v>
      </c>
      <c r="H678" s="50">
        <v>43045.958333333336</v>
      </c>
      <c r="I678" s="54">
        <v>43032</v>
      </c>
      <c r="J678" s="54">
        <v>43045</v>
      </c>
      <c r="K678" s="51" t="s">
        <v>526</v>
      </c>
      <c r="L678" s="51">
        <v>0.95833333333333337</v>
      </c>
      <c r="M678" s="51" t="s">
        <v>541</v>
      </c>
      <c r="N678" s="51" t="s">
        <v>536</v>
      </c>
      <c r="O678" s="51" t="s">
        <v>543</v>
      </c>
      <c r="P678" s="49" t="s">
        <v>9</v>
      </c>
      <c r="Q678" s="49" t="s">
        <v>16</v>
      </c>
      <c r="R678" s="49" t="s">
        <v>109</v>
      </c>
      <c r="S678" s="49">
        <v>4</v>
      </c>
      <c r="T678" s="49">
        <v>8</v>
      </c>
      <c r="U678" s="63">
        <v>63</v>
      </c>
      <c r="V678" s="63">
        <v>504</v>
      </c>
    </row>
    <row r="679" spans="1:22" x14ac:dyDescent="0.25">
      <c r="A679" s="49" t="s">
        <v>451</v>
      </c>
      <c r="B679" s="49" t="s">
        <v>39</v>
      </c>
      <c r="C679" s="49" t="s">
        <v>177</v>
      </c>
      <c r="D679" s="49" t="s">
        <v>84</v>
      </c>
      <c r="E679" s="49" t="s">
        <v>172</v>
      </c>
      <c r="F679" s="49">
        <v>2016</v>
      </c>
      <c r="G679" s="50">
        <v>43033.583333333336</v>
      </c>
      <c r="H679" s="50">
        <v>43046.75</v>
      </c>
      <c r="I679" s="54">
        <v>43033</v>
      </c>
      <c r="J679" s="54">
        <v>43046</v>
      </c>
      <c r="K679" s="51" t="s">
        <v>527</v>
      </c>
      <c r="L679" s="51">
        <v>0.75</v>
      </c>
      <c r="M679" s="51" t="s">
        <v>542</v>
      </c>
      <c r="N679" s="51" t="s">
        <v>536</v>
      </c>
      <c r="O679" s="51" t="s">
        <v>543</v>
      </c>
      <c r="P679" s="49" t="s">
        <v>23</v>
      </c>
      <c r="Q679" s="49" t="s">
        <v>18</v>
      </c>
      <c r="R679" s="49" t="s">
        <v>113</v>
      </c>
      <c r="S679" s="49">
        <v>5</v>
      </c>
      <c r="T679" s="49">
        <v>11</v>
      </c>
      <c r="U679" s="63">
        <v>52</v>
      </c>
      <c r="V679" s="63">
        <v>572</v>
      </c>
    </row>
    <row r="680" spans="1:22" x14ac:dyDescent="0.25">
      <c r="A680" s="49" t="s">
        <v>452</v>
      </c>
      <c r="B680" s="49" t="s">
        <v>45</v>
      </c>
      <c r="C680" s="49" t="s">
        <v>177</v>
      </c>
      <c r="D680" s="49" t="s">
        <v>89</v>
      </c>
      <c r="E680" s="49" t="s">
        <v>169</v>
      </c>
      <c r="F680" s="49">
        <v>2016</v>
      </c>
      <c r="G680" s="50">
        <v>43034.375</v>
      </c>
      <c r="H680" s="50">
        <v>43040.75</v>
      </c>
      <c r="I680" s="54">
        <v>43034</v>
      </c>
      <c r="J680" s="54">
        <v>43040</v>
      </c>
      <c r="K680" s="51" t="s">
        <v>525</v>
      </c>
      <c r="L680" s="51">
        <v>0.75</v>
      </c>
      <c r="M680" s="51" t="s">
        <v>540</v>
      </c>
      <c r="N680" s="51" t="s">
        <v>536</v>
      </c>
      <c r="O680" s="51" t="s">
        <v>543</v>
      </c>
      <c r="P680" s="49" t="s">
        <v>23</v>
      </c>
      <c r="Q680" s="49" t="s">
        <v>38</v>
      </c>
      <c r="R680" s="49" t="s">
        <v>113</v>
      </c>
      <c r="S680" s="49">
        <v>4</v>
      </c>
      <c r="T680" s="49">
        <v>9</v>
      </c>
      <c r="U680" s="63">
        <v>62</v>
      </c>
      <c r="V680" s="63">
        <v>558</v>
      </c>
    </row>
    <row r="681" spans="1:22" x14ac:dyDescent="0.25">
      <c r="A681" s="49" t="s">
        <v>453</v>
      </c>
      <c r="B681" s="49" t="s">
        <v>7</v>
      </c>
      <c r="C681" s="49" t="s">
        <v>175</v>
      </c>
      <c r="D681" s="49" t="s">
        <v>82</v>
      </c>
      <c r="E681" s="49" t="s">
        <v>172</v>
      </c>
      <c r="F681" s="49">
        <v>2016</v>
      </c>
      <c r="G681" s="50">
        <v>43035.333333333336</v>
      </c>
      <c r="H681" s="50">
        <v>43048.5</v>
      </c>
      <c r="I681" s="54">
        <v>43035</v>
      </c>
      <c r="J681" s="54">
        <v>43048</v>
      </c>
      <c r="K681" s="51" t="s">
        <v>522</v>
      </c>
      <c r="L681" s="51">
        <v>0.5</v>
      </c>
      <c r="M681" s="51" t="s">
        <v>539</v>
      </c>
      <c r="N681" s="51" t="s">
        <v>536</v>
      </c>
      <c r="O681" s="51" t="s">
        <v>543</v>
      </c>
      <c r="P681" s="49" t="s">
        <v>9</v>
      </c>
      <c r="Q681" s="49" t="s">
        <v>16</v>
      </c>
      <c r="R681" s="49" t="s">
        <v>109</v>
      </c>
      <c r="S681" s="49">
        <v>3</v>
      </c>
      <c r="T681" s="49">
        <v>12</v>
      </c>
      <c r="U681" s="63">
        <v>75</v>
      </c>
      <c r="V681" s="63">
        <v>900</v>
      </c>
    </row>
    <row r="682" spans="1:22" x14ac:dyDescent="0.25">
      <c r="A682" s="49" t="s">
        <v>454</v>
      </c>
      <c r="B682" s="49" t="s">
        <v>14</v>
      </c>
      <c r="C682" s="49" t="s">
        <v>175</v>
      </c>
      <c r="D682" s="49" t="s">
        <v>80</v>
      </c>
      <c r="E682" s="49" t="s">
        <v>173</v>
      </c>
      <c r="F682" s="49">
        <v>2016</v>
      </c>
      <c r="G682" s="50">
        <v>43036.375</v>
      </c>
      <c r="H682" s="50">
        <v>43041.75</v>
      </c>
      <c r="I682" s="54">
        <v>43036</v>
      </c>
      <c r="J682" s="54">
        <v>43041</v>
      </c>
      <c r="K682" s="51" t="s">
        <v>525</v>
      </c>
      <c r="L682" s="51">
        <v>0.75</v>
      </c>
      <c r="M682" s="51" t="s">
        <v>540</v>
      </c>
      <c r="N682" s="51" t="s">
        <v>536</v>
      </c>
      <c r="O682" s="51" t="s">
        <v>543</v>
      </c>
      <c r="P682" s="49" t="s">
        <v>23</v>
      </c>
      <c r="Q682" s="49" t="s">
        <v>16</v>
      </c>
      <c r="R682" s="49" t="s">
        <v>109</v>
      </c>
      <c r="S682" s="49">
        <v>5</v>
      </c>
      <c r="T682" s="49">
        <v>11</v>
      </c>
      <c r="U682" s="63">
        <v>32</v>
      </c>
      <c r="V682" s="63">
        <v>352</v>
      </c>
    </row>
    <row r="683" spans="1:22" x14ac:dyDescent="0.25">
      <c r="A683" s="49" t="s">
        <v>455</v>
      </c>
      <c r="B683" s="49" t="s">
        <v>45</v>
      </c>
      <c r="C683" s="49" t="s">
        <v>177</v>
      </c>
      <c r="D683" s="49" t="s">
        <v>86</v>
      </c>
      <c r="E683" s="49" t="s">
        <v>169</v>
      </c>
      <c r="F683" s="49">
        <v>2016</v>
      </c>
      <c r="G683" s="50">
        <v>43038.791666666664</v>
      </c>
      <c r="H683" s="50">
        <v>43052.958333333336</v>
      </c>
      <c r="I683" s="54">
        <v>43038</v>
      </c>
      <c r="J683" s="54">
        <v>43052</v>
      </c>
      <c r="K683" s="51" t="s">
        <v>526</v>
      </c>
      <c r="L683" s="51">
        <v>0.95833333333333337</v>
      </c>
      <c r="M683" s="51" t="s">
        <v>541</v>
      </c>
      <c r="N683" s="51" t="s">
        <v>536</v>
      </c>
      <c r="O683" s="51" t="s">
        <v>543</v>
      </c>
      <c r="P683" s="49" t="s">
        <v>9</v>
      </c>
      <c r="Q683" s="49" t="s">
        <v>26</v>
      </c>
      <c r="R683" s="49" t="s">
        <v>113</v>
      </c>
      <c r="S683" s="49">
        <v>4</v>
      </c>
      <c r="T683" s="49">
        <v>9</v>
      </c>
      <c r="U683" s="63">
        <v>48</v>
      </c>
      <c r="V683" s="63">
        <v>432</v>
      </c>
    </row>
    <row r="684" spans="1:22" x14ac:dyDescent="0.25">
      <c r="A684" s="49" t="s">
        <v>456</v>
      </c>
      <c r="B684" s="49" t="s">
        <v>39</v>
      </c>
      <c r="C684" s="49" t="s">
        <v>177</v>
      </c>
      <c r="D684" s="49" t="s">
        <v>89</v>
      </c>
      <c r="E684" s="49" t="s">
        <v>169</v>
      </c>
      <c r="F684" s="49">
        <v>2016</v>
      </c>
      <c r="G684" s="50">
        <v>43038.791666666664</v>
      </c>
      <c r="H684" s="50">
        <v>43052.958333333336</v>
      </c>
      <c r="I684" s="54">
        <v>43038</v>
      </c>
      <c r="J684" s="54">
        <v>43052</v>
      </c>
      <c r="K684" s="51" t="s">
        <v>526</v>
      </c>
      <c r="L684" s="51">
        <v>0.95833333333333337</v>
      </c>
      <c r="M684" s="51" t="s">
        <v>541</v>
      </c>
      <c r="N684" s="51" t="s">
        <v>536</v>
      </c>
      <c r="O684" s="51" t="s">
        <v>543</v>
      </c>
      <c r="P684" s="49" t="s">
        <v>23</v>
      </c>
      <c r="Q684" s="49" t="s">
        <v>41</v>
      </c>
      <c r="R684" s="49" t="s">
        <v>113</v>
      </c>
      <c r="S684" s="49">
        <v>3</v>
      </c>
      <c r="T684" s="49">
        <v>12</v>
      </c>
      <c r="U684" s="63">
        <v>62</v>
      </c>
      <c r="V684" s="63">
        <v>744</v>
      </c>
    </row>
    <row r="685" spans="1:22" x14ac:dyDescent="0.25">
      <c r="A685" s="49" t="s">
        <v>457</v>
      </c>
      <c r="B685" s="49" t="s">
        <v>39</v>
      </c>
      <c r="C685" s="49" t="s">
        <v>177</v>
      </c>
      <c r="D685" s="49" t="s">
        <v>84</v>
      </c>
      <c r="E685" s="49" t="s">
        <v>172</v>
      </c>
      <c r="F685" s="49">
        <v>2016</v>
      </c>
      <c r="G685" s="50">
        <v>43039.791666666664</v>
      </c>
      <c r="H685" s="50">
        <v>43053.958333333336</v>
      </c>
      <c r="I685" s="54">
        <v>43039</v>
      </c>
      <c r="J685" s="54">
        <v>43053</v>
      </c>
      <c r="K685" s="51" t="s">
        <v>526</v>
      </c>
      <c r="L685" s="51">
        <v>0.95833333333333337</v>
      </c>
      <c r="M685" s="51" t="s">
        <v>541</v>
      </c>
      <c r="N685" s="51" t="s">
        <v>536</v>
      </c>
      <c r="O685" s="51" t="s">
        <v>543</v>
      </c>
      <c r="P685" s="49" t="s">
        <v>9</v>
      </c>
      <c r="Q685" s="49" t="s">
        <v>22</v>
      </c>
      <c r="R685" s="49" t="s">
        <v>109</v>
      </c>
      <c r="S685" s="49">
        <v>2</v>
      </c>
      <c r="T685" s="49">
        <v>10</v>
      </c>
      <c r="U685" s="63">
        <v>52</v>
      </c>
      <c r="V685" s="63">
        <v>520</v>
      </c>
    </row>
    <row r="686" spans="1:22" x14ac:dyDescent="0.25">
      <c r="A686" s="49" t="s">
        <v>458</v>
      </c>
      <c r="B686" s="49" t="s">
        <v>7</v>
      </c>
      <c r="C686" s="49" t="s">
        <v>175</v>
      </c>
      <c r="D686" s="49" t="s">
        <v>85</v>
      </c>
      <c r="E686" s="49" t="s">
        <v>170</v>
      </c>
      <c r="F686" s="49">
        <v>2016</v>
      </c>
      <c r="G686" s="50">
        <v>43040.583333333336</v>
      </c>
      <c r="H686" s="50">
        <v>43054.75</v>
      </c>
      <c r="I686" s="54">
        <v>43040</v>
      </c>
      <c r="J686" s="54">
        <v>43054</v>
      </c>
      <c r="K686" s="51" t="s">
        <v>527</v>
      </c>
      <c r="L686" s="51">
        <v>0.75</v>
      </c>
      <c r="M686" s="51" t="s">
        <v>542</v>
      </c>
      <c r="N686" s="51" t="s">
        <v>537</v>
      </c>
      <c r="O686" s="51" t="s">
        <v>543</v>
      </c>
      <c r="P686" s="49" t="s">
        <v>23</v>
      </c>
      <c r="Q686" s="49" t="s">
        <v>38</v>
      </c>
      <c r="R686" s="49" t="s">
        <v>113</v>
      </c>
      <c r="S686" s="49">
        <v>2</v>
      </c>
      <c r="T686" s="49">
        <v>10</v>
      </c>
      <c r="U686" s="63">
        <v>48</v>
      </c>
      <c r="V686" s="63">
        <v>480</v>
      </c>
    </row>
    <row r="687" spans="1:22" x14ac:dyDescent="0.25">
      <c r="A687" s="49" t="s">
        <v>459</v>
      </c>
      <c r="B687" s="49" t="s">
        <v>39</v>
      </c>
      <c r="C687" s="49" t="s">
        <v>177</v>
      </c>
      <c r="D687" s="49" t="s">
        <v>81</v>
      </c>
      <c r="E687" s="49" t="s">
        <v>172</v>
      </c>
      <c r="F687" s="49">
        <v>2016</v>
      </c>
      <c r="G687" s="50">
        <v>43041.375</v>
      </c>
      <c r="H687" s="50">
        <v>43047.75</v>
      </c>
      <c r="I687" s="54">
        <v>43041</v>
      </c>
      <c r="J687" s="54">
        <v>43047</v>
      </c>
      <c r="K687" s="51" t="s">
        <v>525</v>
      </c>
      <c r="L687" s="51">
        <v>0.75</v>
      </c>
      <c r="M687" s="51" t="s">
        <v>540</v>
      </c>
      <c r="N687" s="51" t="s">
        <v>537</v>
      </c>
      <c r="O687" s="51" t="s">
        <v>543</v>
      </c>
      <c r="P687" s="49" t="s">
        <v>9</v>
      </c>
      <c r="Q687" s="49" t="s">
        <v>190</v>
      </c>
      <c r="R687" s="49" t="s">
        <v>109</v>
      </c>
      <c r="S687" s="49">
        <v>5</v>
      </c>
      <c r="T687" s="49">
        <v>9</v>
      </c>
      <c r="U687" s="63">
        <v>43</v>
      </c>
      <c r="V687" s="63">
        <v>387</v>
      </c>
    </row>
    <row r="688" spans="1:22" x14ac:dyDescent="0.25">
      <c r="A688" s="49" t="s">
        <v>460</v>
      </c>
      <c r="B688" s="49" t="s">
        <v>19</v>
      </c>
      <c r="C688" s="49" t="s">
        <v>176</v>
      </c>
      <c r="D688" s="49" t="s">
        <v>77</v>
      </c>
      <c r="E688" s="49" t="s">
        <v>172</v>
      </c>
      <c r="F688" s="49">
        <v>2016</v>
      </c>
      <c r="G688" s="50">
        <v>43042.333333333336</v>
      </c>
      <c r="H688" s="50">
        <v>43059.5</v>
      </c>
      <c r="I688" s="54">
        <v>43042</v>
      </c>
      <c r="J688" s="54">
        <v>43059</v>
      </c>
      <c r="K688" s="51" t="s">
        <v>522</v>
      </c>
      <c r="L688" s="51">
        <v>0.5</v>
      </c>
      <c r="M688" s="51" t="s">
        <v>539</v>
      </c>
      <c r="N688" s="51" t="s">
        <v>537</v>
      </c>
      <c r="O688" s="51" t="s">
        <v>543</v>
      </c>
      <c r="P688" s="49" t="s">
        <v>9</v>
      </c>
      <c r="Q688" s="49" t="s">
        <v>12</v>
      </c>
      <c r="R688" s="49" t="s">
        <v>113</v>
      </c>
      <c r="S688" s="49">
        <v>3</v>
      </c>
      <c r="T688" s="49">
        <v>12</v>
      </c>
      <c r="U688" s="63">
        <v>35</v>
      </c>
      <c r="V688" s="63">
        <v>420</v>
      </c>
    </row>
    <row r="689" spans="1:22" x14ac:dyDescent="0.25">
      <c r="A689" s="49" t="s">
        <v>461</v>
      </c>
      <c r="B689" s="49" t="s">
        <v>11</v>
      </c>
      <c r="C689" s="49" t="s">
        <v>175</v>
      </c>
      <c r="D689" s="49" t="s">
        <v>76</v>
      </c>
      <c r="E689" s="49" t="s">
        <v>174</v>
      </c>
      <c r="F689" s="49">
        <v>2016</v>
      </c>
      <c r="G689" s="50">
        <v>43043.375</v>
      </c>
      <c r="H689" s="50">
        <v>43048.75</v>
      </c>
      <c r="I689" s="54">
        <v>43043</v>
      </c>
      <c r="J689" s="54">
        <v>43048</v>
      </c>
      <c r="K689" s="51" t="s">
        <v>525</v>
      </c>
      <c r="L689" s="51">
        <v>0.75</v>
      </c>
      <c r="M689" s="51" t="s">
        <v>540</v>
      </c>
      <c r="N689" s="51" t="s">
        <v>537</v>
      </c>
      <c r="O689" s="51" t="s">
        <v>543</v>
      </c>
      <c r="P689" s="49" t="s">
        <v>23</v>
      </c>
      <c r="Q689" s="49" t="s">
        <v>18</v>
      </c>
      <c r="R689" s="49" t="s">
        <v>113</v>
      </c>
      <c r="S689" s="49">
        <v>4</v>
      </c>
      <c r="T689" s="49">
        <v>9</v>
      </c>
      <c r="U689" s="63">
        <v>53</v>
      </c>
      <c r="V689" s="63">
        <v>477</v>
      </c>
    </row>
    <row r="690" spans="1:22" x14ac:dyDescent="0.25">
      <c r="A690" s="49" t="s">
        <v>462</v>
      </c>
      <c r="B690" s="49" t="s">
        <v>11</v>
      </c>
      <c r="C690" s="49" t="s">
        <v>175</v>
      </c>
      <c r="D690" s="49" t="s">
        <v>79</v>
      </c>
      <c r="E690" s="49" t="s">
        <v>168</v>
      </c>
      <c r="F690" s="49">
        <v>2016</v>
      </c>
      <c r="G690" s="50">
        <v>43045.791666666664</v>
      </c>
      <c r="H690" s="50">
        <v>43060.958333333336</v>
      </c>
      <c r="I690" s="54">
        <v>43045</v>
      </c>
      <c r="J690" s="54">
        <v>43060</v>
      </c>
      <c r="K690" s="51" t="s">
        <v>526</v>
      </c>
      <c r="L690" s="51">
        <v>0.95833333333333337</v>
      </c>
      <c r="M690" s="51" t="s">
        <v>541</v>
      </c>
      <c r="N690" s="51" t="s">
        <v>537</v>
      </c>
      <c r="O690" s="51" t="s">
        <v>543</v>
      </c>
      <c r="P690" s="49" t="s">
        <v>23</v>
      </c>
      <c r="Q690" s="49" t="s">
        <v>35</v>
      </c>
      <c r="R690" s="49" t="s">
        <v>109</v>
      </c>
      <c r="S690" s="49">
        <v>5</v>
      </c>
      <c r="T690" s="49">
        <v>8</v>
      </c>
      <c r="U690" s="63">
        <v>48</v>
      </c>
      <c r="V690" s="63">
        <v>384</v>
      </c>
    </row>
    <row r="691" spans="1:22" x14ac:dyDescent="0.25">
      <c r="A691" s="49" t="s">
        <v>463</v>
      </c>
      <c r="B691" s="49" t="s">
        <v>39</v>
      </c>
      <c r="C691" s="49" t="s">
        <v>177</v>
      </c>
      <c r="D691" s="49" t="s">
        <v>78</v>
      </c>
      <c r="E691" s="49" t="s">
        <v>172</v>
      </c>
      <c r="F691" s="49">
        <v>2016</v>
      </c>
      <c r="G691" s="50">
        <v>43045.791666666664</v>
      </c>
      <c r="H691" s="50">
        <v>43060.958333333336</v>
      </c>
      <c r="I691" s="54">
        <v>43045</v>
      </c>
      <c r="J691" s="54">
        <v>43060</v>
      </c>
      <c r="K691" s="51" t="s">
        <v>526</v>
      </c>
      <c r="L691" s="51">
        <v>0.95833333333333337</v>
      </c>
      <c r="M691" s="51" t="s">
        <v>541</v>
      </c>
      <c r="N691" s="51" t="s">
        <v>537</v>
      </c>
      <c r="O691" s="51" t="s">
        <v>543</v>
      </c>
      <c r="P691" s="49" t="s">
        <v>9</v>
      </c>
      <c r="Q691" s="49" t="s">
        <v>38</v>
      </c>
      <c r="R691" s="49" t="s">
        <v>113</v>
      </c>
      <c r="S691" s="49">
        <v>4</v>
      </c>
      <c r="T691" s="49">
        <v>8</v>
      </c>
      <c r="U691" s="63">
        <v>62</v>
      </c>
      <c r="V691" s="63">
        <v>496</v>
      </c>
    </row>
    <row r="692" spans="1:22" x14ac:dyDescent="0.25">
      <c r="A692" s="49" t="s">
        <v>464</v>
      </c>
      <c r="B692" s="49" t="s">
        <v>39</v>
      </c>
      <c r="C692" s="49" t="s">
        <v>177</v>
      </c>
      <c r="D692" s="49" t="s">
        <v>84</v>
      </c>
      <c r="E692" s="49" t="s">
        <v>172</v>
      </c>
      <c r="F692" s="49">
        <v>2016</v>
      </c>
      <c r="G692" s="50">
        <v>43046.791666666664</v>
      </c>
      <c r="H692" s="50">
        <v>43061.958333333336</v>
      </c>
      <c r="I692" s="54">
        <v>43046</v>
      </c>
      <c r="J692" s="54">
        <v>43061</v>
      </c>
      <c r="K692" s="51" t="s">
        <v>526</v>
      </c>
      <c r="L692" s="51">
        <v>0.95833333333333337</v>
      </c>
      <c r="M692" s="51" t="s">
        <v>541</v>
      </c>
      <c r="N692" s="51" t="s">
        <v>537</v>
      </c>
      <c r="O692" s="51" t="s">
        <v>543</v>
      </c>
      <c r="P692" s="49" t="s">
        <v>23</v>
      </c>
      <c r="Q692" s="49" t="s">
        <v>190</v>
      </c>
      <c r="R692" s="49" t="s">
        <v>109</v>
      </c>
      <c r="S692" s="49">
        <v>4</v>
      </c>
      <c r="T692" s="49">
        <v>8</v>
      </c>
      <c r="U692" s="63">
        <v>52</v>
      </c>
      <c r="V692" s="63">
        <v>416</v>
      </c>
    </row>
    <row r="693" spans="1:22" x14ac:dyDescent="0.25">
      <c r="A693" s="49" t="s">
        <v>465</v>
      </c>
      <c r="B693" s="49" t="s">
        <v>17</v>
      </c>
      <c r="C693" s="49" t="s">
        <v>176</v>
      </c>
      <c r="D693" s="49" t="s">
        <v>80</v>
      </c>
      <c r="E693" s="49" t="s">
        <v>173</v>
      </c>
      <c r="F693" s="49">
        <v>2016</v>
      </c>
      <c r="G693" s="50">
        <v>43047.583333333336</v>
      </c>
      <c r="H693" s="50">
        <v>43062.75</v>
      </c>
      <c r="I693" s="54">
        <v>43047</v>
      </c>
      <c r="J693" s="54">
        <v>43062</v>
      </c>
      <c r="K693" s="51" t="s">
        <v>527</v>
      </c>
      <c r="L693" s="51">
        <v>0.75</v>
      </c>
      <c r="M693" s="51" t="s">
        <v>542</v>
      </c>
      <c r="N693" s="51" t="s">
        <v>537</v>
      </c>
      <c r="O693" s="51" t="s">
        <v>543</v>
      </c>
      <c r="P693" s="49" t="s">
        <v>23</v>
      </c>
      <c r="Q693" s="49" t="s">
        <v>37</v>
      </c>
      <c r="R693" s="49" t="s">
        <v>113</v>
      </c>
      <c r="S693" s="49">
        <v>5</v>
      </c>
      <c r="T693" s="49">
        <v>12</v>
      </c>
      <c r="U693" s="63">
        <v>32</v>
      </c>
      <c r="V693" s="63">
        <v>384</v>
      </c>
    </row>
    <row r="694" spans="1:22" x14ac:dyDescent="0.25">
      <c r="A694" s="49" t="s">
        <v>466</v>
      </c>
      <c r="B694" s="49" t="s">
        <v>11</v>
      </c>
      <c r="C694" s="49" t="s">
        <v>175</v>
      </c>
      <c r="D694" s="49" t="s">
        <v>78</v>
      </c>
      <c r="E694" s="49" t="s">
        <v>172</v>
      </c>
      <c r="F694" s="49">
        <v>2016</v>
      </c>
      <c r="G694" s="50">
        <v>43048.375</v>
      </c>
      <c r="H694" s="50">
        <v>43055.75</v>
      </c>
      <c r="I694" s="54">
        <v>43048</v>
      </c>
      <c r="J694" s="54">
        <v>43055</v>
      </c>
      <c r="K694" s="51" t="s">
        <v>525</v>
      </c>
      <c r="L694" s="51">
        <v>0.75</v>
      </c>
      <c r="M694" s="51" t="s">
        <v>540</v>
      </c>
      <c r="N694" s="51" t="s">
        <v>537</v>
      </c>
      <c r="O694" s="51" t="s">
        <v>543</v>
      </c>
      <c r="P694" s="49" t="s">
        <v>23</v>
      </c>
      <c r="Q694" s="49" t="s">
        <v>44</v>
      </c>
      <c r="R694" s="49" t="s">
        <v>113</v>
      </c>
      <c r="S694" s="49">
        <v>2</v>
      </c>
      <c r="T694" s="49">
        <v>8</v>
      </c>
      <c r="U694" s="63">
        <v>62</v>
      </c>
      <c r="V694" s="63">
        <v>496</v>
      </c>
    </row>
    <row r="695" spans="1:22" x14ac:dyDescent="0.25">
      <c r="A695" s="49" t="s">
        <v>467</v>
      </c>
      <c r="B695" s="49" t="s">
        <v>7</v>
      </c>
      <c r="C695" s="49" t="s">
        <v>175</v>
      </c>
      <c r="D695" s="49" t="s">
        <v>77</v>
      </c>
      <c r="E695" s="49" t="s">
        <v>172</v>
      </c>
      <c r="F695" s="49">
        <v>2016</v>
      </c>
      <c r="G695" s="50">
        <v>43049.333333333336</v>
      </c>
      <c r="H695" s="50">
        <v>43063.5</v>
      </c>
      <c r="I695" s="54">
        <v>43049</v>
      </c>
      <c r="J695" s="54">
        <v>43063</v>
      </c>
      <c r="K695" s="51" t="s">
        <v>522</v>
      </c>
      <c r="L695" s="51">
        <v>0.5</v>
      </c>
      <c r="M695" s="51" t="s">
        <v>539</v>
      </c>
      <c r="N695" s="51" t="s">
        <v>537</v>
      </c>
      <c r="O695" s="51" t="s">
        <v>543</v>
      </c>
      <c r="P695" s="49" t="s">
        <v>9</v>
      </c>
      <c r="Q695" s="49" t="s">
        <v>22</v>
      </c>
      <c r="R695" s="49" t="s">
        <v>109</v>
      </c>
      <c r="S695" s="49">
        <v>4</v>
      </c>
      <c r="T695" s="49">
        <v>11</v>
      </c>
      <c r="U695" s="63">
        <v>35</v>
      </c>
      <c r="V695" s="63">
        <v>385</v>
      </c>
    </row>
    <row r="696" spans="1:22" x14ac:dyDescent="0.25">
      <c r="A696" s="49" t="s">
        <v>468</v>
      </c>
      <c r="B696" s="49" t="s">
        <v>14</v>
      </c>
      <c r="C696" s="49" t="s">
        <v>175</v>
      </c>
      <c r="D696" s="49" t="s">
        <v>78</v>
      </c>
      <c r="E696" s="49" t="s">
        <v>172</v>
      </c>
      <c r="F696" s="49">
        <v>2016</v>
      </c>
      <c r="G696" s="50">
        <v>43050.375</v>
      </c>
      <c r="H696" s="50">
        <v>43055.75</v>
      </c>
      <c r="I696" s="54">
        <v>43050</v>
      </c>
      <c r="J696" s="54">
        <v>43055</v>
      </c>
      <c r="K696" s="51" t="s">
        <v>525</v>
      </c>
      <c r="L696" s="51">
        <v>0.75</v>
      </c>
      <c r="M696" s="51" t="s">
        <v>540</v>
      </c>
      <c r="N696" s="51" t="s">
        <v>537</v>
      </c>
      <c r="O696" s="51" t="s">
        <v>543</v>
      </c>
      <c r="P696" s="49" t="s">
        <v>9</v>
      </c>
      <c r="Q696" s="49" t="s">
        <v>41</v>
      </c>
      <c r="R696" s="49" t="s">
        <v>113</v>
      </c>
      <c r="S696" s="49">
        <v>5</v>
      </c>
      <c r="T696" s="49">
        <v>12</v>
      </c>
      <c r="U696" s="63">
        <v>62</v>
      </c>
      <c r="V696" s="63">
        <v>744</v>
      </c>
    </row>
    <row r="697" spans="1:22" x14ac:dyDescent="0.25">
      <c r="A697" s="49" t="s">
        <v>469</v>
      </c>
      <c r="B697" s="49" t="s">
        <v>11</v>
      </c>
      <c r="C697" s="49" t="s">
        <v>175</v>
      </c>
      <c r="D697" s="49" t="s">
        <v>88</v>
      </c>
      <c r="E697" s="49" t="s">
        <v>170</v>
      </c>
      <c r="F697" s="49">
        <v>2016</v>
      </c>
      <c r="G697" s="50">
        <v>43052.791666666664</v>
      </c>
      <c r="H697" s="50">
        <v>43067.958333333336</v>
      </c>
      <c r="I697" s="54">
        <v>43052</v>
      </c>
      <c r="J697" s="54">
        <v>43067</v>
      </c>
      <c r="K697" s="51" t="s">
        <v>526</v>
      </c>
      <c r="L697" s="51">
        <v>0.95833333333333337</v>
      </c>
      <c r="M697" s="51" t="s">
        <v>541</v>
      </c>
      <c r="N697" s="51" t="s">
        <v>537</v>
      </c>
      <c r="O697" s="51" t="s">
        <v>543</v>
      </c>
      <c r="P697" s="49" t="s">
        <v>23</v>
      </c>
      <c r="Q697" s="49" t="s">
        <v>16</v>
      </c>
      <c r="R697" s="49" t="s">
        <v>109</v>
      </c>
      <c r="S697" s="49">
        <v>3</v>
      </c>
      <c r="T697" s="49">
        <v>11</v>
      </c>
      <c r="U697" s="63">
        <v>42</v>
      </c>
      <c r="V697" s="63">
        <v>462</v>
      </c>
    </row>
    <row r="698" spans="1:22" x14ac:dyDescent="0.25">
      <c r="A698" s="49" t="s">
        <v>470</v>
      </c>
      <c r="B698" s="49" t="s">
        <v>19</v>
      </c>
      <c r="C698" s="49" t="s">
        <v>176</v>
      </c>
      <c r="D698" s="49" t="s">
        <v>80</v>
      </c>
      <c r="E698" s="49" t="s">
        <v>173</v>
      </c>
      <c r="F698" s="49">
        <v>2016</v>
      </c>
      <c r="G698" s="50">
        <v>43052.791666666664</v>
      </c>
      <c r="H698" s="50">
        <v>43067.958333333336</v>
      </c>
      <c r="I698" s="54">
        <v>43052</v>
      </c>
      <c r="J698" s="54">
        <v>43067</v>
      </c>
      <c r="K698" s="51" t="s">
        <v>526</v>
      </c>
      <c r="L698" s="51">
        <v>0.95833333333333337</v>
      </c>
      <c r="M698" s="51" t="s">
        <v>541</v>
      </c>
      <c r="N698" s="51" t="s">
        <v>537</v>
      </c>
      <c r="O698" s="51" t="s">
        <v>543</v>
      </c>
      <c r="P698" s="49" t="s">
        <v>23</v>
      </c>
      <c r="Q698" s="49" t="s">
        <v>190</v>
      </c>
      <c r="R698" s="49" t="s">
        <v>109</v>
      </c>
      <c r="S698" s="49">
        <v>5</v>
      </c>
      <c r="T698" s="49">
        <v>12</v>
      </c>
      <c r="U698" s="63">
        <v>32</v>
      </c>
      <c r="V698" s="63">
        <v>384</v>
      </c>
    </row>
    <row r="699" spans="1:22" x14ac:dyDescent="0.25">
      <c r="A699" s="49" t="s">
        <v>471</v>
      </c>
      <c r="B699" s="49" t="s">
        <v>11</v>
      </c>
      <c r="C699" s="49" t="s">
        <v>175</v>
      </c>
      <c r="D699" s="49" t="s">
        <v>84</v>
      </c>
      <c r="E699" s="49" t="s">
        <v>172</v>
      </c>
      <c r="F699" s="49">
        <v>2016</v>
      </c>
      <c r="G699" s="50">
        <v>43053.791666666664</v>
      </c>
      <c r="H699" s="50">
        <v>43068.958333333336</v>
      </c>
      <c r="I699" s="54">
        <v>43053</v>
      </c>
      <c r="J699" s="54">
        <v>43068</v>
      </c>
      <c r="K699" s="51" t="s">
        <v>526</v>
      </c>
      <c r="L699" s="51">
        <v>0.95833333333333337</v>
      </c>
      <c r="M699" s="51" t="s">
        <v>541</v>
      </c>
      <c r="N699" s="51" t="s">
        <v>537</v>
      </c>
      <c r="O699" s="51" t="s">
        <v>543</v>
      </c>
      <c r="P699" s="49" t="s">
        <v>23</v>
      </c>
      <c r="Q699" s="49" t="s">
        <v>37</v>
      </c>
      <c r="R699" s="49" t="s">
        <v>113</v>
      </c>
      <c r="S699" s="49">
        <v>3</v>
      </c>
      <c r="T699" s="49">
        <v>12</v>
      </c>
      <c r="U699" s="63">
        <v>52</v>
      </c>
      <c r="V699" s="63">
        <v>624</v>
      </c>
    </row>
    <row r="700" spans="1:22" x14ac:dyDescent="0.25">
      <c r="A700" s="49" t="s">
        <v>472</v>
      </c>
      <c r="B700" s="49" t="s">
        <v>39</v>
      </c>
      <c r="C700" s="49" t="s">
        <v>177</v>
      </c>
      <c r="D700" s="49" t="s">
        <v>82</v>
      </c>
      <c r="E700" s="49" t="s">
        <v>172</v>
      </c>
      <c r="F700" s="49">
        <v>2016</v>
      </c>
      <c r="G700" s="50">
        <v>43054.583333333336</v>
      </c>
      <c r="H700" s="50">
        <v>43069.75</v>
      </c>
      <c r="I700" s="54">
        <v>43054</v>
      </c>
      <c r="J700" s="54">
        <v>43069</v>
      </c>
      <c r="K700" s="51" t="s">
        <v>527</v>
      </c>
      <c r="L700" s="51">
        <v>0.75</v>
      </c>
      <c r="M700" s="51" t="s">
        <v>542</v>
      </c>
      <c r="N700" s="51" t="s">
        <v>537</v>
      </c>
      <c r="O700" s="51" t="s">
        <v>543</v>
      </c>
      <c r="P700" s="49" t="s">
        <v>23</v>
      </c>
      <c r="Q700" s="49" t="s">
        <v>190</v>
      </c>
      <c r="R700" s="49" t="s">
        <v>109</v>
      </c>
      <c r="S700" s="49">
        <v>3</v>
      </c>
      <c r="T700" s="49">
        <v>11</v>
      </c>
      <c r="U700" s="63">
        <v>75</v>
      </c>
      <c r="V700" s="63">
        <v>825</v>
      </c>
    </row>
    <row r="701" spans="1:22" x14ac:dyDescent="0.25">
      <c r="A701" s="49" t="s">
        <v>473</v>
      </c>
      <c r="B701" s="49" t="s">
        <v>19</v>
      </c>
      <c r="C701" s="49" t="s">
        <v>176</v>
      </c>
      <c r="D701" s="49" t="s">
        <v>84</v>
      </c>
      <c r="E701" s="49" t="s">
        <v>172</v>
      </c>
      <c r="F701" s="49">
        <v>2016</v>
      </c>
      <c r="G701" s="50">
        <v>43055.375</v>
      </c>
      <c r="H701" s="50">
        <v>43062.75</v>
      </c>
      <c r="I701" s="54">
        <v>43055</v>
      </c>
      <c r="J701" s="54">
        <v>43062</v>
      </c>
      <c r="K701" s="51" t="s">
        <v>525</v>
      </c>
      <c r="L701" s="51">
        <v>0.75</v>
      </c>
      <c r="M701" s="51" t="s">
        <v>540</v>
      </c>
      <c r="N701" s="51" t="s">
        <v>537</v>
      </c>
      <c r="O701" s="51" t="s">
        <v>543</v>
      </c>
      <c r="P701" s="49" t="s">
        <v>9</v>
      </c>
      <c r="Q701" s="49" t="s">
        <v>190</v>
      </c>
      <c r="R701" s="49" t="s">
        <v>109</v>
      </c>
      <c r="S701" s="49">
        <v>2</v>
      </c>
      <c r="T701" s="49">
        <v>11</v>
      </c>
      <c r="U701" s="63">
        <v>52</v>
      </c>
      <c r="V701" s="63">
        <v>572</v>
      </c>
    </row>
    <row r="702" spans="1:22" x14ac:dyDescent="0.25">
      <c r="A702" s="49" t="s">
        <v>474</v>
      </c>
      <c r="B702" s="49" t="s">
        <v>11</v>
      </c>
      <c r="C702" s="49" t="s">
        <v>175</v>
      </c>
      <c r="D702" s="49" t="s">
        <v>88</v>
      </c>
      <c r="E702" s="49" t="s">
        <v>170</v>
      </c>
      <c r="F702" s="49">
        <v>2016</v>
      </c>
      <c r="G702" s="50">
        <v>43056.333333333336</v>
      </c>
      <c r="H702" s="50">
        <v>43070.5</v>
      </c>
      <c r="I702" s="54">
        <v>43056</v>
      </c>
      <c r="J702" s="54">
        <v>43070</v>
      </c>
      <c r="K702" s="51" t="s">
        <v>522</v>
      </c>
      <c r="L702" s="51">
        <v>0.5</v>
      </c>
      <c r="M702" s="51" t="s">
        <v>539</v>
      </c>
      <c r="N702" s="51" t="s">
        <v>537</v>
      </c>
      <c r="O702" s="51" t="s">
        <v>543</v>
      </c>
      <c r="P702" s="49" t="s">
        <v>23</v>
      </c>
      <c r="Q702" s="49" t="s">
        <v>16</v>
      </c>
      <c r="R702" s="49" t="s">
        <v>109</v>
      </c>
      <c r="S702" s="49">
        <v>3</v>
      </c>
      <c r="T702" s="49">
        <v>11</v>
      </c>
      <c r="U702" s="63">
        <v>42</v>
      </c>
      <c r="V702" s="63">
        <v>462</v>
      </c>
    </row>
    <row r="703" spans="1:22" x14ac:dyDescent="0.25">
      <c r="A703" s="49" t="s">
        <v>475</v>
      </c>
      <c r="B703" s="49" t="s">
        <v>7</v>
      </c>
      <c r="C703" s="49" t="s">
        <v>175</v>
      </c>
      <c r="D703" s="49" t="s">
        <v>76</v>
      </c>
      <c r="E703" s="49" t="s">
        <v>174</v>
      </c>
      <c r="F703" s="49">
        <v>2016</v>
      </c>
      <c r="G703" s="50">
        <v>43057.375</v>
      </c>
      <c r="H703" s="50">
        <v>43062.75</v>
      </c>
      <c r="I703" s="54">
        <v>43057</v>
      </c>
      <c r="J703" s="54">
        <v>43062</v>
      </c>
      <c r="K703" s="51" t="s">
        <v>525</v>
      </c>
      <c r="L703" s="51">
        <v>0.75</v>
      </c>
      <c r="M703" s="51" t="s">
        <v>540</v>
      </c>
      <c r="N703" s="51" t="s">
        <v>537</v>
      </c>
      <c r="O703" s="51" t="s">
        <v>543</v>
      </c>
      <c r="P703" s="49" t="s">
        <v>9</v>
      </c>
      <c r="Q703" s="49" t="s">
        <v>18</v>
      </c>
      <c r="R703" s="49" t="s">
        <v>113</v>
      </c>
      <c r="S703" s="49">
        <v>4</v>
      </c>
      <c r="T703" s="49">
        <v>12</v>
      </c>
      <c r="U703" s="63">
        <v>53</v>
      </c>
      <c r="V703" s="63">
        <v>636</v>
      </c>
    </row>
    <row r="704" spans="1:22" x14ac:dyDescent="0.25">
      <c r="A704" s="49" t="s">
        <v>476</v>
      </c>
      <c r="B704" s="49" t="s">
        <v>39</v>
      </c>
      <c r="C704" s="49" t="s">
        <v>177</v>
      </c>
      <c r="D704" s="49" t="s">
        <v>80</v>
      </c>
      <c r="E704" s="49" t="s">
        <v>173</v>
      </c>
      <c r="F704" s="49">
        <v>2016</v>
      </c>
      <c r="G704" s="50">
        <v>43059.791666666664</v>
      </c>
      <c r="H704" s="50">
        <v>43073.958333333336</v>
      </c>
      <c r="I704" s="54">
        <v>43059</v>
      </c>
      <c r="J704" s="54">
        <v>43073</v>
      </c>
      <c r="K704" s="51" t="s">
        <v>526</v>
      </c>
      <c r="L704" s="51">
        <v>0.95833333333333337</v>
      </c>
      <c r="M704" s="51" t="s">
        <v>541</v>
      </c>
      <c r="N704" s="51" t="s">
        <v>537</v>
      </c>
      <c r="O704" s="51" t="s">
        <v>543</v>
      </c>
      <c r="P704" s="49" t="s">
        <v>23</v>
      </c>
      <c r="Q704" s="49" t="s">
        <v>16</v>
      </c>
      <c r="R704" s="49" t="s">
        <v>109</v>
      </c>
      <c r="S704" s="49">
        <v>5</v>
      </c>
      <c r="T704" s="49">
        <v>12</v>
      </c>
      <c r="U704" s="63">
        <v>32</v>
      </c>
      <c r="V704" s="63">
        <v>384</v>
      </c>
    </row>
    <row r="705" spans="1:22" x14ac:dyDescent="0.25">
      <c r="A705" s="49" t="s">
        <v>477</v>
      </c>
      <c r="B705" s="49" t="s">
        <v>39</v>
      </c>
      <c r="C705" s="49" t="s">
        <v>177</v>
      </c>
      <c r="D705" s="49" t="s">
        <v>88</v>
      </c>
      <c r="E705" s="49" t="s">
        <v>170</v>
      </c>
      <c r="F705" s="49">
        <v>2016</v>
      </c>
      <c r="G705" s="50">
        <v>43059.791666666664</v>
      </c>
      <c r="H705" s="50">
        <v>43073.958333333336</v>
      </c>
      <c r="I705" s="54">
        <v>43059</v>
      </c>
      <c r="J705" s="54">
        <v>43073</v>
      </c>
      <c r="K705" s="51" t="s">
        <v>526</v>
      </c>
      <c r="L705" s="51">
        <v>0.95833333333333337</v>
      </c>
      <c r="M705" s="51" t="s">
        <v>541</v>
      </c>
      <c r="N705" s="51" t="s">
        <v>537</v>
      </c>
      <c r="O705" s="51" t="s">
        <v>543</v>
      </c>
      <c r="P705" s="49" t="s">
        <v>9</v>
      </c>
      <c r="Q705" s="49" t="s">
        <v>190</v>
      </c>
      <c r="R705" s="49" t="s">
        <v>109</v>
      </c>
      <c r="S705" s="49">
        <v>4</v>
      </c>
      <c r="T705" s="49">
        <v>8</v>
      </c>
      <c r="U705" s="63">
        <v>42</v>
      </c>
      <c r="V705" s="63">
        <v>336</v>
      </c>
    </row>
    <row r="706" spans="1:22" x14ac:dyDescent="0.25">
      <c r="A706" s="49" t="s">
        <v>478</v>
      </c>
      <c r="B706" s="49" t="s">
        <v>45</v>
      </c>
      <c r="C706" s="49" t="s">
        <v>177</v>
      </c>
      <c r="D706" s="49" t="s">
        <v>82</v>
      </c>
      <c r="E706" s="49" t="s">
        <v>172</v>
      </c>
      <c r="F706" s="49">
        <v>2016</v>
      </c>
      <c r="G706" s="50">
        <v>43060.791666666664</v>
      </c>
      <c r="H706" s="50">
        <v>43074.958333333336</v>
      </c>
      <c r="I706" s="54">
        <v>43060</v>
      </c>
      <c r="J706" s="54">
        <v>43074</v>
      </c>
      <c r="K706" s="51" t="s">
        <v>526</v>
      </c>
      <c r="L706" s="51">
        <v>0.95833333333333337</v>
      </c>
      <c r="M706" s="51" t="s">
        <v>541</v>
      </c>
      <c r="N706" s="51" t="s">
        <v>537</v>
      </c>
      <c r="O706" s="51" t="s">
        <v>543</v>
      </c>
      <c r="P706" s="49" t="s">
        <v>23</v>
      </c>
      <c r="Q706" s="49" t="s">
        <v>37</v>
      </c>
      <c r="R706" s="49" t="s">
        <v>113</v>
      </c>
      <c r="S706" s="49">
        <v>3</v>
      </c>
      <c r="T706" s="49">
        <v>11</v>
      </c>
      <c r="U706" s="63">
        <v>75</v>
      </c>
      <c r="V706" s="63">
        <v>825</v>
      </c>
    </row>
    <row r="707" spans="1:22" x14ac:dyDescent="0.25">
      <c r="A707" s="49" t="s">
        <v>479</v>
      </c>
      <c r="B707" s="49" t="s">
        <v>7</v>
      </c>
      <c r="C707" s="49" t="s">
        <v>175</v>
      </c>
      <c r="D707" s="49" t="s">
        <v>80</v>
      </c>
      <c r="E707" s="49" t="s">
        <v>173</v>
      </c>
      <c r="F707" s="49">
        <v>2016</v>
      </c>
      <c r="G707" s="50">
        <v>43061.583333333336</v>
      </c>
      <c r="H707" s="50">
        <v>43075.75</v>
      </c>
      <c r="I707" s="54">
        <v>43061</v>
      </c>
      <c r="J707" s="54">
        <v>43075</v>
      </c>
      <c r="K707" s="51" t="s">
        <v>527</v>
      </c>
      <c r="L707" s="51">
        <v>0.75</v>
      </c>
      <c r="M707" s="51" t="s">
        <v>542</v>
      </c>
      <c r="N707" s="51" t="s">
        <v>537</v>
      </c>
      <c r="O707" s="51" t="s">
        <v>543</v>
      </c>
      <c r="P707" s="49" t="s">
        <v>23</v>
      </c>
      <c r="Q707" s="49" t="s">
        <v>37</v>
      </c>
      <c r="R707" s="49" t="s">
        <v>113</v>
      </c>
      <c r="S707" s="49">
        <v>5</v>
      </c>
      <c r="T707" s="49">
        <v>9</v>
      </c>
      <c r="U707" s="63">
        <v>32</v>
      </c>
      <c r="V707" s="63">
        <v>288</v>
      </c>
    </row>
    <row r="708" spans="1:22" x14ac:dyDescent="0.25">
      <c r="A708" s="49" t="s">
        <v>480</v>
      </c>
      <c r="B708" s="49" t="s">
        <v>14</v>
      </c>
      <c r="C708" s="49" t="s">
        <v>175</v>
      </c>
      <c r="D708" s="49" t="s">
        <v>77</v>
      </c>
      <c r="E708" s="49" t="s">
        <v>172</v>
      </c>
      <c r="F708" s="49">
        <v>2016</v>
      </c>
      <c r="G708" s="50">
        <v>43062.375</v>
      </c>
      <c r="H708" s="50">
        <v>43069.75</v>
      </c>
      <c r="I708" s="54">
        <v>43062</v>
      </c>
      <c r="J708" s="54">
        <v>43069</v>
      </c>
      <c r="K708" s="51" t="s">
        <v>525</v>
      </c>
      <c r="L708" s="51">
        <v>0.75</v>
      </c>
      <c r="M708" s="51" t="s">
        <v>540</v>
      </c>
      <c r="N708" s="51" t="s">
        <v>537</v>
      </c>
      <c r="O708" s="51" t="s">
        <v>543</v>
      </c>
      <c r="P708" s="49" t="s">
        <v>9</v>
      </c>
      <c r="Q708" s="49" t="s">
        <v>31</v>
      </c>
      <c r="R708" s="49" t="s">
        <v>113</v>
      </c>
      <c r="S708" s="49">
        <v>2</v>
      </c>
      <c r="T708" s="49">
        <v>8</v>
      </c>
      <c r="U708" s="63">
        <v>35</v>
      </c>
      <c r="V708" s="63">
        <v>280</v>
      </c>
    </row>
    <row r="709" spans="1:22" x14ac:dyDescent="0.25">
      <c r="A709" s="49" t="s">
        <v>481</v>
      </c>
      <c r="B709" s="49" t="s">
        <v>7</v>
      </c>
      <c r="C709" s="49" t="s">
        <v>175</v>
      </c>
      <c r="D709" s="49" t="s">
        <v>86</v>
      </c>
      <c r="E709" s="49" t="s">
        <v>169</v>
      </c>
      <c r="F709" s="49">
        <v>2016</v>
      </c>
      <c r="G709" s="50">
        <v>43063.333333333336</v>
      </c>
      <c r="H709" s="50">
        <v>43077.5</v>
      </c>
      <c r="I709" s="54">
        <v>43063</v>
      </c>
      <c r="J709" s="54">
        <v>43077</v>
      </c>
      <c r="K709" s="51" t="s">
        <v>522</v>
      </c>
      <c r="L709" s="51">
        <v>0.5</v>
      </c>
      <c r="M709" s="51" t="s">
        <v>539</v>
      </c>
      <c r="N709" s="51" t="s">
        <v>537</v>
      </c>
      <c r="O709" s="51" t="s">
        <v>543</v>
      </c>
      <c r="P709" s="49" t="s">
        <v>9</v>
      </c>
      <c r="Q709" s="49" t="s">
        <v>44</v>
      </c>
      <c r="R709" s="49" t="s">
        <v>113</v>
      </c>
      <c r="S709" s="49">
        <v>2</v>
      </c>
      <c r="T709" s="49">
        <v>8</v>
      </c>
      <c r="U709" s="63">
        <v>48</v>
      </c>
      <c r="V709" s="63">
        <v>384</v>
      </c>
    </row>
    <row r="710" spans="1:22" x14ac:dyDescent="0.25">
      <c r="A710" s="49" t="s">
        <v>482</v>
      </c>
      <c r="B710" s="49" t="s">
        <v>29</v>
      </c>
      <c r="C710" s="49" t="s">
        <v>177</v>
      </c>
      <c r="D710" s="49" t="s">
        <v>82</v>
      </c>
      <c r="E710" s="49" t="s">
        <v>172</v>
      </c>
      <c r="F710" s="49">
        <v>2016</v>
      </c>
      <c r="G710" s="50">
        <v>43064.375</v>
      </c>
      <c r="H710" s="50">
        <v>43070.75</v>
      </c>
      <c r="I710" s="54">
        <v>43064</v>
      </c>
      <c r="J710" s="54">
        <v>43070</v>
      </c>
      <c r="K710" s="51" t="s">
        <v>525</v>
      </c>
      <c r="L710" s="51">
        <v>0.75</v>
      </c>
      <c r="M710" s="51" t="s">
        <v>540</v>
      </c>
      <c r="N710" s="51" t="s">
        <v>537</v>
      </c>
      <c r="O710" s="51" t="s">
        <v>543</v>
      </c>
      <c r="P710" s="49" t="s">
        <v>23</v>
      </c>
      <c r="Q710" s="49" t="s">
        <v>38</v>
      </c>
      <c r="R710" s="49" t="s">
        <v>113</v>
      </c>
      <c r="S710" s="49">
        <v>2</v>
      </c>
      <c r="T710" s="49">
        <v>11</v>
      </c>
      <c r="U710" s="63">
        <v>75</v>
      </c>
      <c r="V710" s="63">
        <v>825</v>
      </c>
    </row>
    <row r="711" spans="1:22" x14ac:dyDescent="0.25">
      <c r="A711" s="49" t="s">
        <v>483</v>
      </c>
      <c r="B711" s="49" t="s">
        <v>11</v>
      </c>
      <c r="C711" s="49" t="s">
        <v>175</v>
      </c>
      <c r="D711" s="49" t="s">
        <v>88</v>
      </c>
      <c r="E711" s="49" t="s">
        <v>170</v>
      </c>
      <c r="F711" s="49">
        <v>2016</v>
      </c>
      <c r="G711" s="50">
        <v>43066.791666666664</v>
      </c>
      <c r="H711" s="50">
        <v>43077.958333333336</v>
      </c>
      <c r="I711" s="54">
        <v>43066</v>
      </c>
      <c r="J711" s="54">
        <v>43077</v>
      </c>
      <c r="K711" s="51" t="s">
        <v>526</v>
      </c>
      <c r="L711" s="51">
        <v>0.95833333333333337</v>
      </c>
      <c r="M711" s="51" t="s">
        <v>541</v>
      </c>
      <c r="N711" s="51" t="s">
        <v>537</v>
      </c>
      <c r="O711" s="51" t="s">
        <v>543</v>
      </c>
      <c r="P711" s="49" t="s">
        <v>9</v>
      </c>
      <c r="Q711" s="49" t="s">
        <v>18</v>
      </c>
      <c r="R711" s="49" t="s">
        <v>113</v>
      </c>
      <c r="S711" s="49">
        <v>5</v>
      </c>
      <c r="T711" s="49">
        <v>12</v>
      </c>
      <c r="U711" s="63">
        <v>42</v>
      </c>
      <c r="V711" s="63">
        <v>504</v>
      </c>
    </row>
    <row r="712" spans="1:22" x14ac:dyDescent="0.25">
      <c r="A712" s="49" t="s">
        <v>484</v>
      </c>
      <c r="B712" s="49" t="s">
        <v>19</v>
      </c>
      <c r="C712" s="49" t="s">
        <v>176</v>
      </c>
      <c r="D712" s="49" t="s">
        <v>82</v>
      </c>
      <c r="E712" s="49" t="s">
        <v>172</v>
      </c>
      <c r="F712" s="49">
        <v>2016</v>
      </c>
      <c r="G712" s="50">
        <v>43066.791666666664</v>
      </c>
      <c r="H712" s="50">
        <v>43077.958333333336</v>
      </c>
      <c r="I712" s="54">
        <v>43066</v>
      </c>
      <c r="J712" s="54">
        <v>43077</v>
      </c>
      <c r="K712" s="51" t="s">
        <v>526</v>
      </c>
      <c r="L712" s="51">
        <v>0.95833333333333337</v>
      </c>
      <c r="M712" s="51" t="s">
        <v>541</v>
      </c>
      <c r="N712" s="51" t="s">
        <v>537</v>
      </c>
      <c r="O712" s="51" t="s">
        <v>543</v>
      </c>
      <c r="P712" s="49" t="s">
        <v>23</v>
      </c>
      <c r="Q712" s="49" t="s">
        <v>16</v>
      </c>
      <c r="R712" s="49" t="s">
        <v>109</v>
      </c>
      <c r="S712" s="49">
        <v>4</v>
      </c>
      <c r="T712" s="49">
        <v>12</v>
      </c>
      <c r="U712" s="63">
        <v>75</v>
      </c>
      <c r="V712" s="63">
        <v>900</v>
      </c>
    </row>
    <row r="713" spans="1:22" x14ac:dyDescent="0.25">
      <c r="A713" s="49" t="s">
        <v>485</v>
      </c>
      <c r="B713" s="49" t="s">
        <v>22</v>
      </c>
      <c r="C713" s="49" t="s">
        <v>176</v>
      </c>
      <c r="D713" s="49" t="s">
        <v>89</v>
      </c>
      <c r="E713" s="49" t="s">
        <v>169</v>
      </c>
      <c r="F713" s="49">
        <v>2016</v>
      </c>
      <c r="G713" s="50">
        <v>43067.791666666664</v>
      </c>
      <c r="H713" s="50">
        <v>43080.958333333336</v>
      </c>
      <c r="I713" s="54">
        <v>43067</v>
      </c>
      <c r="J713" s="54">
        <v>43080</v>
      </c>
      <c r="K713" s="51" t="s">
        <v>526</v>
      </c>
      <c r="L713" s="51">
        <v>0.95833333333333337</v>
      </c>
      <c r="M713" s="51" t="s">
        <v>541</v>
      </c>
      <c r="N713" s="51" t="s">
        <v>537</v>
      </c>
      <c r="O713" s="51" t="s">
        <v>543</v>
      </c>
      <c r="P713" s="49" t="s">
        <v>23</v>
      </c>
      <c r="Q713" s="49" t="s">
        <v>18</v>
      </c>
      <c r="R713" s="49" t="s">
        <v>113</v>
      </c>
      <c r="S713" s="49">
        <v>3</v>
      </c>
      <c r="T713" s="49">
        <v>12</v>
      </c>
      <c r="U713" s="63">
        <v>62</v>
      </c>
      <c r="V713" s="63">
        <v>744</v>
      </c>
    </row>
    <row r="714" spans="1:22" x14ac:dyDescent="0.25">
      <c r="A714" s="49" t="s">
        <v>486</v>
      </c>
      <c r="B714" s="49" t="s">
        <v>7</v>
      </c>
      <c r="C714" s="49" t="s">
        <v>175</v>
      </c>
      <c r="D714" s="49" t="s">
        <v>78</v>
      </c>
      <c r="E714" s="49" t="s">
        <v>172</v>
      </c>
      <c r="F714" s="49">
        <v>2016</v>
      </c>
      <c r="G714" s="50">
        <v>43068.583333333336</v>
      </c>
      <c r="H714" s="50">
        <v>43081.75</v>
      </c>
      <c r="I714" s="54">
        <v>43068</v>
      </c>
      <c r="J714" s="54">
        <v>43081</v>
      </c>
      <c r="K714" s="51" t="s">
        <v>527</v>
      </c>
      <c r="L714" s="51">
        <v>0.75</v>
      </c>
      <c r="M714" s="51" t="s">
        <v>542</v>
      </c>
      <c r="N714" s="51" t="s">
        <v>537</v>
      </c>
      <c r="O714" s="51" t="s">
        <v>543</v>
      </c>
      <c r="P714" s="49" t="s">
        <v>9</v>
      </c>
      <c r="Q714" s="49" t="s">
        <v>38</v>
      </c>
      <c r="R714" s="49" t="s">
        <v>113</v>
      </c>
      <c r="S714" s="49">
        <v>2</v>
      </c>
      <c r="T714" s="49">
        <v>11</v>
      </c>
      <c r="U714" s="63">
        <v>62</v>
      </c>
      <c r="V714" s="63">
        <v>682</v>
      </c>
    </row>
    <row r="715" spans="1:22" x14ac:dyDescent="0.25">
      <c r="A715" s="49" t="s">
        <v>487</v>
      </c>
      <c r="B715" s="49" t="s">
        <v>29</v>
      </c>
      <c r="C715" s="49" t="s">
        <v>177</v>
      </c>
      <c r="D715" s="49" t="s">
        <v>80</v>
      </c>
      <c r="E715" s="49" t="s">
        <v>173</v>
      </c>
      <c r="F715" s="49">
        <v>2016</v>
      </c>
      <c r="G715" s="50">
        <v>43069.375</v>
      </c>
      <c r="H715" s="50">
        <v>43075.75</v>
      </c>
      <c r="I715" s="54">
        <v>43069</v>
      </c>
      <c r="J715" s="54">
        <v>43075</v>
      </c>
      <c r="K715" s="51" t="s">
        <v>525</v>
      </c>
      <c r="L715" s="51">
        <v>0.75</v>
      </c>
      <c r="M715" s="51" t="s">
        <v>540</v>
      </c>
      <c r="N715" s="51" t="s">
        <v>537</v>
      </c>
      <c r="O715" s="51" t="s">
        <v>543</v>
      </c>
      <c r="P715" s="49" t="s">
        <v>23</v>
      </c>
      <c r="Q715" s="49" t="s">
        <v>18</v>
      </c>
      <c r="R715" s="49" t="s">
        <v>113</v>
      </c>
      <c r="S715" s="49">
        <v>3</v>
      </c>
      <c r="T715" s="49">
        <v>12</v>
      </c>
      <c r="U715" s="63">
        <v>32</v>
      </c>
      <c r="V715" s="63">
        <v>384</v>
      </c>
    </row>
    <row r="716" spans="1:22" x14ac:dyDescent="0.25">
      <c r="A716" s="49" t="s">
        <v>488</v>
      </c>
      <c r="B716" s="49" t="s">
        <v>45</v>
      </c>
      <c r="C716" s="49" t="s">
        <v>177</v>
      </c>
      <c r="D716" s="49" t="s">
        <v>78</v>
      </c>
      <c r="E716" s="49" t="s">
        <v>172</v>
      </c>
      <c r="F716" s="49">
        <v>2016</v>
      </c>
      <c r="G716" s="50">
        <v>43070.333333333336</v>
      </c>
      <c r="H716" s="50">
        <v>43083.5</v>
      </c>
      <c r="I716" s="54">
        <v>43070</v>
      </c>
      <c r="J716" s="54">
        <v>43083</v>
      </c>
      <c r="K716" s="51" t="s">
        <v>522</v>
      </c>
      <c r="L716" s="51">
        <v>0.5</v>
      </c>
      <c r="M716" s="51" t="s">
        <v>539</v>
      </c>
      <c r="N716" s="51" t="s">
        <v>538</v>
      </c>
      <c r="O716" s="51" t="s">
        <v>543</v>
      </c>
      <c r="P716" s="49" t="s">
        <v>9</v>
      </c>
      <c r="Q716" s="49" t="s">
        <v>44</v>
      </c>
      <c r="R716" s="49" t="s">
        <v>113</v>
      </c>
      <c r="S716" s="49">
        <v>2</v>
      </c>
      <c r="T716" s="49">
        <v>8</v>
      </c>
      <c r="U716" s="63">
        <v>62</v>
      </c>
      <c r="V716" s="63">
        <v>496</v>
      </c>
    </row>
    <row r="717" spans="1:22" x14ac:dyDescent="0.25">
      <c r="A717" s="49" t="s">
        <v>489</v>
      </c>
      <c r="B717" s="49" t="s">
        <v>29</v>
      </c>
      <c r="C717" s="49" t="s">
        <v>177</v>
      </c>
      <c r="D717" s="49" t="s">
        <v>77</v>
      </c>
      <c r="E717" s="49" t="s">
        <v>172</v>
      </c>
      <c r="F717" s="49">
        <v>2016</v>
      </c>
      <c r="G717" s="50">
        <v>43071.375</v>
      </c>
      <c r="H717" s="50">
        <v>43076.75</v>
      </c>
      <c r="I717" s="54">
        <v>43071</v>
      </c>
      <c r="J717" s="54">
        <v>43076</v>
      </c>
      <c r="K717" s="51" t="s">
        <v>525</v>
      </c>
      <c r="L717" s="51">
        <v>0.75</v>
      </c>
      <c r="M717" s="51" t="s">
        <v>540</v>
      </c>
      <c r="N717" s="51" t="s">
        <v>538</v>
      </c>
      <c r="O717" s="51" t="s">
        <v>543</v>
      </c>
      <c r="P717" s="49" t="s">
        <v>9</v>
      </c>
      <c r="Q717" s="49" t="s">
        <v>21</v>
      </c>
      <c r="R717" s="49" t="s">
        <v>113</v>
      </c>
      <c r="S717" s="49">
        <v>4</v>
      </c>
      <c r="T717" s="49">
        <v>12</v>
      </c>
      <c r="U717" s="63">
        <v>35</v>
      </c>
      <c r="V717" s="63">
        <v>420</v>
      </c>
    </row>
    <row r="718" spans="1:22" x14ac:dyDescent="0.25">
      <c r="A718" s="49" t="s">
        <v>490</v>
      </c>
      <c r="B718" s="49" t="s">
        <v>11</v>
      </c>
      <c r="C718" s="49" t="s">
        <v>175</v>
      </c>
      <c r="D718" s="49" t="s">
        <v>85</v>
      </c>
      <c r="E718" s="49" t="s">
        <v>170</v>
      </c>
      <c r="F718" s="49">
        <v>2016</v>
      </c>
      <c r="G718" s="50">
        <v>43073.791666666664</v>
      </c>
      <c r="H718" s="50">
        <v>43084.958333333336</v>
      </c>
      <c r="I718" s="54">
        <v>43073</v>
      </c>
      <c r="J718" s="54">
        <v>43084</v>
      </c>
      <c r="K718" s="51" t="s">
        <v>526</v>
      </c>
      <c r="L718" s="51">
        <v>0.95833333333333337</v>
      </c>
      <c r="M718" s="51" t="s">
        <v>541</v>
      </c>
      <c r="N718" s="51" t="s">
        <v>538</v>
      </c>
      <c r="O718" s="51" t="s">
        <v>543</v>
      </c>
      <c r="P718" s="49" t="s">
        <v>9</v>
      </c>
      <c r="Q718" s="49" t="s">
        <v>190</v>
      </c>
      <c r="R718" s="49" t="s">
        <v>109</v>
      </c>
      <c r="S718" s="49">
        <v>3</v>
      </c>
      <c r="T718" s="49">
        <v>11</v>
      </c>
      <c r="U718" s="63">
        <v>48</v>
      </c>
      <c r="V718" s="63">
        <v>528</v>
      </c>
    </row>
    <row r="719" spans="1:22" x14ac:dyDescent="0.25">
      <c r="A719" s="49" t="s">
        <v>491</v>
      </c>
      <c r="B719" s="49" t="s">
        <v>17</v>
      </c>
      <c r="C719" s="49" t="s">
        <v>176</v>
      </c>
      <c r="D719" s="49" t="s">
        <v>83</v>
      </c>
      <c r="E719" s="49" t="s">
        <v>174</v>
      </c>
      <c r="F719" s="49">
        <v>2016</v>
      </c>
      <c r="G719" s="50">
        <v>43073.791666666664</v>
      </c>
      <c r="H719" s="50">
        <v>43084.958333333336</v>
      </c>
      <c r="I719" s="54">
        <v>43073</v>
      </c>
      <c r="J719" s="54">
        <v>43084</v>
      </c>
      <c r="K719" s="51" t="s">
        <v>526</v>
      </c>
      <c r="L719" s="51">
        <v>0.95833333333333337</v>
      </c>
      <c r="M719" s="51" t="s">
        <v>541</v>
      </c>
      <c r="N719" s="51" t="s">
        <v>538</v>
      </c>
      <c r="O719" s="51" t="s">
        <v>543</v>
      </c>
      <c r="P719" s="49" t="s">
        <v>9</v>
      </c>
      <c r="Q719" s="49" t="s">
        <v>16</v>
      </c>
      <c r="R719" s="49" t="s">
        <v>109</v>
      </c>
      <c r="S719" s="49">
        <v>2</v>
      </c>
      <c r="T719" s="49">
        <v>8</v>
      </c>
      <c r="U719" s="63">
        <v>63</v>
      </c>
      <c r="V719" s="63">
        <v>504</v>
      </c>
    </row>
    <row r="720" spans="1:22" x14ac:dyDescent="0.25">
      <c r="A720" s="49" t="s">
        <v>492</v>
      </c>
      <c r="B720" s="49" t="s">
        <v>17</v>
      </c>
      <c r="C720" s="49" t="s">
        <v>176</v>
      </c>
      <c r="D720" s="49" t="s">
        <v>84</v>
      </c>
      <c r="E720" s="49" t="s">
        <v>172</v>
      </c>
      <c r="F720" s="49">
        <v>2016</v>
      </c>
      <c r="G720" s="50">
        <v>43074.791666666664</v>
      </c>
      <c r="H720" s="50">
        <v>43087.958333333336</v>
      </c>
      <c r="I720" s="54">
        <v>43074</v>
      </c>
      <c r="J720" s="54">
        <v>43087</v>
      </c>
      <c r="K720" s="51" t="s">
        <v>526</v>
      </c>
      <c r="L720" s="51">
        <v>0.95833333333333337</v>
      </c>
      <c r="M720" s="51" t="s">
        <v>541</v>
      </c>
      <c r="N720" s="51" t="s">
        <v>538</v>
      </c>
      <c r="O720" s="51" t="s">
        <v>543</v>
      </c>
      <c r="P720" s="49" t="s">
        <v>9</v>
      </c>
      <c r="Q720" s="49" t="s">
        <v>38</v>
      </c>
      <c r="R720" s="49" t="s">
        <v>113</v>
      </c>
      <c r="S720" s="49">
        <v>2</v>
      </c>
      <c r="T720" s="49">
        <v>11</v>
      </c>
      <c r="U720" s="63">
        <v>52</v>
      </c>
      <c r="V720" s="63">
        <v>572</v>
      </c>
    </row>
    <row r="721" spans="1:22" x14ac:dyDescent="0.25">
      <c r="A721" s="49" t="s">
        <v>493</v>
      </c>
      <c r="B721" s="49" t="s">
        <v>22</v>
      </c>
      <c r="C721" s="49" t="s">
        <v>176</v>
      </c>
      <c r="D721" s="49" t="s">
        <v>80</v>
      </c>
      <c r="E721" s="49" t="s">
        <v>173</v>
      </c>
      <c r="F721" s="49">
        <v>2016</v>
      </c>
      <c r="G721" s="50">
        <v>43075.583333333336</v>
      </c>
      <c r="H721" s="50">
        <v>43088.75</v>
      </c>
      <c r="I721" s="54">
        <v>43075</v>
      </c>
      <c r="J721" s="54">
        <v>43088</v>
      </c>
      <c r="K721" s="51" t="s">
        <v>527</v>
      </c>
      <c r="L721" s="51">
        <v>0.75</v>
      </c>
      <c r="M721" s="51" t="s">
        <v>542</v>
      </c>
      <c r="N721" s="51" t="s">
        <v>538</v>
      </c>
      <c r="O721" s="51" t="s">
        <v>543</v>
      </c>
      <c r="P721" s="49" t="s">
        <v>9</v>
      </c>
      <c r="Q721" s="49" t="s">
        <v>21</v>
      </c>
      <c r="R721" s="49" t="s">
        <v>113</v>
      </c>
      <c r="S721" s="49">
        <v>4</v>
      </c>
      <c r="T721" s="49">
        <v>9</v>
      </c>
      <c r="U721" s="63">
        <v>32</v>
      </c>
      <c r="V721" s="63">
        <v>288</v>
      </c>
    </row>
    <row r="722" spans="1:22" x14ac:dyDescent="0.25">
      <c r="A722" s="49" t="s">
        <v>494</v>
      </c>
      <c r="B722" s="49" t="s">
        <v>29</v>
      </c>
      <c r="C722" s="49" t="s">
        <v>177</v>
      </c>
      <c r="D722" s="49" t="s">
        <v>80</v>
      </c>
      <c r="E722" s="49" t="s">
        <v>173</v>
      </c>
      <c r="F722" s="49">
        <v>2016</v>
      </c>
      <c r="G722" s="50">
        <v>43076.375</v>
      </c>
      <c r="H722" s="50">
        <v>43082.75</v>
      </c>
      <c r="I722" s="54">
        <v>43076</v>
      </c>
      <c r="J722" s="54">
        <v>43082</v>
      </c>
      <c r="K722" s="51" t="s">
        <v>525</v>
      </c>
      <c r="L722" s="51">
        <v>0.75</v>
      </c>
      <c r="M722" s="51" t="s">
        <v>540</v>
      </c>
      <c r="N722" s="51" t="s">
        <v>538</v>
      </c>
      <c r="O722" s="51" t="s">
        <v>543</v>
      </c>
      <c r="P722" s="49" t="s">
        <v>23</v>
      </c>
      <c r="Q722" s="49" t="s">
        <v>12</v>
      </c>
      <c r="R722" s="49" t="s">
        <v>113</v>
      </c>
      <c r="S722" s="49">
        <v>3</v>
      </c>
      <c r="T722" s="49">
        <v>9</v>
      </c>
      <c r="U722" s="63">
        <v>32</v>
      </c>
      <c r="V722" s="63">
        <v>288</v>
      </c>
    </row>
    <row r="723" spans="1:22" x14ac:dyDescent="0.25">
      <c r="A723" s="49" t="s">
        <v>495</v>
      </c>
      <c r="B723" s="49" t="s">
        <v>14</v>
      </c>
      <c r="C723" s="49" t="s">
        <v>175</v>
      </c>
      <c r="D723" s="49" t="s">
        <v>82</v>
      </c>
      <c r="E723" s="49" t="s">
        <v>172</v>
      </c>
      <c r="F723" s="49">
        <v>2016</v>
      </c>
      <c r="G723" s="50">
        <v>43077.333333333336</v>
      </c>
      <c r="H723" s="50">
        <v>43090.5</v>
      </c>
      <c r="I723" s="54">
        <v>43077</v>
      </c>
      <c r="J723" s="54">
        <v>43090</v>
      </c>
      <c r="K723" s="51" t="s">
        <v>522</v>
      </c>
      <c r="L723" s="51">
        <v>0.5</v>
      </c>
      <c r="M723" s="51" t="s">
        <v>539</v>
      </c>
      <c r="N723" s="51" t="s">
        <v>538</v>
      </c>
      <c r="O723" s="51" t="s">
        <v>543</v>
      </c>
      <c r="P723" s="49" t="s">
        <v>9</v>
      </c>
      <c r="Q723" s="49" t="s">
        <v>24</v>
      </c>
      <c r="R723" s="49" t="s">
        <v>113</v>
      </c>
      <c r="S723" s="49">
        <v>5</v>
      </c>
      <c r="T723" s="49">
        <v>8</v>
      </c>
      <c r="U723" s="63">
        <v>75</v>
      </c>
      <c r="V723" s="63">
        <v>600</v>
      </c>
    </row>
    <row r="724" spans="1:22" x14ac:dyDescent="0.25">
      <c r="A724" s="49" t="s">
        <v>496</v>
      </c>
      <c r="B724" s="49" t="s">
        <v>45</v>
      </c>
      <c r="C724" s="49" t="s">
        <v>177</v>
      </c>
      <c r="D724" s="49" t="s">
        <v>84</v>
      </c>
      <c r="E724" s="49" t="s">
        <v>172</v>
      </c>
      <c r="F724" s="49">
        <v>2016</v>
      </c>
      <c r="G724" s="50">
        <v>43078.375</v>
      </c>
      <c r="H724" s="50">
        <v>43083.75</v>
      </c>
      <c r="I724" s="54">
        <v>43078</v>
      </c>
      <c r="J724" s="54">
        <v>43083</v>
      </c>
      <c r="K724" s="51" t="s">
        <v>525</v>
      </c>
      <c r="L724" s="51">
        <v>0.75</v>
      </c>
      <c r="M724" s="51" t="s">
        <v>540</v>
      </c>
      <c r="N724" s="51" t="s">
        <v>538</v>
      </c>
      <c r="O724" s="51" t="s">
        <v>543</v>
      </c>
      <c r="P724" s="49" t="s">
        <v>23</v>
      </c>
      <c r="Q724" s="49" t="s">
        <v>38</v>
      </c>
      <c r="R724" s="49" t="s">
        <v>113</v>
      </c>
      <c r="S724" s="49">
        <v>2</v>
      </c>
      <c r="T724" s="49">
        <v>10</v>
      </c>
      <c r="U724" s="63">
        <v>52</v>
      </c>
      <c r="V724" s="63">
        <v>520</v>
      </c>
    </row>
    <row r="725" spans="1:22" x14ac:dyDescent="0.25">
      <c r="A725" s="49" t="s">
        <v>497</v>
      </c>
      <c r="B725" s="49" t="s">
        <v>19</v>
      </c>
      <c r="C725" s="49" t="s">
        <v>176</v>
      </c>
      <c r="D725" s="49" t="s">
        <v>84</v>
      </c>
      <c r="E725" s="49" t="s">
        <v>172</v>
      </c>
      <c r="F725" s="49">
        <v>2016</v>
      </c>
      <c r="G725" s="50">
        <v>43080.791666666664</v>
      </c>
      <c r="H725" s="50">
        <v>43091.958333333336</v>
      </c>
      <c r="I725" s="54">
        <v>43080</v>
      </c>
      <c r="J725" s="54">
        <v>43091</v>
      </c>
      <c r="K725" s="51" t="s">
        <v>526</v>
      </c>
      <c r="L725" s="51">
        <v>0.95833333333333337</v>
      </c>
      <c r="M725" s="51" t="s">
        <v>541</v>
      </c>
      <c r="N725" s="51" t="s">
        <v>538</v>
      </c>
      <c r="O725" s="51" t="s">
        <v>543</v>
      </c>
      <c r="P725" s="49" t="s">
        <v>23</v>
      </c>
      <c r="Q725" s="49" t="s">
        <v>190</v>
      </c>
      <c r="R725" s="49" t="s">
        <v>109</v>
      </c>
      <c r="S725" s="49">
        <v>5</v>
      </c>
      <c r="T725" s="49">
        <v>11</v>
      </c>
      <c r="U725" s="63">
        <v>52</v>
      </c>
      <c r="V725" s="63">
        <v>572</v>
      </c>
    </row>
    <row r="726" spans="1:22" x14ac:dyDescent="0.25">
      <c r="A726" s="49" t="s">
        <v>498</v>
      </c>
      <c r="B726" s="49" t="s">
        <v>7</v>
      </c>
      <c r="C726" s="49" t="s">
        <v>175</v>
      </c>
      <c r="D726" s="49" t="s">
        <v>80</v>
      </c>
      <c r="E726" s="49" t="s">
        <v>173</v>
      </c>
      <c r="F726" s="49">
        <v>2016</v>
      </c>
      <c r="G726" s="50">
        <v>43080.791666666664</v>
      </c>
      <c r="H726" s="50">
        <v>43091.958333333336</v>
      </c>
      <c r="I726" s="54">
        <v>43080</v>
      </c>
      <c r="J726" s="54">
        <v>43091</v>
      </c>
      <c r="K726" s="51" t="s">
        <v>526</v>
      </c>
      <c r="L726" s="51">
        <v>0.95833333333333337</v>
      </c>
      <c r="M726" s="51" t="s">
        <v>541</v>
      </c>
      <c r="N726" s="51" t="s">
        <v>538</v>
      </c>
      <c r="O726" s="51" t="s">
        <v>543</v>
      </c>
      <c r="P726" s="49" t="s">
        <v>23</v>
      </c>
      <c r="Q726" s="49" t="s">
        <v>28</v>
      </c>
      <c r="R726" s="49" t="s">
        <v>109</v>
      </c>
      <c r="S726" s="49">
        <v>5</v>
      </c>
      <c r="T726" s="49">
        <v>8</v>
      </c>
      <c r="U726" s="63">
        <v>32</v>
      </c>
      <c r="V726" s="63">
        <v>256</v>
      </c>
    </row>
    <row r="727" spans="1:22" x14ac:dyDescent="0.25">
      <c r="A727" s="49" t="s">
        <v>499</v>
      </c>
      <c r="B727" s="49" t="s">
        <v>22</v>
      </c>
      <c r="C727" s="49" t="s">
        <v>176</v>
      </c>
      <c r="D727" s="49" t="s">
        <v>77</v>
      </c>
      <c r="E727" s="49" t="s">
        <v>172</v>
      </c>
      <c r="F727" s="49">
        <v>2016</v>
      </c>
      <c r="G727" s="50">
        <v>43081.791666666664</v>
      </c>
      <c r="H727" s="50">
        <v>43094.958333333336</v>
      </c>
      <c r="I727" s="54">
        <v>43081</v>
      </c>
      <c r="J727" s="54">
        <v>43094</v>
      </c>
      <c r="K727" s="51" t="s">
        <v>526</v>
      </c>
      <c r="L727" s="51">
        <v>0.95833333333333337</v>
      </c>
      <c r="M727" s="51" t="s">
        <v>541</v>
      </c>
      <c r="N727" s="51" t="s">
        <v>538</v>
      </c>
      <c r="O727" s="51" t="s">
        <v>543</v>
      </c>
      <c r="P727" s="49" t="s">
        <v>9</v>
      </c>
      <c r="Q727" s="49" t="s">
        <v>28</v>
      </c>
      <c r="R727" s="49" t="s">
        <v>109</v>
      </c>
      <c r="S727" s="49">
        <v>4</v>
      </c>
      <c r="T727" s="49">
        <v>12</v>
      </c>
      <c r="U727" s="63">
        <v>35</v>
      </c>
      <c r="V727" s="63">
        <v>420</v>
      </c>
    </row>
    <row r="728" spans="1:22" x14ac:dyDescent="0.25">
      <c r="A728" s="49" t="s">
        <v>500</v>
      </c>
      <c r="B728" s="49" t="s">
        <v>14</v>
      </c>
      <c r="C728" s="49" t="s">
        <v>175</v>
      </c>
      <c r="D728" s="49" t="s">
        <v>81</v>
      </c>
      <c r="E728" s="49" t="s">
        <v>172</v>
      </c>
      <c r="F728" s="49">
        <v>2016</v>
      </c>
      <c r="G728" s="50">
        <v>43082.583333333336</v>
      </c>
      <c r="H728" s="50">
        <v>43095.75</v>
      </c>
      <c r="I728" s="54">
        <v>43082</v>
      </c>
      <c r="J728" s="54">
        <v>43095</v>
      </c>
      <c r="K728" s="51" t="s">
        <v>527</v>
      </c>
      <c r="L728" s="51">
        <v>0.75</v>
      </c>
      <c r="M728" s="51" t="s">
        <v>542</v>
      </c>
      <c r="N728" s="51" t="s">
        <v>538</v>
      </c>
      <c r="O728" s="51" t="s">
        <v>543</v>
      </c>
      <c r="P728" s="49" t="s">
        <v>23</v>
      </c>
      <c r="Q728" s="49" t="s">
        <v>22</v>
      </c>
      <c r="R728" s="49" t="s">
        <v>109</v>
      </c>
      <c r="S728" s="49">
        <v>4</v>
      </c>
      <c r="T728" s="49">
        <v>10</v>
      </c>
      <c r="U728" s="63">
        <v>43</v>
      </c>
      <c r="V728" s="63">
        <v>430</v>
      </c>
    </row>
    <row r="729" spans="1:22" x14ac:dyDescent="0.25">
      <c r="A729" s="49" t="s">
        <v>501</v>
      </c>
      <c r="B729" s="49" t="s">
        <v>17</v>
      </c>
      <c r="C729" s="49" t="s">
        <v>176</v>
      </c>
      <c r="D729" s="49" t="s">
        <v>78</v>
      </c>
      <c r="E729" s="49" t="s">
        <v>172</v>
      </c>
      <c r="F729" s="49">
        <v>2016</v>
      </c>
      <c r="G729" s="50">
        <v>43083.375</v>
      </c>
      <c r="H729" s="50">
        <v>43089.75</v>
      </c>
      <c r="I729" s="54">
        <v>43083</v>
      </c>
      <c r="J729" s="54">
        <v>43089</v>
      </c>
      <c r="K729" s="51" t="s">
        <v>525</v>
      </c>
      <c r="L729" s="51">
        <v>0.75</v>
      </c>
      <c r="M729" s="51" t="s">
        <v>540</v>
      </c>
      <c r="N729" s="51" t="s">
        <v>538</v>
      </c>
      <c r="O729" s="51" t="s">
        <v>543</v>
      </c>
      <c r="P729" s="49" t="s">
        <v>9</v>
      </c>
      <c r="Q729" s="49" t="s">
        <v>18</v>
      </c>
      <c r="R729" s="49" t="s">
        <v>113</v>
      </c>
      <c r="S729" s="49">
        <v>5</v>
      </c>
      <c r="T729" s="49">
        <v>10</v>
      </c>
      <c r="U729" s="63">
        <v>62</v>
      </c>
      <c r="V729" s="63">
        <v>620</v>
      </c>
    </row>
    <row r="730" spans="1:22" x14ac:dyDescent="0.25">
      <c r="A730" s="49" t="s">
        <v>502</v>
      </c>
      <c r="B730" s="49" t="s">
        <v>39</v>
      </c>
      <c r="C730" s="49" t="s">
        <v>177</v>
      </c>
      <c r="D730" s="49" t="s">
        <v>78</v>
      </c>
      <c r="E730" s="49" t="s">
        <v>172</v>
      </c>
      <c r="F730" s="49">
        <v>2016</v>
      </c>
      <c r="G730" s="50">
        <v>43084.333333333336</v>
      </c>
      <c r="H730" s="50">
        <v>43097.5</v>
      </c>
      <c r="I730" s="54">
        <v>43084</v>
      </c>
      <c r="J730" s="54">
        <v>43097</v>
      </c>
      <c r="K730" s="51" t="s">
        <v>522</v>
      </c>
      <c r="L730" s="51">
        <v>0.5</v>
      </c>
      <c r="M730" s="51" t="s">
        <v>539</v>
      </c>
      <c r="N730" s="51" t="s">
        <v>538</v>
      </c>
      <c r="O730" s="51" t="s">
        <v>543</v>
      </c>
      <c r="P730" s="49" t="s">
        <v>23</v>
      </c>
      <c r="Q730" s="49" t="s">
        <v>18</v>
      </c>
      <c r="R730" s="49" t="s">
        <v>113</v>
      </c>
      <c r="S730" s="49">
        <v>2</v>
      </c>
      <c r="T730" s="49">
        <v>10</v>
      </c>
      <c r="U730" s="63">
        <v>62</v>
      </c>
      <c r="V730" s="63">
        <v>620</v>
      </c>
    </row>
    <row r="731" spans="1:22" x14ac:dyDescent="0.25">
      <c r="A731" s="49" t="s">
        <v>503</v>
      </c>
      <c r="B731" s="49" t="s">
        <v>19</v>
      </c>
      <c r="C731" s="49" t="s">
        <v>176</v>
      </c>
      <c r="D731" s="49" t="s">
        <v>78</v>
      </c>
      <c r="E731" s="49" t="s">
        <v>172</v>
      </c>
      <c r="F731" s="49">
        <v>2016</v>
      </c>
      <c r="G731" s="50">
        <v>43085.375</v>
      </c>
      <c r="H731" s="50">
        <v>43090.75</v>
      </c>
      <c r="I731" s="54">
        <v>43085</v>
      </c>
      <c r="J731" s="54">
        <v>43090</v>
      </c>
      <c r="K731" s="51" t="s">
        <v>525</v>
      </c>
      <c r="L731" s="51">
        <v>0.75</v>
      </c>
      <c r="M731" s="51" t="s">
        <v>540</v>
      </c>
      <c r="N731" s="51" t="s">
        <v>538</v>
      </c>
      <c r="O731" s="51" t="s">
        <v>543</v>
      </c>
      <c r="P731" s="49" t="s">
        <v>9</v>
      </c>
      <c r="Q731" s="49" t="s">
        <v>38</v>
      </c>
      <c r="R731" s="49" t="s">
        <v>113</v>
      </c>
      <c r="S731" s="49">
        <v>3</v>
      </c>
      <c r="T731" s="49">
        <v>11</v>
      </c>
      <c r="U731" s="63">
        <v>62</v>
      </c>
      <c r="V731" s="63">
        <v>682</v>
      </c>
    </row>
    <row r="732" spans="1:22" x14ac:dyDescent="0.25">
      <c r="A732" s="49" t="s">
        <v>504</v>
      </c>
      <c r="B732" s="49" t="s">
        <v>19</v>
      </c>
      <c r="C732" s="49" t="s">
        <v>176</v>
      </c>
      <c r="D732" s="49" t="s">
        <v>83</v>
      </c>
      <c r="E732" s="49" t="s">
        <v>174</v>
      </c>
      <c r="F732" s="49">
        <v>2016</v>
      </c>
      <c r="G732" s="50">
        <v>43087.791666666664</v>
      </c>
      <c r="H732" s="50">
        <v>43098.958333333336</v>
      </c>
      <c r="I732" s="54">
        <v>43087</v>
      </c>
      <c r="J732" s="54">
        <v>43098</v>
      </c>
      <c r="K732" s="51" t="s">
        <v>526</v>
      </c>
      <c r="L732" s="51">
        <v>0.95833333333333337</v>
      </c>
      <c r="M732" s="51" t="s">
        <v>541</v>
      </c>
      <c r="N732" s="51" t="s">
        <v>538</v>
      </c>
      <c r="O732" s="51" t="s">
        <v>543</v>
      </c>
      <c r="P732" s="49" t="s">
        <v>23</v>
      </c>
      <c r="Q732" s="49" t="s">
        <v>16</v>
      </c>
      <c r="R732" s="49" t="s">
        <v>109</v>
      </c>
      <c r="S732" s="49">
        <v>5</v>
      </c>
      <c r="T732" s="49">
        <v>10</v>
      </c>
      <c r="U732" s="63">
        <v>63</v>
      </c>
      <c r="V732" s="63">
        <v>630</v>
      </c>
    </row>
    <row r="733" spans="1:22" x14ac:dyDescent="0.25">
      <c r="A733" s="49" t="s">
        <v>505</v>
      </c>
      <c r="B733" s="49" t="s">
        <v>22</v>
      </c>
      <c r="C733" s="49" t="s">
        <v>176</v>
      </c>
      <c r="D733" s="49" t="s">
        <v>77</v>
      </c>
      <c r="E733" s="49" t="s">
        <v>172</v>
      </c>
      <c r="F733" s="49">
        <v>2016</v>
      </c>
      <c r="G733" s="50">
        <v>43087.791666666664</v>
      </c>
      <c r="H733" s="50">
        <v>43098.958333333336</v>
      </c>
      <c r="I733" s="54">
        <v>43087</v>
      </c>
      <c r="J733" s="54">
        <v>43098</v>
      </c>
      <c r="K733" s="51" t="s">
        <v>526</v>
      </c>
      <c r="L733" s="51">
        <v>0.95833333333333337</v>
      </c>
      <c r="M733" s="51" t="s">
        <v>541</v>
      </c>
      <c r="N733" s="51" t="s">
        <v>538</v>
      </c>
      <c r="O733" s="51" t="s">
        <v>543</v>
      </c>
      <c r="P733" s="49" t="s">
        <v>9</v>
      </c>
      <c r="Q733" s="49" t="s">
        <v>190</v>
      </c>
      <c r="R733" s="49" t="s">
        <v>109</v>
      </c>
      <c r="S733" s="49">
        <v>5</v>
      </c>
      <c r="T733" s="49">
        <v>9</v>
      </c>
      <c r="U733" s="63">
        <v>35</v>
      </c>
      <c r="V733" s="63">
        <v>315</v>
      </c>
    </row>
    <row r="734" spans="1:22" x14ac:dyDescent="0.25">
      <c r="A734" s="49" t="s">
        <v>506</v>
      </c>
      <c r="B734" s="49" t="s">
        <v>11</v>
      </c>
      <c r="C734" s="49" t="s">
        <v>175</v>
      </c>
      <c r="D734" s="49" t="s">
        <v>80</v>
      </c>
      <c r="E734" s="49" t="s">
        <v>173</v>
      </c>
      <c r="F734" s="49">
        <v>2016</v>
      </c>
      <c r="G734" s="50">
        <v>43088.791666666664</v>
      </c>
      <c r="H734" s="50">
        <v>43101.958333333336</v>
      </c>
      <c r="I734" s="54">
        <v>43088</v>
      </c>
      <c r="J734" s="54">
        <v>43101</v>
      </c>
      <c r="K734" s="51" t="s">
        <v>526</v>
      </c>
      <c r="L734" s="51">
        <v>0.95833333333333337</v>
      </c>
      <c r="M734" s="51" t="s">
        <v>541</v>
      </c>
      <c r="N734" s="51" t="s">
        <v>538</v>
      </c>
      <c r="O734" s="51" t="s">
        <v>543</v>
      </c>
      <c r="P734" s="49" t="s">
        <v>23</v>
      </c>
      <c r="Q734" s="49" t="s">
        <v>21</v>
      </c>
      <c r="R734" s="49" t="s">
        <v>113</v>
      </c>
      <c r="S734" s="49">
        <v>3</v>
      </c>
      <c r="T734" s="49">
        <v>9</v>
      </c>
      <c r="U734" s="63">
        <v>32</v>
      </c>
      <c r="V734" s="63">
        <v>288</v>
      </c>
    </row>
    <row r="735" spans="1:22" x14ac:dyDescent="0.25">
      <c r="A735" s="49" t="s">
        <v>507</v>
      </c>
      <c r="B735" s="49" t="s">
        <v>45</v>
      </c>
      <c r="C735" s="49" t="s">
        <v>177</v>
      </c>
      <c r="D735" s="49" t="s">
        <v>78</v>
      </c>
      <c r="E735" s="49" t="s">
        <v>172</v>
      </c>
      <c r="F735" s="49">
        <v>2016</v>
      </c>
      <c r="G735" s="50">
        <v>43089.583333333336</v>
      </c>
      <c r="H735" s="50">
        <v>43102.75</v>
      </c>
      <c r="I735" s="54">
        <v>43089</v>
      </c>
      <c r="J735" s="54">
        <v>43102</v>
      </c>
      <c r="K735" s="51" t="s">
        <v>527</v>
      </c>
      <c r="L735" s="51">
        <v>0.75</v>
      </c>
      <c r="M735" s="51" t="s">
        <v>542</v>
      </c>
      <c r="N735" s="51" t="s">
        <v>538</v>
      </c>
      <c r="O735" s="51" t="s">
        <v>543</v>
      </c>
      <c r="P735" s="49" t="s">
        <v>9</v>
      </c>
      <c r="Q735" s="49" t="s">
        <v>33</v>
      </c>
      <c r="R735" s="49" t="s">
        <v>113</v>
      </c>
      <c r="S735" s="49">
        <v>3</v>
      </c>
      <c r="T735" s="49">
        <v>9</v>
      </c>
      <c r="U735" s="63">
        <v>62</v>
      </c>
      <c r="V735" s="63">
        <v>558</v>
      </c>
    </row>
    <row r="736" spans="1:22" x14ac:dyDescent="0.25">
      <c r="A736" s="49" t="s">
        <v>508</v>
      </c>
      <c r="B736" s="49" t="s">
        <v>7</v>
      </c>
      <c r="C736" s="49" t="s">
        <v>175</v>
      </c>
      <c r="D736" s="49" t="s">
        <v>82</v>
      </c>
      <c r="E736" s="49" t="s">
        <v>172</v>
      </c>
      <c r="F736" s="49">
        <v>2016</v>
      </c>
      <c r="G736" s="50">
        <v>43090.375</v>
      </c>
      <c r="H736" s="50">
        <v>43096.75</v>
      </c>
      <c r="I736" s="54">
        <v>43090</v>
      </c>
      <c r="J736" s="54">
        <v>43096</v>
      </c>
      <c r="K736" s="51" t="s">
        <v>525</v>
      </c>
      <c r="L736" s="51">
        <v>0.75</v>
      </c>
      <c r="M736" s="51" t="s">
        <v>540</v>
      </c>
      <c r="N736" s="51" t="s">
        <v>538</v>
      </c>
      <c r="O736" s="51" t="s">
        <v>543</v>
      </c>
      <c r="P736" s="49" t="s">
        <v>23</v>
      </c>
      <c r="Q736" s="49" t="s">
        <v>21</v>
      </c>
      <c r="R736" s="49" t="s">
        <v>113</v>
      </c>
      <c r="S736" s="49">
        <v>5</v>
      </c>
      <c r="T736" s="49">
        <v>10</v>
      </c>
      <c r="U736" s="63">
        <v>75</v>
      </c>
      <c r="V736" s="63">
        <v>750</v>
      </c>
    </row>
    <row r="737" spans="1:22" x14ac:dyDescent="0.25">
      <c r="A737" s="49" t="s">
        <v>509</v>
      </c>
      <c r="B737" s="49" t="s">
        <v>22</v>
      </c>
      <c r="C737" s="49" t="s">
        <v>176</v>
      </c>
      <c r="D737" s="49" t="s">
        <v>89</v>
      </c>
      <c r="E737" s="49" t="s">
        <v>169</v>
      </c>
      <c r="F737" s="49">
        <v>2016</v>
      </c>
      <c r="G737" s="50">
        <v>43091.333333333336</v>
      </c>
      <c r="H737" s="50">
        <v>43104.5</v>
      </c>
      <c r="I737" s="54">
        <v>43091</v>
      </c>
      <c r="J737" s="54">
        <v>43104</v>
      </c>
      <c r="K737" s="51" t="s">
        <v>522</v>
      </c>
      <c r="L737" s="51">
        <v>0.5</v>
      </c>
      <c r="M737" s="51" t="s">
        <v>539</v>
      </c>
      <c r="N737" s="51" t="s">
        <v>538</v>
      </c>
      <c r="O737" s="51" t="s">
        <v>543</v>
      </c>
      <c r="P737" s="49" t="s">
        <v>9</v>
      </c>
      <c r="Q737" s="49" t="s">
        <v>28</v>
      </c>
      <c r="R737" s="49" t="s">
        <v>109</v>
      </c>
      <c r="S737" s="49">
        <v>4</v>
      </c>
      <c r="T737" s="49">
        <v>11</v>
      </c>
      <c r="U737" s="63">
        <v>62</v>
      </c>
      <c r="V737" s="63">
        <v>682</v>
      </c>
    </row>
    <row r="738" spans="1:22" x14ac:dyDescent="0.25">
      <c r="A738" s="49" t="s">
        <v>510</v>
      </c>
      <c r="B738" s="49" t="s">
        <v>19</v>
      </c>
      <c r="C738" s="49" t="s">
        <v>176</v>
      </c>
      <c r="D738" s="49" t="s">
        <v>80</v>
      </c>
      <c r="E738" s="49" t="s">
        <v>173</v>
      </c>
      <c r="F738" s="49">
        <v>2016</v>
      </c>
      <c r="G738" s="50">
        <v>43092.375</v>
      </c>
      <c r="H738" s="50">
        <v>43097.75</v>
      </c>
      <c r="I738" s="54">
        <v>43092</v>
      </c>
      <c r="J738" s="54">
        <v>43097</v>
      </c>
      <c r="K738" s="51" t="s">
        <v>525</v>
      </c>
      <c r="L738" s="51">
        <v>0.75</v>
      </c>
      <c r="M738" s="51" t="s">
        <v>540</v>
      </c>
      <c r="N738" s="51" t="s">
        <v>538</v>
      </c>
      <c r="O738" s="51" t="s">
        <v>543</v>
      </c>
      <c r="P738" s="49" t="s">
        <v>23</v>
      </c>
      <c r="Q738" s="49" t="s">
        <v>31</v>
      </c>
      <c r="R738" s="49" t="s">
        <v>113</v>
      </c>
      <c r="S738" s="49">
        <v>4</v>
      </c>
      <c r="T738" s="49">
        <v>12</v>
      </c>
      <c r="U738" s="63">
        <v>32</v>
      </c>
      <c r="V738" s="63">
        <v>384</v>
      </c>
    </row>
    <row r="739" spans="1:22" x14ac:dyDescent="0.25">
      <c r="A739" s="49" t="s">
        <v>511</v>
      </c>
      <c r="B739" s="49" t="s">
        <v>17</v>
      </c>
      <c r="C739" s="49" t="s">
        <v>176</v>
      </c>
      <c r="D739" s="49" t="s">
        <v>78</v>
      </c>
      <c r="E739" s="49" t="s">
        <v>172</v>
      </c>
      <c r="F739" s="49">
        <v>2016</v>
      </c>
      <c r="G739" s="50">
        <v>43094.791666666664</v>
      </c>
      <c r="H739" s="50">
        <v>43105.958333333336</v>
      </c>
      <c r="I739" s="54">
        <v>43094</v>
      </c>
      <c r="J739" s="54">
        <v>43105</v>
      </c>
      <c r="K739" s="51" t="s">
        <v>526</v>
      </c>
      <c r="L739" s="51">
        <v>0.95833333333333337</v>
      </c>
      <c r="M739" s="51" t="s">
        <v>541</v>
      </c>
      <c r="N739" s="51" t="s">
        <v>538</v>
      </c>
      <c r="O739" s="51" t="s">
        <v>543</v>
      </c>
      <c r="P739" s="49" t="s">
        <v>23</v>
      </c>
      <c r="Q739" s="49" t="s">
        <v>16</v>
      </c>
      <c r="R739" s="49" t="s">
        <v>109</v>
      </c>
      <c r="S739" s="49">
        <v>2</v>
      </c>
      <c r="T739" s="49">
        <v>9</v>
      </c>
      <c r="U739" s="63">
        <v>62</v>
      </c>
      <c r="V739" s="63">
        <v>558</v>
      </c>
    </row>
    <row r="740" spans="1:22" x14ac:dyDescent="0.25">
      <c r="A740" s="49" t="s">
        <v>512</v>
      </c>
      <c r="B740" s="49" t="s">
        <v>22</v>
      </c>
      <c r="C740" s="49" t="s">
        <v>176</v>
      </c>
      <c r="D740" s="49" t="s">
        <v>85</v>
      </c>
      <c r="E740" s="49" t="s">
        <v>170</v>
      </c>
      <c r="F740" s="49">
        <v>2016</v>
      </c>
      <c r="G740" s="50">
        <v>43094.791666666664</v>
      </c>
      <c r="H740" s="50">
        <v>43105.958333333336</v>
      </c>
      <c r="I740" s="54">
        <v>43094</v>
      </c>
      <c r="J740" s="54">
        <v>43105</v>
      </c>
      <c r="K740" s="51" t="s">
        <v>526</v>
      </c>
      <c r="L740" s="51">
        <v>0.95833333333333337</v>
      </c>
      <c r="M740" s="51" t="s">
        <v>541</v>
      </c>
      <c r="N740" s="51" t="s">
        <v>538</v>
      </c>
      <c r="O740" s="51" t="s">
        <v>543</v>
      </c>
      <c r="P740" s="49" t="s">
        <v>23</v>
      </c>
      <c r="Q740" s="49" t="s">
        <v>28</v>
      </c>
      <c r="R740" s="49" t="s">
        <v>109</v>
      </c>
      <c r="S740" s="49">
        <v>3</v>
      </c>
      <c r="T740" s="49">
        <v>10</v>
      </c>
      <c r="U740" s="63">
        <v>48</v>
      </c>
      <c r="V740" s="63">
        <v>480</v>
      </c>
    </row>
    <row r="741" spans="1:22" x14ac:dyDescent="0.25">
      <c r="A741" s="49" t="s">
        <v>513</v>
      </c>
      <c r="B741" s="49" t="s">
        <v>22</v>
      </c>
      <c r="C741" s="49" t="s">
        <v>176</v>
      </c>
      <c r="D741" s="49" t="s">
        <v>84</v>
      </c>
      <c r="E741" s="49" t="s">
        <v>172</v>
      </c>
      <c r="F741" s="49">
        <v>2016</v>
      </c>
      <c r="G741" s="50">
        <v>43095.791666666664</v>
      </c>
      <c r="H741" s="50">
        <v>43108.958333333336</v>
      </c>
      <c r="I741" s="54">
        <v>43095</v>
      </c>
      <c r="J741" s="54">
        <v>43108</v>
      </c>
      <c r="K741" s="51" t="s">
        <v>526</v>
      </c>
      <c r="L741" s="51">
        <v>0.95833333333333337</v>
      </c>
      <c r="M741" s="51" t="s">
        <v>541</v>
      </c>
      <c r="N741" s="51" t="s">
        <v>538</v>
      </c>
      <c r="O741" s="51" t="s">
        <v>543</v>
      </c>
      <c r="P741" s="49" t="s">
        <v>23</v>
      </c>
      <c r="Q741" s="49" t="s">
        <v>38</v>
      </c>
      <c r="R741" s="49" t="s">
        <v>113</v>
      </c>
      <c r="S741" s="49">
        <v>3</v>
      </c>
      <c r="T741" s="49">
        <v>11</v>
      </c>
      <c r="U741" s="63">
        <v>52</v>
      </c>
      <c r="V741" s="63">
        <v>572</v>
      </c>
    </row>
    <row r="742" spans="1:22" x14ac:dyDescent="0.25">
      <c r="A742" s="49" t="s">
        <v>514</v>
      </c>
      <c r="B742" s="49" t="s">
        <v>22</v>
      </c>
      <c r="C742" s="49" t="s">
        <v>176</v>
      </c>
      <c r="D742" s="49" t="s">
        <v>86</v>
      </c>
      <c r="E742" s="49" t="s">
        <v>169</v>
      </c>
      <c r="F742" s="49">
        <v>2016</v>
      </c>
      <c r="G742" s="50">
        <v>43096.583333333336</v>
      </c>
      <c r="H742" s="50">
        <v>43109.75</v>
      </c>
      <c r="I742" s="54">
        <v>43096</v>
      </c>
      <c r="J742" s="54">
        <v>43109</v>
      </c>
      <c r="K742" s="51" t="s">
        <v>527</v>
      </c>
      <c r="L742" s="51">
        <v>0.75</v>
      </c>
      <c r="M742" s="51" t="s">
        <v>542</v>
      </c>
      <c r="N742" s="51" t="s">
        <v>538</v>
      </c>
      <c r="O742" s="51" t="s">
        <v>543</v>
      </c>
      <c r="P742" s="49" t="s">
        <v>9</v>
      </c>
      <c r="Q742" s="49" t="s">
        <v>16</v>
      </c>
      <c r="R742" s="49" t="s">
        <v>109</v>
      </c>
      <c r="S742" s="49">
        <v>4</v>
      </c>
      <c r="T742" s="49">
        <v>12</v>
      </c>
      <c r="U742" s="63">
        <v>48</v>
      </c>
      <c r="V742" s="63">
        <v>576</v>
      </c>
    </row>
    <row r="743" spans="1:22" x14ac:dyDescent="0.25">
      <c r="A743" s="49" t="s">
        <v>515</v>
      </c>
      <c r="B743" s="49" t="s">
        <v>29</v>
      </c>
      <c r="C743" s="49" t="s">
        <v>177</v>
      </c>
      <c r="D743" s="49" t="s">
        <v>76</v>
      </c>
      <c r="E743" s="49" t="s">
        <v>174</v>
      </c>
      <c r="F743" s="49">
        <v>2016</v>
      </c>
      <c r="G743" s="50">
        <v>43097.375</v>
      </c>
      <c r="H743" s="50">
        <v>43103.75</v>
      </c>
      <c r="I743" s="54">
        <v>43097</v>
      </c>
      <c r="J743" s="54">
        <v>43103</v>
      </c>
      <c r="K743" s="51" t="s">
        <v>525</v>
      </c>
      <c r="L743" s="51">
        <v>0.75</v>
      </c>
      <c r="M743" s="51" t="s">
        <v>540</v>
      </c>
      <c r="N743" s="51" t="s">
        <v>538</v>
      </c>
      <c r="O743" s="51" t="s">
        <v>543</v>
      </c>
      <c r="P743" s="49" t="s">
        <v>9</v>
      </c>
      <c r="Q743" s="49" t="s">
        <v>12</v>
      </c>
      <c r="R743" s="49" t="s">
        <v>113</v>
      </c>
      <c r="S743" s="49">
        <v>4</v>
      </c>
      <c r="T743" s="49">
        <v>12</v>
      </c>
      <c r="U743" s="63">
        <v>53</v>
      </c>
      <c r="V743" s="63">
        <v>636</v>
      </c>
    </row>
    <row r="744" spans="1:22" x14ac:dyDescent="0.25">
      <c r="A744" s="49" t="s">
        <v>516</v>
      </c>
      <c r="B744" s="49" t="s">
        <v>14</v>
      </c>
      <c r="C744" s="49" t="s">
        <v>175</v>
      </c>
      <c r="D744" s="49" t="s">
        <v>76</v>
      </c>
      <c r="E744" s="49" t="s">
        <v>174</v>
      </c>
      <c r="F744" s="49">
        <v>2016</v>
      </c>
      <c r="G744" s="50">
        <v>43098.333333333336</v>
      </c>
      <c r="H744" s="50">
        <v>43112.5</v>
      </c>
      <c r="I744" s="54">
        <v>43098</v>
      </c>
      <c r="J744" s="54">
        <v>43112</v>
      </c>
      <c r="K744" s="51" t="s">
        <v>522</v>
      </c>
      <c r="L744" s="51">
        <v>0.5</v>
      </c>
      <c r="M744" s="51" t="s">
        <v>539</v>
      </c>
      <c r="N744" s="51" t="s">
        <v>538</v>
      </c>
      <c r="O744" s="51" t="s">
        <v>543</v>
      </c>
      <c r="P744" s="49" t="s">
        <v>23</v>
      </c>
      <c r="Q744" s="49" t="s">
        <v>190</v>
      </c>
      <c r="R744" s="49" t="s">
        <v>109</v>
      </c>
      <c r="S744" s="49">
        <v>5</v>
      </c>
      <c r="T744" s="49">
        <v>9</v>
      </c>
      <c r="U744" s="63">
        <v>53</v>
      </c>
      <c r="V744" s="63">
        <v>477</v>
      </c>
    </row>
    <row r="745" spans="1:22" x14ac:dyDescent="0.25">
      <c r="A745" s="49" t="s">
        <v>553</v>
      </c>
      <c r="B745" s="49" t="s">
        <v>17</v>
      </c>
      <c r="C745" s="49" t="s">
        <v>176</v>
      </c>
      <c r="D745" s="49" t="s">
        <v>81</v>
      </c>
      <c r="E745" s="49" t="s">
        <v>172</v>
      </c>
      <c r="F745" s="49">
        <v>2016</v>
      </c>
      <c r="G745" s="50">
        <v>43102.583333333336</v>
      </c>
      <c r="H745" s="50">
        <v>43115.75</v>
      </c>
      <c r="I745" s="54">
        <v>43102</v>
      </c>
      <c r="J745" s="54">
        <v>43115</v>
      </c>
      <c r="K745" s="51" t="s">
        <v>527</v>
      </c>
      <c r="L745" s="51">
        <v>0.75</v>
      </c>
      <c r="M745" s="51" t="s">
        <v>542</v>
      </c>
      <c r="N745" s="51" t="s">
        <v>523</v>
      </c>
      <c r="O745" s="51" t="s">
        <v>669</v>
      </c>
      <c r="P745" s="49" t="s">
        <v>23</v>
      </c>
      <c r="Q745" s="49" t="s">
        <v>24</v>
      </c>
      <c r="R745" s="49" t="s">
        <v>113</v>
      </c>
      <c r="S745" s="49">
        <v>5</v>
      </c>
      <c r="T745" s="49">
        <v>12</v>
      </c>
      <c r="U745" s="63">
        <v>42</v>
      </c>
      <c r="V745" s="63">
        <v>504</v>
      </c>
    </row>
    <row r="746" spans="1:22" x14ac:dyDescent="0.25">
      <c r="A746" s="49" t="s">
        <v>554</v>
      </c>
      <c r="B746" s="49" t="s">
        <v>17</v>
      </c>
      <c r="C746" s="49" t="s">
        <v>176</v>
      </c>
      <c r="D746" s="49" t="s">
        <v>86</v>
      </c>
      <c r="E746" s="49" t="s">
        <v>169</v>
      </c>
      <c r="F746" s="49">
        <v>2016</v>
      </c>
      <c r="G746" s="50">
        <v>43102.583333333336</v>
      </c>
      <c r="H746" s="50">
        <v>43115.75</v>
      </c>
      <c r="I746" s="54">
        <v>43102</v>
      </c>
      <c r="J746" s="54">
        <v>43115</v>
      </c>
      <c r="K746" s="51" t="s">
        <v>527</v>
      </c>
      <c r="L746" s="51">
        <v>0.75</v>
      </c>
      <c r="M746" s="51" t="s">
        <v>542</v>
      </c>
      <c r="N746" s="51" t="s">
        <v>523</v>
      </c>
      <c r="O746" s="51" t="s">
        <v>669</v>
      </c>
      <c r="P746" s="49" t="s">
        <v>9</v>
      </c>
      <c r="Q746" s="49" t="s">
        <v>28</v>
      </c>
      <c r="R746" s="49" t="s">
        <v>109</v>
      </c>
      <c r="S746" s="49">
        <v>2</v>
      </c>
      <c r="T746" s="49">
        <v>8</v>
      </c>
      <c r="U746" s="63">
        <v>47</v>
      </c>
      <c r="V746" s="63">
        <v>376</v>
      </c>
    </row>
    <row r="747" spans="1:22" x14ac:dyDescent="0.25">
      <c r="A747" s="49" t="s">
        <v>555</v>
      </c>
      <c r="B747" s="49" t="s">
        <v>29</v>
      </c>
      <c r="C747" s="49" t="s">
        <v>177</v>
      </c>
      <c r="D747" s="49" t="s">
        <v>79</v>
      </c>
      <c r="E747" s="49" t="s">
        <v>168</v>
      </c>
      <c r="F747" s="49">
        <v>2016</v>
      </c>
      <c r="G747" s="50">
        <v>43103.375</v>
      </c>
      <c r="H747" s="50">
        <v>43109.75</v>
      </c>
      <c r="I747" s="54">
        <v>43103</v>
      </c>
      <c r="J747" s="54">
        <v>43109</v>
      </c>
      <c r="K747" s="51" t="s">
        <v>525</v>
      </c>
      <c r="L747" s="51">
        <v>0.75</v>
      </c>
      <c r="M747" s="51" t="s">
        <v>540</v>
      </c>
      <c r="N747" s="51" t="s">
        <v>523</v>
      </c>
      <c r="O747" s="51" t="s">
        <v>669</v>
      </c>
      <c r="P747" s="49" t="s">
        <v>23</v>
      </c>
      <c r="Q747" s="49" t="s">
        <v>190</v>
      </c>
      <c r="R747" s="49" t="s">
        <v>109</v>
      </c>
      <c r="S747" s="49">
        <v>5</v>
      </c>
      <c r="T747" s="49">
        <v>8</v>
      </c>
      <c r="U747" s="63">
        <v>47</v>
      </c>
      <c r="V747" s="63">
        <v>376</v>
      </c>
    </row>
    <row r="748" spans="1:22" x14ac:dyDescent="0.25">
      <c r="A748" s="49" t="s">
        <v>556</v>
      </c>
      <c r="B748" s="49" t="s">
        <v>7</v>
      </c>
      <c r="C748" s="49" t="s">
        <v>175</v>
      </c>
      <c r="D748" s="49" t="s">
        <v>79</v>
      </c>
      <c r="E748" s="49" t="s">
        <v>168</v>
      </c>
      <c r="F748" s="49">
        <v>2016</v>
      </c>
      <c r="G748" s="50">
        <v>43107.791666666664</v>
      </c>
      <c r="H748" s="50">
        <v>43118.958333333336</v>
      </c>
      <c r="I748" s="54">
        <v>43107</v>
      </c>
      <c r="J748" s="54">
        <v>43118</v>
      </c>
      <c r="K748" s="51" t="s">
        <v>526</v>
      </c>
      <c r="L748" s="51">
        <v>0.95833333333333337</v>
      </c>
      <c r="M748" s="51" t="s">
        <v>541</v>
      </c>
      <c r="N748" s="51" t="s">
        <v>523</v>
      </c>
      <c r="O748" s="51" t="s">
        <v>669</v>
      </c>
      <c r="P748" s="49" t="s">
        <v>23</v>
      </c>
      <c r="Q748" s="49" t="s">
        <v>41</v>
      </c>
      <c r="R748" s="49" t="s">
        <v>113</v>
      </c>
      <c r="S748" s="49">
        <v>5</v>
      </c>
      <c r="T748" s="49">
        <v>12</v>
      </c>
      <c r="U748" s="63">
        <v>47</v>
      </c>
      <c r="V748" s="63">
        <v>564</v>
      </c>
    </row>
    <row r="749" spans="1:22" x14ac:dyDescent="0.25">
      <c r="A749" s="49" t="s">
        <v>557</v>
      </c>
      <c r="B749" s="49" t="s">
        <v>19</v>
      </c>
      <c r="C749" s="49" t="s">
        <v>176</v>
      </c>
      <c r="D749" s="49" t="s">
        <v>83</v>
      </c>
      <c r="E749" s="49" t="s">
        <v>174</v>
      </c>
      <c r="F749" s="49">
        <v>2016</v>
      </c>
      <c r="G749" s="50">
        <v>43107.791666666664</v>
      </c>
      <c r="H749" s="50">
        <v>43118.958333333336</v>
      </c>
      <c r="I749" s="54">
        <v>43107</v>
      </c>
      <c r="J749" s="54">
        <v>43118</v>
      </c>
      <c r="K749" s="51" t="s">
        <v>526</v>
      </c>
      <c r="L749" s="51">
        <v>0.95833333333333337</v>
      </c>
      <c r="M749" s="51" t="s">
        <v>541</v>
      </c>
      <c r="N749" s="51" t="s">
        <v>523</v>
      </c>
      <c r="O749" s="51" t="s">
        <v>669</v>
      </c>
      <c r="P749" s="49" t="s">
        <v>23</v>
      </c>
      <c r="Q749" s="49" t="s">
        <v>44</v>
      </c>
      <c r="R749" s="49" t="s">
        <v>113</v>
      </c>
      <c r="S749" s="49">
        <v>3</v>
      </c>
      <c r="T749" s="49">
        <v>12</v>
      </c>
      <c r="U749" s="63">
        <v>62</v>
      </c>
      <c r="V749" s="63">
        <v>744</v>
      </c>
    </row>
    <row r="750" spans="1:22" x14ac:dyDescent="0.25">
      <c r="A750" s="49" t="s">
        <v>558</v>
      </c>
      <c r="B750" s="49" t="s">
        <v>22</v>
      </c>
      <c r="C750" s="49" t="s">
        <v>176</v>
      </c>
      <c r="D750" s="49" t="s">
        <v>82</v>
      </c>
      <c r="E750" s="49" t="s">
        <v>172</v>
      </c>
      <c r="F750" s="49">
        <v>2016</v>
      </c>
      <c r="G750" s="50">
        <v>43107.791666666664</v>
      </c>
      <c r="H750" s="50">
        <v>43118.958333333336</v>
      </c>
      <c r="I750" s="54">
        <v>43107</v>
      </c>
      <c r="J750" s="54">
        <v>43118</v>
      </c>
      <c r="K750" s="51" t="s">
        <v>526</v>
      </c>
      <c r="L750" s="51">
        <v>0.95833333333333337</v>
      </c>
      <c r="M750" s="51" t="s">
        <v>541</v>
      </c>
      <c r="N750" s="51" t="s">
        <v>523</v>
      </c>
      <c r="O750" s="51" t="s">
        <v>669</v>
      </c>
      <c r="P750" s="49" t="s">
        <v>9</v>
      </c>
      <c r="Q750" s="49" t="s">
        <v>18</v>
      </c>
      <c r="R750" s="49" t="s">
        <v>113</v>
      </c>
      <c r="S750" s="49">
        <v>3</v>
      </c>
      <c r="T750" s="49">
        <v>8</v>
      </c>
      <c r="U750" s="63">
        <v>73</v>
      </c>
      <c r="V750" s="63">
        <v>584</v>
      </c>
    </row>
    <row r="751" spans="1:22" x14ac:dyDescent="0.25">
      <c r="A751" s="49" t="s">
        <v>559</v>
      </c>
      <c r="B751" s="49" t="s">
        <v>11</v>
      </c>
      <c r="C751" s="49" t="s">
        <v>175</v>
      </c>
      <c r="D751" s="49" t="s">
        <v>89</v>
      </c>
      <c r="E751" s="49" t="s">
        <v>169</v>
      </c>
      <c r="F751" s="49">
        <v>2016</v>
      </c>
      <c r="G751" s="50">
        <v>43107.791666666664</v>
      </c>
      <c r="H751" s="50">
        <v>43118.958333333336</v>
      </c>
      <c r="I751" s="54">
        <v>43107</v>
      </c>
      <c r="J751" s="54">
        <v>43118</v>
      </c>
      <c r="K751" s="51" t="s">
        <v>526</v>
      </c>
      <c r="L751" s="51">
        <v>0.95833333333333337</v>
      </c>
      <c r="M751" s="51" t="s">
        <v>541</v>
      </c>
      <c r="N751" s="51" t="s">
        <v>523</v>
      </c>
      <c r="O751" s="51" t="s">
        <v>669</v>
      </c>
      <c r="P751" s="49" t="s">
        <v>23</v>
      </c>
      <c r="Q751" s="49" t="s">
        <v>22</v>
      </c>
      <c r="R751" s="49" t="s">
        <v>109</v>
      </c>
      <c r="S751" s="49">
        <v>2</v>
      </c>
      <c r="T751" s="49">
        <v>12</v>
      </c>
      <c r="U751" s="63">
        <v>61</v>
      </c>
      <c r="V751" s="63">
        <v>732</v>
      </c>
    </row>
    <row r="752" spans="1:22" x14ac:dyDescent="0.25">
      <c r="A752" s="49" t="s">
        <v>560</v>
      </c>
      <c r="B752" s="49" t="s">
        <v>7</v>
      </c>
      <c r="C752" s="49" t="s">
        <v>175</v>
      </c>
      <c r="D752" s="49" t="s">
        <v>84</v>
      </c>
      <c r="E752" s="49" t="s">
        <v>172</v>
      </c>
      <c r="F752" s="49">
        <v>2016</v>
      </c>
      <c r="G752" s="50">
        <v>43110.375</v>
      </c>
      <c r="H752" s="50">
        <v>43116.75</v>
      </c>
      <c r="I752" s="54">
        <v>43110</v>
      </c>
      <c r="J752" s="54">
        <v>43116</v>
      </c>
      <c r="K752" s="51" t="s">
        <v>525</v>
      </c>
      <c r="L752" s="51">
        <v>0.75</v>
      </c>
      <c r="M752" s="51" t="s">
        <v>540</v>
      </c>
      <c r="N752" s="51" t="s">
        <v>523</v>
      </c>
      <c r="O752" s="51" t="s">
        <v>669</v>
      </c>
      <c r="P752" s="49" t="s">
        <v>9</v>
      </c>
      <c r="Q752" s="49" t="s">
        <v>190</v>
      </c>
      <c r="R752" s="49" t="s">
        <v>109</v>
      </c>
      <c r="S752" s="49">
        <v>5</v>
      </c>
      <c r="T752" s="49">
        <v>10</v>
      </c>
      <c r="U752" s="63">
        <v>51</v>
      </c>
      <c r="V752" s="63">
        <v>510</v>
      </c>
    </row>
    <row r="753" spans="1:22" x14ac:dyDescent="0.25">
      <c r="A753" s="49" t="s">
        <v>561</v>
      </c>
      <c r="B753" s="49" t="s">
        <v>39</v>
      </c>
      <c r="C753" s="49" t="s">
        <v>177</v>
      </c>
      <c r="D753" s="49" t="s">
        <v>88</v>
      </c>
      <c r="E753" s="49" t="s">
        <v>170</v>
      </c>
      <c r="F753" s="49">
        <v>2016</v>
      </c>
      <c r="G753" s="50">
        <v>43110.375</v>
      </c>
      <c r="H753" s="50">
        <v>43116.75</v>
      </c>
      <c r="I753" s="54">
        <v>43110</v>
      </c>
      <c r="J753" s="54">
        <v>43116</v>
      </c>
      <c r="K753" s="51" t="s">
        <v>525</v>
      </c>
      <c r="L753" s="51">
        <v>0.75</v>
      </c>
      <c r="M753" s="51" t="s">
        <v>540</v>
      </c>
      <c r="N753" s="51" t="s">
        <v>523</v>
      </c>
      <c r="O753" s="51" t="s">
        <v>669</v>
      </c>
      <c r="P753" s="49" t="s">
        <v>9</v>
      </c>
      <c r="Q753" s="49" t="s">
        <v>35</v>
      </c>
      <c r="R753" s="49" t="s">
        <v>109</v>
      </c>
      <c r="S753" s="49">
        <v>3</v>
      </c>
      <c r="T753" s="49">
        <v>12</v>
      </c>
      <c r="U753" s="63">
        <v>41</v>
      </c>
      <c r="V753" s="63">
        <v>492</v>
      </c>
    </row>
    <row r="754" spans="1:22" x14ac:dyDescent="0.25">
      <c r="A754" s="49" t="s">
        <v>562</v>
      </c>
      <c r="B754" s="49" t="s">
        <v>19</v>
      </c>
      <c r="C754" s="49" t="s">
        <v>176</v>
      </c>
      <c r="D754" s="49" t="s">
        <v>80</v>
      </c>
      <c r="E754" s="49" t="s">
        <v>173</v>
      </c>
      <c r="F754" s="49">
        <v>2016</v>
      </c>
      <c r="G754" s="50">
        <v>43111.333333333336</v>
      </c>
      <c r="H754" s="50">
        <v>43124.5</v>
      </c>
      <c r="I754" s="54">
        <v>43111</v>
      </c>
      <c r="J754" s="54">
        <v>43124</v>
      </c>
      <c r="K754" s="51" t="s">
        <v>522</v>
      </c>
      <c r="L754" s="51">
        <v>0.5</v>
      </c>
      <c r="M754" s="51" t="s">
        <v>539</v>
      </c>
      <c r="N754" s="51" t="s">
        <v>523</v>
      </c>
      <c r="O754" s="51" t="s">
        <v>669</v>
      </c>
      <c r="P754" s="49" t="s">
        <v>23</v>
      </c>
      <c r="Q754" s="49" t="s">
        <v>44</v>
      </c>
      <c r="R754" s="49" t="s">
        <v>113</v>
      </c>
      <c r="S754" s="49">
        <v>3</v>
      </c>
      <c r="T754" s="49">
        <v>8</v>
      </c>
      <c r="U754" s="63">
        <v>31</v>
      </c>
      <c r="V754" s="63">
        <v>248</v>
      </c>
    </row>
    <row r="755" spans="1:22" x14ac:dyDescent="0.25">
      <c r="A755" s="49" t="s">
        <v>563</v>
      </c>
      <c r="B755" s="49" t="s">
        <v>7</v>
      </c>
      <c r="C755" s="49" t="s">
        <v>175</v>
      </c>
      <c r="D755" s="49" t="s">
        <v>80</v>
      </c>
      <c r="E755" s="49" t="s">
        <v>173</v>
      </c>
      <c r="F755" s="49">
        <v>2016</v>
      </c>
      <c r="G755" s="50">
        <v>43111.333333333336</v>
      </c>
      <c r="H755" s="50">
        <v>43124.5</v>
      </c>
      <c r="I755" s="54">
        <v>43111</v>
      </c>
      <c r="J755" s="54">
        <v>43124</v>
      </c>
      <c r="K755" s="51" t="s">
        <v>522</v>
      </c>
      <c r="L755" s="51">
        <v>0.5</v>
      </c>
      <c r="M755" s="51" t="s">
        <v>539</v>
      </c>
      <c r="N755" s="51" t="s">
        <v>523</v>
      </c>
      <c r="O755" s="51" t="s">
        <v>669</v>
      </c>
      <c r="P755" s="49" t="s">
        <v>23</v>
      </c>
      <c r="Q755" s="49" t="s">
        <v>38</v>
      </c>
      <c r="R755" s="49" t="s">
        <v>113</v>
      </c>
      <c r="S755" s="49">
        <v>2</v>
      </c>
      <c r="T755" s="49">
        <v>8</v>
      </c>
      <c r="U755" s="63">
        <v>31</v>
      </c>
      <c r="V755" s="63">
        <v>248</v>
      </c>
    </row>
    <row r="756" spans="1:22" x14ac:dyDescent="0.25">
      <c r="A756" s="49" t="s">
        <v>564</v>
      </c>
      <c r="B756" s="49" t="s">
        <v>39</v>
      </c>
      <c r="C756" s="49" t="s">
        <v>177</v>
      </c>
      <c r="D756" s="49" t="s">
        <v>85</v>
      </c>
      <c r="E756" s="49" t="s">
        <v>170</v>
      </c>
      <c r="F756" s="49">
        <v>2016</v>
      </c>
      <c r="G756" s="50">
        <v>43114.791666666664</v>
      </c>
      <c r="H756" s="50">
        <v>43125.958333333336</v>
      </c>
      <c r="I756" s="54">
        <v>43114</v>
      </c>
      <c r="J756" s="54">
        <v>43125</v>
      </c>
      <c r="K756" s="51" t="s">
        <v>526</v>
      </c>
      <c r="L756" s="51">
        <v>0.95833333333333337</v>
      </c>
      <c r="M756" s="51" t="s">
        <v>541</v>
      </c>
      <c r="N756" s="51" t="s">
        <v>523</v>
      </c>
      <c r="O756" s="51" t="s">
        <v>669</v>
      </c>
      <c r="P756" s="49" t="s">
        <v>23</v>
      </c>
      <c r="Q756" s="49" t="s">
        <v>190</v>
      </c>
      <c r="R756" s="49" t="s">
        <v>109</v>
      </c>
      <c r="S756" s="49">
        <v>3</v>
      </c>
      <c r="T756" s="49">
        <v>12</v>
      </c>
      <c r="U756" s="63">
        <v>47</v>
      </c>
      <c r="V756" s="63">
        <v>564</v>
      </c>
    </row>
    <row r="757" spans="1:22" x14ac:dyDescent="0.25">
      <c r="A757" s="49" t="s">
        <v>565</v>
      </c>
      <c r="B757" s="49" t="s">
        <v>39</v>
      </c>
      <c r="C757" s="49" t="s">
        <v>177</v>
      </c>
      <c r="D757" s="49" t="s">
        <v>77</v>
      </c>
      <c r="E757" s="49" t="s">
        <v>172</v>
      </c>
      <c r="F757" s="49">
        <v>2016</v>
      </c>
      <c r="G757" s="50">
        <v>43114.791666666664</v>
      </c>
      <c r="H757" s="50">
        <v>43125.958333333336</v>
      </c>
      <c r="I757" s="54">
        <v>43114</v>
      </c>
      <c r="J757" s="54">
        <v>43125</v>
      </c>
      <c r="K757" s="51" t="s">
        <v>526</v>
      </c>
      <c r="L757" s="51">
        <v>0.95833333333333337</v>
      </c>
      <c r="M757" s="51" t="s">
        <v>541</v>
      </c>
      <c r="N757" s="51" t="s">
        <v>523</v>
      </c>
      <c r="O757" s="51" t="s">
        <v>669</v>
      </c>
      <c r="P757" s="49" t="s">
        <v>9</v>
      </c>
      <c r="Q757" s="49" t="s">
        <v>31</v>
      </c>
      <c r="R757" s="49" t="s">
        <v>113</v>
      </c>
      <c r="S757" s="49">
        <v>3</v>
      </c>
      <c r="T757" s="49">
        <v>8</v>
      </c>
      <c r="U757" s="63">
        <v>33</v>
      </c>
      <c r="V757" s="63">
        <v>264</v>
      </c>
    </row>
    <row r="758" spans="1:22" x14ac:dyDescent="0.25">
      <c r="A758" s="49" t="s">
        <v>566</v>
      </c>
      <c r="B758" s="49" t="s">
        <v>7</v>
      </c>
      <c r="C758" s="49" t="s">
        <v>175</v>
      </c>
      <c r="D758" s="49" t="s">
        <v>86</v>
      </c>
      <c r="E758" s="49" t="s">
        <v>169</v>
      </c>
      <c r="F758" s="49">
        <v>2016</v>
      </c>
      <c r="G758" s="50">
        <v>43114.791666666664</v>
      </c>
      <c r="H758" s="50">
        <v>43125.958333333336</v>
      </c>
      <c r="I758" s="54">
        <v>43114</v>
      </c>
      <c r="J758" s="54">
        <v>43125</v>
      </c>
      <c r="K758" s="51" t="s">
        <v>526</v>
      </c>
      <c r="L758" s="51">
        <v>0.95833333333333337</v>
      </c>
      <c r="M758" s="51" t="s">
        <v>541</v>
      </c>
      <c r="N758" s="51" t="s">
        <v>523</v>
      </c>
      <c r="O758" s="51" t="s">
        <v>669</v>
      </c>
      <c r="P758" s="49" t="s">
        <v>9</v>
      </c>
      <c r="Q758" s="49" t="s">
        <v>37</v>
      </c>
      <c r="R758" s="49" t="s">
        <v>113</v>
      </c>
      <c r="S758" s="49">
        <v>2</v>
      </c>
      <c r="T758" s="49">
        <v>9</v>
      </c>
      <c r="U758" s="63">
        <v>47</v>
      </c>
      <c r="V758" s="63">
        <v>423</v>
      </c>
    </row>
    <row r="759" spans="1:22" x14ac:dyDescent="0.25">
      <c r="A759" s="49" t="s">
        <v>567</v>
      </c>
      <c r="B759" s="49" t="s">
        <v>22</v>
      </c>
      <c r="C759" s="49" t="s">
        <v>176</v>
      </c>
      <c r="D759" s="49" t="s">
        <v>76</v>
      </c>
      <c r="E759" s="49" t="s">
        <v>174</v>
      </c>
      <c r="F759" s="49">
        <v>2016</v>
      </c>
      <c r="G759" s="50">
        <v>43115.791666666664</v>
      </c>
      <c r="H759" s="50">
        <v>43128.958333333336</v>
      </c>
      <c r="I759" s="54">
        <v>43115</v>
      </c>
      <c r="J759" s="54">
        <v>43128</v>
      </c>
      <c r="K759" s="51" t="s">
        <v>526</v>
      </c>
      <c r="L759" s="51">
        <v>0.95833333333333337</v>
      </c>
      <c r="M759" s="51" t="s">
        <v>541</v>
      </c>
      <c r="N759" s="51" t="s">
        <v>523</v>
      </c>
      <c r="O759" s="51" t="s">
        <v>669</v>
      </c>
      <c r="P759" s="49" t="s">
        <v>9</v>
      </c>
      <c r="Q759" s="49" t="s">
        <v>18</v>
      </c>
      <c r="R759" s="49" t="s">
        <v>113</v>
      </c>
      <c r="S759" s="49">
        <v>3</v>
      </c>
      <c r="T759" s="49">
        <v>11</v>
      </c>
      <c r="U759" s="63">
        <v>52</v>
      </c>
      <c r="V759" s="63">
        <v>572</v>
      </c>
    </row>
    <row r="760" spans="1:22" x14ac:dyDescent="0.25">
      <c r="A760" s="49" t="s">
        <v>568</v>
      </c>
      <c r="B760" s="49" t="s">
        <v>11</v>
      </c>
      <c r="C760" s="49" t="s">
        <v>175</v>
      </c>
      <c r="D760" s="49" t="s">
        <v>85</v>
      </c>
      <c r="E760" s="49" t="s">
        <v>170</v>
      </c>
      <c r="F760" s="49">
        <v>2016</v>
      </c>
      <c r="G760" s="50">
        <v>43115.791666666664</v>
      </c>
      <c r="H760" s="50">
        <v>43128.958333333336</v>
      </c>
      <c r="I760" s="54">
        <v>43115</v>
      </c>
      <c r="J760" s="54">
        <v>43128</v>
      </c>
      <c r="K760" s="51" t="s">
        <v>526</v>
      </c>
      <c r="L760" s="51">
        <v>0.95833333333333337</v>
      </c>
      <c r="M760" s="51" t="s">
        <v>541</v>
      </c>
      <c r="N760" s="51" t="s">
        <v>523</v>
      </c>
      <c r="O760" s="51" t="s">
        <v>669</v>
      </c>
      <c r="P760" s="49" t="s">
        <v>9</v>
      </c>
      <c r="Q760" s="49" t="s">
        <v>38</v>
      </c>
      <c r="R760" s="49" t="s">
        <v>113</v>
      </c>
      <c r="S760" s="49">
        <v>3</v>
      </c>
      <c r="T760" s="49">
        <v>8</v>
      </c>
      <c r="U760" s="63">
        <v>47</v>
      </c>
      <c r="V760" s="63">
        <v>376</v>
      </c>
    </row>
    <row r="761" spans="1:22" x14ac:dyDescent="0.25">
      <c r="A761" s="49" t="s">
        <v>569</v>
      </c>
      <c r="B761" s="49" t="s">
        <v>22</v>
      </c>
      <c r="C761" s="49" t="s">
        <v>176</v>
      </c>
      <c r="D761" s="49" t="s">
        <v>76</v>
      </c>
      <c r="E761" s="49" t="s">
        <v>174</v>
      </c>
      <c r="F761" s="49">
        <v>2016</v>
      </c>
      <c r="G761" s="50">
        <v>43115.791666666664</v>
      </c>
      <c r="H761" s="50">
        <v>43128.958333333336</v>
      </c>
      <c r="I761" s="54">
        <v>43115</v>
      </c>
      <c r="J761" s="54">
        <v>43128</v>
      </c>
      <c r="K761" s="51" t="s">
        <v>526</v>
      </c>
      <c r="L761" s="51">
        <v>0.95833333333333337</v>
      </c>
      <c r="M761" s="51" t="s">
        <v>541</v>
      </c>
      <c r="N761" s="51" t="s">
        <v>523</v>
      </c>
      <c r="O761" s="51" t="s">
        <v>669</v>
      </c>
      <c r="P761" s="49" t="s">
        <v>9</v>
      </c>
      <c r="Q761" s="49" t="s">
        <v>18</v>
      </c>
      <c r="R761" s="49" t="s">
        <v>113</v>
      </c>
      <c r="S761" s="49">
        <v>4</v>
      </c>
      <c r="T761" s="49">
        <v>9</v>
      </c>
      <c r="U761" s="63">
        <v>52</v>
      </c>
      <c r="V761" s="63">
        <v>468</v>
      </c>
    </row>
    <row r="762" spans="1:22" x14ac:dyDescent="0.25">
      <c r="A762" s="49" t="s">
        <v>570</v>
      </c>
      <c r="B762" s="49" t="s">
        <v>22</v>
      </c>
      <c r="C762" s="49" t="s">
        <v>176</v>
      </c>
      <c r="D762" s="49" t="s">
        <v>85</v>
      </c>
      <c r="E762" s="49" t="s">
        <v>170</v>
      </c>
      <c r="F762" s="49">
        <v>2016</v>
      </c>
      <c r="G762" s="50">
        <v>43116.583333333336</v>
      </c>
      <c r="H762" s="50">
        <v>43129.75</v>
      </c>
      <c r="I762" s="54">
        <v>43116</v>
      </c>
      <c r="J762" s="54">
        <v>43129</v>
      </c>
      <c r="K762" s="51" t="s">
        <v>527</v>
      </c>
      <c r="L762" s="51">
        <v>0.75</v>
      </c>
      <c r="M762" s="51" t="s">
        <v>542</v>
      </c>
      <c r="N762" s="51" t="s">
        <v>523</v>
      </c>
      <c r="O762" s="51" t="s">
        <v>669</v>
      </c>
      <c r="P762" s="49" t="s">
        <v>23</v>
      </c>
      <c r="Q762" s="49" t="s">
        <v>35</v>
      </c>
      <c r="R762" s="49" t="s">
        <v>109</v>
      </c>
      <c r="S762" s="49">
        <v>2</v>
      </c>
      <c r="T762" s="49">
        <v>11</v>
      </c>
      <c r="U762" s="63">
        <v>47</v>
      </c>
      <c r="V762" s="63">
        <v>517</v>
      </c>
    </row>
    <row r="763" spans="1:22" x14ac:dyDescent="0.25">
      <c r="A763" s="49" t="s">
        <v>571</v>
      </c>
      <c r="B763" s="49" t="s">
        <v>29</v>
      </c>
      <c r="C763" s="49" t="s">
        <v>177</v>
      </c>
      <c r="D763" s="49" t="s">
        <v>83</v>
      </c>
      <c r="E763" s="49" t="s">
        <v>174</v>
      </c>
      <c r="F763" s="49">
        <v>2016</v>
      </c>
      <c r="G763" s="50">
        <v>43117.375</v>
      </c>
      <c r="H763" s="50">
        <v>43123.75</v>
      </c>
      <c r="I763" s="54">
        <v>43117</v>
      </c>
      <c r="J763" s="54">
        <v>43123</v>
      </c>
      <c r="K763" s="51" t="s">
        <v>525</v>
      </c>
      <c r="L763" s="51">
        <v>0.75</v>
      </c>
      <c r="M763" s="51" t="s">
        <v>540</v>
      </c>
      <c r="N763" s="51" t="s">
        <v>523</v>
      </c>
      <c r="O763" s="51" t="s">
        <v>669</v>
      </c>
      <c r="P763" s="49" t="s">
        <v>9</v>
      </c>
      <c r="Q763" s="49" t="s">
        <v>31</v>
      </c>
      <c r="R763" s="49" t="s">
        <v>113</v>
      </c>
      <c r="S763" s="49">
        <v>4</v>
      </c>
      <c r="T763" s="49">
        <v>11</v>
      </c>
      <c r="U763" s="63">
        <v>62</v>
      </c>
      <c r="V763" s="63">
        <v>682</v>
      </c>
    </row>
    <row r="764" spans="1:22" x14ac:dyDescent="0.25">
      <c r="A764" s="49" t="s">
        <v>572</v>
      </c>
      <c r="B764" s="49" t="s">
        <v>45</v>
      </c>
      <c r="C764" s="49" t="s">
        <v>177</v>
      </c>
      <c r="D764" s="49" t="s">
        <v>80</v>
      </c>
      <c r="E764" s="49" t="s">
        <v>173</v>
      </c>
      <c r="F764" s="49">
        <v>2016</v>
      </c>
      <c r="G764" s="50">
        <v>43119.375</v>
      </c>
      <c r="H764" s="50">
        <v>43124.75</v>
      </c>
      <c r="I764" s="54">
        <v>43119</v>
      </c>
      <c r="J764" s="54">
        <v>43124</v>
      </c>
      <c r="K764" s="51" t="s">
        <v>525</v>
      </c>
      <c r="L764" s="51">
        <v>0.75</v>
      </c>
      <c r="M764" s="51" t="s">
        <v>540</v>
      </c>
      <c r="N764" s="51" t="s">
        <v>523</v>
      </c>
      <c r="O764" s="51" t="s">
        <v>669</v>
      </c>
      <c r="P764" s="49" t="s">
        <v>23</v>
      </c>
      <c r="Q764" s="49" t="s">
        <v>26</v>
      </c>
      <c r="R764" s="49" t="s">
        <v>113</v>
      </c>
      <c r="S764" s="49">
        <v>4</v>
      </c>
      <c r="T764" s="49">
        <v>10</v>
      </c>
      <c r="U764" s="63">
        <v>31</v>
      </c>
      <c r="V764" s="63">
        <v>310</v>
      </c>
    </row>
    <row r="765" spans="1:22" x14ac:dyDescent="0.25">
      <c r="A765" s="49" t="s">
        <v>573</v>
      </c>
      <c r="B765" s="49" t="s">
        <v>29</v>
      </c>
      <c r="C765" s="49" t="s">
        <v>177</v>
      </c>
      <c r="D765" s="49" t="s">
        <v>85</v>
      </c>
      <c r="E765" s="49" t="s">
        <v>170</v>
      </c>
      <c r="F765" s="49">
        <v>2016</v>
      </c>
      <c r="G765" s="50">
        <v>43119.375</v>
      </c>
      <c r="H765" s="50">
        <v>43124.75</v>
      </c>
      <c r="I765" s="54">
        <v>43119</v>
      </c>
      <c r="J765" s="54">
        <v>43124</v>
      </c>
      <c r="K765" s="51" t="s">
        <v>525</v>
      </c>
      <c r="L765" s="51">
        <v>0.75</v>
      </c>
      <c r="M765" s="51" t="s">
        <v>540</v>
      </c>
      <c r="N765" s="51" t="s">
        <v>523</v>
      </c>
      <c r="O765" s="51" t="s">
        <v>669</v>
      </c>
      <c r="P765" s="49" t="s">
        <v>23</v>
      </c>
      <c r="Q765" s="49" t="s">
        <v>190</v>
      </c>
      <c r="R765" s="49" t="s">
        <v>109</v>
      </c>
      <c r="S765" s="49">
        <v>5</v>
      </c>
      <c r="T765" s="49">
        <v>9</v>
      </c>
      <c r="U765" s="63">
        <v>47</v>
      </c>
      <c r="V765" s="63">
        <v>423</v>
      </c>
    </row>
    <row r="766" spans="1:22" x14ac:dyDescent="0.25">
      <c r="A766" s="49" t="s">
        <v>574</v>
      </c>
      <c r="B766" s="49" t="s">
        <v>14</v>
      </c>
      <c r="C766" s="49" t="s">
        <v>175</v>
      </c>
      <c r="D766" s="49" t="s">
        <v>82</v>
      </c>
      <c r="E766" s="49" t="s">
        <v>172</v>
      </c>
      <c r="F766" s="49">
        <v>2016</v>
      </c>
      <c r="G766" s="50">
        <v>43121.791666666664</v>
      </c>
      <c r="H766" s="50">
        <v>43132.958333333336</v>
      </c>
      <c r="I766" s="54">
        <v>43121</v>
      </c>
      <c r="J766" s="54">
        <v>43132</v>
      </c>
      <c r="K766" s="51" t="s">
        <v>526</v>
      </c>
      <c r="L766" s="51">
        <v>0.95833333333333337</v>
      </c>
      <c r="M766" s="51" t="s">
        <v>541</v>
      </c>
      <c r="N766" s="51" t="s">
        <v>523</v>
      </c>
      <c r="O766" s="51" t="s">
        <v>669</v>
      </c>
      <c r="P766" s="49" t="s">
        <v>9</v>
      </c>
      <c r="Q766" s="49" t="s">
        <v>21</v>
      </c>
      <c r="R766" s="49" t="s">
        <v>113</v>
      </c>
      <c r="S766" s="49">
        <v>3</v>
      </c>
      <c r="T766" s="49">
        <v>11</v>
      </c>
      <c r="U766" s="63">
        <v>73</v>
      </c>
      <c r="V766" s="63">
        <v>803</v>
      </c>
    </row>
    <row r="767" spans="1:22" x14ac:dyDescent="0.25">
      <c r="A767" s="49" t="s">
        <v>575</v>
      </c>
      <c r="B767" s="49" t="s">
        <v>17</v>
      </c>
      <c r="C767" s="49" t="s">
        <v>176</v>
      </c>
      <c r="D767" s="49" t="s">
        <v>86</v>
      </c>
      <c r="E767" s="49" t="s">
        <v>169</v>
      </c>
      <c r="F767" s="49">
        <v>2016</v>
      </c>
      <c r="G767" s="50">
        <v>43121.791666666664</v>
      </c>
      <c r="H767" s="50">
        <v>43132.958333333336</v>
      </c>
      <c r="I767" s="54">
        <v>43121</v>
      </c>
      <c r="J767" s="54">
        <v>43132</v>
      </c>
      <c r="K767" s="51" t="s">
        <v>526</v>
      </c>
      <c r="L767" s="51">
        <v>0.95833333333333337</v>
      </c>
      <c r="M767" s="51" t="s">
        <v>541</v>
      </c>
      <c r="N767" s="51" t="s">
        <v>523</v>
      </c>
      <c r="O767" s="51" t="s">
        <v>669</v>
      </c>
      <c r="P767" s="49" t="s">
        <v>9</v>
      </c>
      <c r="Q767" s="49" t="s">
        <v>31</v>
      </c>
      <c r="R767" s="49" t="s">
        <v>113</v>
      </c>
      <c r="S767" s="49">
        <v>3</v>
      </c>
      <c r="T767" s="49">
        <v>11</v>
      </c>
      <c r="U767" s="63">
        <v>47</v>
      </c>
      <c r="V767" s="63">
        <v>517</v>
      </c>
    </row>
    <row r="768" spans="1:22" x14ac:dyDescent="0.25">
      <c r="A768" s="49" t="s">
        <v>576</v>
      </c>
      <c r="B768" s="49" t="s">
        <v>45</v>
      </c>
      <c r="C768" s="49" t="s">
        <v>177</v>
      </c>
      <c r="D768" s="49" t="s">
        <v>83</v>
      </c>
      <c r="E768" s="49" t="s">
        <v>174</v>
      </c>
      <c r="F768" s="49">
        <v>2016</v>
      </c>
      <c r="G768" s="50">
        <v>43121.791666666664</v>
      </c>
      <c r="H768" s="50">
        <v>43132.958333333336</v>
      </c>
      <c r="I768" s="54">
        <v>43121</v>
      </c>
      <c r="J768" s="54">
        <v>43132</v>
      </c>
      <c r="K768" s="51" t="s">
        <v>526</v>
      </c>
      <c r="L768" s="51">
        <v>0.95833333333333337</v>
      </c>
      <c r="M768" s="51" t="s">
        <v>541</v>
      </c>
      <c r="N768" s="51" t="s">
        <v>523</v>
      </c>
      <c r="O768" s="51" t="s">
        <v>669</v>
      </c>
      <c r="P768" s="49" t="s">
        <v>9</v>
      </c>
      <c r="Q768" s="49" t="s">
        <v>12</v>
      </c>
      <c r="R768" s="49" t="s">
        <v>113</v>
      </c>
      <c r="S768" s="49">
        <v>4</v>
      </c>
      <c r="T768" s="49">
        <v>8</v>
      </c>
      <c r="U768" s="63">
        <v>62</v>
      </c>
      <c r="V768" s="63">
        <v>496</v>
      </c>
    </row>
    <row r="769" spans="1:22" x14ac:dyDescent="0.25">
      <c r="A769" s="49" t="s">
        <v>577</v>
      </c>
      <c r="B769" s="49" t="s">
        <v>17</v>
      </c>
      <c r="C769" s="49" t="s">
        <v>176</v>
      </c>
      <c r="D769" s="49" t="s">
        <v>80</v>
      </c>
      <c r="E769" s="49" t="s">
        <v>173</v>
      </c>
      <c r="F769" s="49">
        <v>2016</v>
      </c>
      <c r="G769" s="50">
        <v>43121.791666666664</v>
      </c>
      <c r="H769" s="50">
        <v>43132.958333333336</v>
      </c>
      <c r="I769" s="54">
        <v>43121</v>
      </c>
      <c r="J769" s="54">
        <v>43132</v>
      </c>
      <c r="K769" s="51" t="s">
        <v>526</v>
      </c>
      <c r="L769" s="51">
        <v>0.95833333333333337</v>
      </c>
      <c r="M769" s="51" t="s">
        <v>541</v>
      </c>
      <c r="N769" s="51" t="s">
        <v>523</v>
      </c>
      <c r="O769" s="51" t="s">
        <v>669</v>
      </c>
      <c r="P769" s="49" t="s">
        <v>23</v>
      </c>
      <c r="Q769" s="49" t="s">
        <v>38</v>
      </c>
      <c r="R769" s="49" t="s">
        <v>113</v>
      </c>
      <c r="S769" s="49">
        <v>2</v>
      </c>
      <c r="T769" s="49">
        <v>8</v>
      </c>
      <c r="U769" s="63">
        <v>31</v>
      </c>
      <c r="V769" s="63">
        <v>248</v>
      </c>
    </row>
    <row r="770" spans="1:22" x14ac:dyDescent="0.25">
      <c r="A770" s="49" t="s">
        <v>578</v>
      </c>
      <c r="B770" s="49" t="s">
        <v>45</v>
      </c>
      <c r="C770" s="49" t="s">
        <v>177</v>
      </c>
      <c r="D770" s="49" t="s">
        <v>83</v>
      </c>
      <c r="E770" s="49" t="s">
        <v>174</v>
      </c>
      <c r="F770" s="49">
        <v>2016</v>
      </c>
      <c r="G770" s="50">
        <v>43121.791666666664</v>
      </c>
      <c r="H770" s="50">
        <v>43132.958333333336</v>
      </c>
      <c r="I770" s="54">
        <v>43121</v>
      </c>
      <c r="J770" s="54">
        <v>43132</v>
      </c>
      <c r="K770" s="51" t="s">
        <v>526</v>
      </c>
      <c r="L770" s="51">
        <v>0.95833333333333337</v>
      </c>
      <c r="M770" s="51" t="s">
        <v>541</v>
      </c>
      <c r="N770" s="51" t="s">
        <v>523</v>
      </c>
      <c r="O770" s="51" t="s">
        <v>669</v>
      </c>
      <c r="P770" s="49" t="s">
        <v>9</v>
      </c>
      <c r="Q770" s="49" t="s">
        <v>38</v>
      </c>
      <c r="R770" s="49" t="s">
        <v>113</v>
      </c>
      <c r="S770" s="49">
        <v>2</v>
      </c>
      <c r="T770" s="49">
        <v>8</v>
      </c>
      <c r="U770" s="63">
        <v>62</v>
      </c>
      <c r="V770" s="63">
        <v>496</v>
      </c>
    </row>
    <row r="771" spans="1:22" x14ac:dyDescent="0.25">
      <c r="A771" s="49" t="s">
        <v>579</v>
      </c>
      <c r="B771" s="49" t="s">
        <v>22</v>
      </c>
      <c r="C771" s="49" t="s">
        <v>176</v>
      </c>
      <c r="D771" s="49" t="s">
        <v>78</v>
      </c>
      <c r="E771" s="49" t="s">
        <v>172</v>
      </c>
      <c r="F771" s="49">
        <v>2016</v>
      </c>
      <c r="G771" s="50">
        <v>43121.791666666664</v>
      </c>
      <c r="H771" s="50">
        <v>43132.958333333336</v>
      </c>
      <c r="I771" s="54">
        <v>43121</v>
      </c>
      <c r="J771" s="54">
        <v>43132</v>
      </c>
      <c r="K771" s="51" t="s">
        <v>526</v>
      </c>
      <c r="L771" s="51">
        <v>0.95833333333333337</v>
      </c>
      <c r="M771" s="51" t="s">
        <v>541</v>
      </c>
      <c r="N771" s="51" t="s">
        <v>523</v>
      </c>
      <c r="O771" s="51" t="s">
        <v>669</v>
      </c>
      <c r="P771" s="49" t="s">
        <v>23</v>
      </c>
      <c r="Q771" s="49" t="s">
        <v>38</v>
      </c>
      <c r="R771" s="49" t="s">
        <v>113</v>
      </c>
      <c r="S771" s="49">
        <v>3</v>
      </c>
      <c r="T771" s="49">
        <v>8</v>
      </c>
      <c r="U771" s="63">
        <v>61</v>
      </c>
      <c r="V771" s="63">
        <v>488</v>
      </c>
    </row>
    <row r="772" spans="1:22" x14ac:dyDescent="0.25">
      <c r="A772" s="49" t="s">
        <v>580</v>
      </c>
      <c r="B772" s="49" t="s">
        <v>19</v>
      </c>
      <c r="C772" s="49" t="s">
        <v>176</v>
      </c>
      <c r="D772" s="49" t="s">
        <v>81</v>
      </c>
      <c r="E772" s="49" t="s">
        <v>172</v>
      </c>
      <c r="F772" s="49">
        <v>2016</v>
      </c>
      <c r="G772" s="50">
        <v>43121.791666666664</v>
      </c>
      <c r="H772" s="50">
        <v>43132.958333333336</v>
      </c>
      <c r="I772" s="54">
        <v>43121</v>
      </c>
      <c r="J772" s="54">
        <v>43132</v>
      </c>
      <c r="K772" s="51" t="s">
        <v>526</v>
      </c>
      <c r="L772" s="51">
        <v>0.95833333333333337</v>
      </c>
      <c r="M772" s="51" t="s">
        <v>541</v>
      </c>
      <c r="N772" s="51" t="s">
        <v>523</v>
      </c>
      <c r="O772" s="51" t="s">
        <v>669</v>
      </c>
      <c r="P772" s="49" t="s">
        <v>9</v>
      </c>
      <c r="Q772" s="49" t="s">
        <v>18</v>
      </c>
      <c r="R772" s="49" t="s">
        <v>113</v>
      </c>
      <c r="S772" s="49">
        <v>3</v>
      </c>
      <c r="T772" s="49">
        <v>10</v>
      </c>
      <c r="U772" s="63">
        <v>42</v>
      </c>
      <c r="V772" s="63">
        <v>420</v>
      </c>
    </row>
    <row r="773" spans="1:22" x14ac:dyDescent="0.25">
      <c r="A773" s="49" t="s">
        <v>581</v>
      </c>
      <c r="B773" s="49" t="s">
        <v>19</v>
      </c>
      <c r="C773" s="49" t="s">
        <v>176</v>
      </c>
      <c r="D773" s="49" t="s">
        <v>88</v>
      </c>
      <c r="E773" s="49" t="s">
        <v>170</v>
      </c>
      <c r="F773" s="49">
        <v>2016</v>
      </c>
      <c r="G773" s="50">
        <v>43121.791666666664</v>
      </c>
      <c r="H773" s="50">
        <v>43132.958333333336</v>
      </c>
      <c r="I773" s="54">
        <v>43121</v>
      </c>
      <c r="J773" s="54">
        <v>43132</v>
      </c>
      <c r="K773" s="51" t="s">
        <v>526</v>
      </c>
      <c r="L773" s="51">
        <v>0.95833333333333337</v>
      </c>
      <c r="M773" s="51" t="s">
        <v>541</v>
      </c>
      <c r="N773" s="51" t="s">
        <v>523</v>
      </c>
      <c r="O773" s="51" t="s">
        <v>669</v>
      </c>
      <c r="P773" s="49" t="s">
        <v>9</v>
      </c>
      <c r="Q773" s="49" t="s">
        <v>16</v>
      </c>
      <c r="R773" s="49" t="s">
        <v>109</v>
      </c>
      <c r="S773" s="49">
        <v>3</v>
      </c>
      <c r="T773" s="49">
        <v>11</v>
      </c>
      <c r="U773" s="63">
        <v>41</v>
      </c>
      <c r="V773" s="63">
        <v>451</v>
      </c>
    </row>
    <row r="774" spans="1:22" x14ac:dyDescent="0.25">
      <c r="A774" s="49" t="s">
        <v>582</v>
      </c>
      <c r="B774" s="49" t="s">
        <v>39</v>
      </c>
      <c r="C774" s="49" t="s">
        <v>177</v>
      </c>
      <c r="D774" s="49" t="s">
        <v>80</v>
      </c>
      <c r="E774" s="49" t="s">
        <v>173</v>
      </c>
      <c r="F774" s="49">
        <v>2016</v>
      </c>
      <c r="G774" s="50">
        <v>43124.375</v>
      </c>
      <c r="H774" s="50">
        <v>43130.75</v>
      </c>
      <c r="I774" s="54">
        <v>43124</v>
      </c>
      <c r="J774" s="54">
        <v>43130</v>
      </c>
      <c r="K774" s="51" t="s">
        <v>525</v>
      </c>
      <c r="L774" s="51">
        <v>0.75</v>
      </c>
      <c r="M774" s="51" t="s">
        <v>540</v>
      </c>
      <c r="N774" s="51" t="s">
        <v>523</v>
      </c>
      <c r="O774" s="51" t="s">
        <v>669</v>
      </c>
      <c r="P774" s="49" t="s">
        <v>9</v>
      </c>
      <c r="Q774" s="49" t="s">
        <v>24</v>
      </c>
      <c r="R774" s="49" t="s">
        <v>113</v>
      </c>
      <c r="S774" s="49">
        <v>3</v>
      </c>
      <c r="T774" s="49">
        <v>9</v>
      </c>
      <c r="U774" s="63">
        <v>31</v>
      </c>
      <c r="V774" s="63">
        <v>279</v>
      </c>
    </row>
    <row r="775" spans="1:22" x14ac:dyDescent="0.25">
      <c r="A775" s="49" t="s">
        <v>583</v>
      </c>
      <c r="B775" s="49" t="s">
        <v>11</v>
      </c>
      <c r="C775" s="49" t="s">
        <v>175</v>
      </c>
      <c r="D775" s="49" t="s">
        <v>80</v>
      </c>
      <c r="E775" s="49" t="s">
        <v>173</v>
      </c>
      <c r="F775" s="49">
        <v>2016</v>
      </c>
      <c r="G775" s="50">
        <v>43124.375</v>
      </c>
      <c r="H775" s="50">
        <v>43130.75</v>
      </c>
      <c r="I775" s="54">
        <v>43124</v>
      </c>
      <c r="J775" s="54">
        <v>43130</v>
      </c>
      <c r="K775" s="51" t="s">
        <v>525</v>
      </c>
      <c r="L775" s="51">
        <v>0.75</v>
      </c>
      <c r="M775" s="51" t="s">
        <v>540</v>
      </c>
      <c r="N775" s="51" t="s">
        <v>523</v>
      </c>
      <c r="O775" s="51" t="s">
        <v>669</v>
      </c>
      <c r="P775" s="49" t="s">
        <v>23</v>
      </c>
      <c r="Q775" s="49" t="s">
        <v>26</v>
      </c>
      <c r="R775" s="49" t="s">
        <v>113</v>
      </c>
      <c r="S775" s="49">
        <v>5</v>
      </c>
      <c r="T775" s="49">
        <v>11</v>
      </c>
      <c r="U775" s="63">
        <v>31</v>
      </c>
      <c r="V775" s="63">
        <v>341</v>
      </c>
    </row>
    <row r="776" spans="1:22" x14ac:dyDescent="0.25">
      <c r="A776" s="49" t="s">
        <v>584</v>
      </c>
      <c r="B776" s="49" t="s">
        <v>22</v>
      </c>
      <c r="C776" s="49" t="s">
        <v>176</v>
      </c>
      <c r="D776" s="49" t="s">
        <v>79</v>
      </c>
      <c r="E776" s="49" t="s">
        <v>168</v>
      </c>
      <c r="F776" s="49">
        <v>2016</v>
      </c>
      <c r="G776" s="50">
        <v>43125.333333333336</v>
      </c>
      <c r="H776" s="50">
        <v>43138.5</v>
      </c>
      <c r="I776" s="54">
        <v>43125</v>
      </c>
      <c r="J776" s="54">
        <v>43138</v>
      </c>
      <c r="K776" s="51" t="s">
        <v>522</v>
      </c>
      <c r="L776" s="51">
        <v>0.5</v>
      </c>
      <c r="M776" s="51" t="s">
        <v>539</v>
      </c>
      <c r="N776" s="51" t="s">
        <v>523</v>
      </c>
      <c r="O776" s="51" t="s">
        <v>669</v>
      </c>
      <c r="P776" s="49" t="s">
        <v>23</v>
      </c>
      <c r="Q776" s="49" t="s">
        <v>41</v>
      </c>
      <c r="R776" s="49" t="s">
        <v>113</v>
      </c>
      <c r="S776" s="49">
        <v>4</v>
      </c>
      <c r="T776" s="49">
        <v>12</v>
      </c>
      <c r="U776" s="63">
        <v>47</v>
      </c>
      <c r="V776" s="63">
        <v>564</v>
      </c>
    </row>
    <row r="777" spans="1:22" x14ac:dyDescent="0.25">
      <c r="A777" s="49" t="s">
        <v>585</v>
      </c>
      <c r="B777" s="49" t="s">
        <v>17</v>
      </c>
      <c r="C777" s="49" t="s">
        <v>176</v>
      </c>
      <c r="D777" s="49" t="s">
        <v>88</v>
      </c>
      <c r="E777" s="49" t="s">
        <v>170</v>
      </c>
      <c r="F777" s="49">
        <v>2016</v>
      </c>
      <c r="G777" s="50">
        <v>43125.333333333336</v>
      </c>
      <c r="H777" s="50">
        <v>43138.5</v>
      </c>
      <c r="I777" s="54">
        <v>43125</v>
      </c>
      <c r="J777" s="54">
        <v>43138</v>
      </c>
      <c r="K777" s="51" t="s">
        <v>522</v>
      </c>
      <c r="L777" s="51">
        <v>0.5</v>
      </c>
      <c r="M777" s="51" t="s">
        <v>539</v>
      </c>
      <c r="N777" s="51" t="s">
        <v>523</v>
      </c>
      <c r="O777" s="51" t="s">
        <v>669</v>
      </c>
      <c r="P777" s="49" t="s">
        <v>9</v>
      </c>
      <c r="Q777" s="49" t="s">
        <v>16</v>
      </c>
      <c r="R777" s="49" t="s">
        <v>109</v>
      </c>
      <c r="S777" s="49">
        <v>3</v>
      </c>
      <c r="T777" s="49">
        <v>12</v>
      </c>
      <c r="U777" s="63">
        <v>41</v>
      </c>
      <c r="V777" s="63">
        <v>492</v>
      </c>
    </row>
    <row r="778" spans="1:22" x14ac:dyDescent="0.25">
      <c r="A778" s="49" t="s">
        <v>586</v>
      </c>
      <c r="B778" s="49" t="s">
        <v>14</v>
      </c>
      <c r="C778" s="49" t="s">
        <v>175</v>
      </c>
      <c r="D778" s="49" t="s">
        <v>78</v>
      </c>
      <c r="E778" s="49" t="s">
        <v>172</v>
      </c>
      <c r="F778" s="49">
        <v>2016</v>
      </c>
      <c r="G778" s="50">
        <v>43126.375</v>
      </c>
      <c r="H778" s="50">
        <v>43131.75</v>
      </c>
      <c r="I778" s="54">
        <v>43126</v>
      </c>
      <c r="J778" s="54">
        <v>43131</v>
      </c>
      <c r="K778" s="51" t="s">
        <v>525</v>
      </c>
      <c r="L778" s="51">
        <v>0.75</v>
      </c>
      <c r="M778" s="51" t="s">
        <v>540</v>
      </c>
      <c r="N778" s="51" t="s">
        <v>523</v>
      </c>
      <c r="O778" s="51" t="s">
        <v>669</v>
      </c>
      <c r="P778" s="49" t="s">
        <v>23</v>
      </c>
      <c r="Q778" s="49" t="s">
        <v>24</v>
      </c>
      <c r="R778" s="49" t="s">
        <v>113</v>
      </c>
      <c r="S778" s="49">
        <v>5</v>
      </c>
      <c r="T778" s="49">
        <v>8</v>
      </c>
      <c r="U778" s="63">
        <v>61</v>
      </c>
      <c r="V778" s="63">
        <v>488</v>
      </c>
    </row>
    <row r="779" spans="1:22" x14ac:dyDescent="0.25">
      <c r="A779" s="49" t="s">
        <v>587</v>
      </c>
      <c r="B779" s="49" t="s">
        <v>29</v>
      </c>
      <c r="C779" s="49" t="s">
        <v>177</v>
      </c>
      <c r="D779" s="49" t="s">
        <v>79</v>
      </c>
      <c r="E779" s="49" t="s">
        <v>168</v>
      </c>
      <c r="F779" s="49">
        <v>2016</v>
      </c>
      <c r="G779" s="50">
        <v>43128.791666666664</v>
      </c>
      <c r="H779" s="50">
        <v>43139.958333333336</v>
      </c>
      <c r="I779" s="54">
        <v>43128</v>
      </c>
      <c r="J779" s="54">
        <v>43139</v>
      </c>
      <c r="K779" s="51" t="s">
        <v>526</v>
      </c>
      <c r="L779" s="51">
        <v>0.95833333333333337</v>
      </c>
      <c r="M779" s="51" t="s">
        <v>541</v>
      </c>
      <c r="N779" s="51" t="s">
        <v>523</v>
      </c>
      <c r="O779" s="51" t="s">
        <v>669</v>
      </c>
      <c r="P779" s="49" t="s">
        <v>23</v>
      </c>
      <c r="Q779" s="49" t="s">
        <v>37</v>
      </c>
      <c r="R779" s="49" t="s">
        <v>113</v>
      </c>
      <c r="S779" s="49">
        <v>5</v>
      </c>
      <c r="T779" s="49">
        <v>12</v>
      </c>
      <c r="U779" s="63">
        <v>47</v>
      </c>
      <c r="V779" s="63">
        <v>564</v>
      </c>
    </row>
    <row r="780" spans="1:22" x14ac:dyDescent="0.25">
      <c r="A780" s="49" t="s">
        <v>588</v>
      </c>
      <c r="B780" s="49" t="s">
        <v>7</v>
      </c>
      <c r="C780" s="49" t="s">
        <v>175</v>
      </c>
      <c r="D780" s="49" t="s">
        <v>80</v>
      </c>
      <c r="E780" s="49" t="s">
        <v>173</v>
      </c>
      <c r="F780" s="49">
        <v>2016</v>
      </c>
      <c r="G780" s="50">
        <v>43129.791666666664</v>
      </c>
      <c r="H780" s="50">
        <v>43142.958333333336</v>
      </c>
      <c r="I780" s="54">
        <v>43129</v>
      </c>
      <c r="J780" s="54">
        <v>43142</v>
      </c>
      <c r="K780" s="51" t="s">
        <v>526</v>
      </c>
      <c r="L780" s="51">
        <v>0.95833333333333337</v>
      </c>
      <c r="M780" s="51" t="s">
        <v>541</v>
      </c>
      <c r="N780" s="51" t="s">
        <v>523</v>
      </c>
      <c r="O780" s="51" t="s">
        <v>669</v>
      </c>
      <c r="P780" s="49" t="s">
        <v>9</v>
      </c>
      <c r="Q780" s="49" t="s">
        <v>190</v>
      </c>
      <c r="R780" s="49" t="s">
        <v>109</v>
      </c>
      <c r="S780" s="49">
        <v>3</v>
      </c>
      <c r="T780" s="49">
        <v>9</v>
      </c>
      <c r="U780" s="63">
        <v>31</v>
      </c>
      <c r="V780" s="63">
        <v>279</v>
      </c>
    </row>
    <row r="781" spans="1:22" x14ac:dyDescent="0.25">
      <c r="A781" s="49" t="s">
        <v>589</v>
      </c>
      <c r="B781" s="49" t="s">
        <v>7</v>
      </c>
      <c r="C781" s="49" t="s">
        <v>175</v>
      </c>
      <c r="D781" s="49" t="s">
        <v>88</v>
      </c>
      <c r="E781" s="49" t="s">
        <v>170</v>
      </c>
      <c r="F781" s="49">
        <v>2016</v>
      </c>
      <c r="G781" s="50">
        <v>43129.791666666664</v>
      </c>
      <c r="H781" s="50">
        <v>43142.958333333336</v>
      </c>
      <c r="I781" s="54">
        <v>43129</v>
      </c>
      <c r="J781" s="54">
        <v>43142</v>
      </c>
      <c r="K781" s="51" t="s">
        <v>526</v>
      </c>
      <c r="L781" s="51">
        <v>0.95833333333333337</v>
      </c>
      <c r="M781" s="51" t="s">
        <v>541</v>
      </c>
      <c r="N781" s="51" t="s">
        <v>523</v>
      </c>
      <c r="O781" s="51" t="s">
        <v>669</v>
      </c>
      <c r="P781" s="49" t="s">
        <v>9</v>
      </c>
      <c r="Q781" s="49" t="s">
        <v>21</v>
      </c>
      <c r="R781" s="49" t="s">
        <v>113</v>
      </c>
      <c r="S781" s="49">
        <v>5</v>
      </c>
      <c r="T781" s="49">
        <v>10</v>
      </c>
      <c r="U781" s="63">
        <v>41</v>
      </c>
      <c r="V781" s="63">
        <v>410</v>
      </c>
    </row>
    <row r="782" spans="1:22" x14ac:dyDescent="0.25">
      <c r="A782" s="49" t="s">
        <v>590</v>
      </c>
      <c r="B782" s="49" t="s">
        <v>14</v>
      </c>
      <c r="C782" s="49" t="s">
        <v>175</v>
      </c>
      <c r="D782" s="49" t="s">
        <v>85</v>
      </c>
      <c r="E782" s="49" t="s">
        <v>170</v>
      </c>
      <c r="F782" s="49">
        <v>2016</v>
      </c>
      <c r="G782" s="50">
        <v>43129.791666666664</v>
      </c>
      <c r="H782" s="50">
        <v>43142.958333333336</v>
      </c>
      <c r="I782" s="54">
        <v>43129</v>
      </c>
      <c r="J782" s="54">
        <v>43142</v>
      </c>
      <c r="K782" s="51" t="s">
        <v>526</v>
      </c>
      <c r="L782" s="51">
        <v>0.95833333333333337</v>
      </c>
      <c r="M782" s="51" t="s">
        <v>541</v>
      </c>
      <c r="N782" s="51" t="s">
        <v>523</v>
      </c>
      <c r="O782" s="51" t="s">
        <v>669</v>
      </c>
      <c r="P782" s="49" t="s">
        <v>23</v>
      </c>
      <c r="Q782" s="49" t="s">
        <v>44</v>
      </c>
      <c r="R782" s="49" t="s">
        <v>113</v>
      </c>
      <c r="S782" s="49">
        <v>4</v>
      </c>
      <c r="T782" s="49">
        <v>10</v>
      </c>
      <c r="U782" s="63">
        <v>47</v>
      </c>
      <c r="V782" s="63">
        <v>470</v>
      </c>
    </row>
    <row r="783" spans="1:22" x14ac:dyDescent="0.25">
      <c r="A783" s="49" t="s">
        <v>591</v>
      </c>
      <c r="B783" s="49" t="s">
        <v>45</v>
      </c>
      <c r="C783" s="49" t="s">
        <v>177</v>
      </c>
      <c r="D783" s="49" t="s">
        <v>89</v>
      </c>
      <c r="E783" s="49" t="s">
        <v>169</v>
      </c>
      <c r="F783" s="49">
        <v>2016</v>
      </c>
      <c r="G783" s="50">
        <v>43129.791666666664</v>
      </c>
      <c r="H783" s="50">
        <v>43142.958333333336</v>
      </c>
      <c r="I783" s="54">
        <v>43129</v>
      </c>
      <c r="J783" s="54">
        <v>43142</v>
      </c>
      <c r="K783" s="51" t="s">
        <v>526</v>
      </c>
      <c r="L783" s="51">
        <v>0.95833333333333337</v>
      </c>
      <c r="M783" s="51" t="s">
        <v>541</v>
      </c>
      <c r="N783" s="51" t="s">
        <v>523</v>
      </c>
      <c r="O783" s="51" t="s">
        <v>669</v>
      </c>
      <c r="P783" s="49" t="s">
        <v>23</v>
      </c>
      <c r="Q783" s="49" t="s">
        <v>28</v>
      </c>
      <c r="R783" s="49" t="s">
        <v>109</v>
      </c>
      <c r="S783" s="49">
        <v>2</v>
      </c>
      <c r="T783" s="49">
        <v>9</v>
      </c>
      <c r="U783" s="63">
        <v>61</v>
      </c>
      <c r="V783" s="63">
        <v>549</v>
      </c>
    </row>
    <row r="784" spans="1:22" x14ac:dyDescent="0.25">
      <c r="A784" s="49" t="s">
        <v>592</v>
      </c>
      <c r="B784" s="49" t="s">
        <v>7</v>
      </c>
      <c r="C784" s="49" t="s">
        <v>175</v>
      </c>
      <c r="D784" s="49" t="s">
        <v>82</v>
      </c>
      <c r="E784" s="49" t="s">
        <v>172</v>
      </c>
      <c r="F784" s="49">
        <v>2016</v>
      </c>
      <c r="G784" s="50">
        <v>43130.583333333336</v>
      </c>
      <c r="H784" s="50">
        <v>43143.75</v>
      </c>
      <c r="I784" s="54">
        <v>43130</v>
      </c>
      <c r="J784" s="54">
        <v>43143</v>
      </c>
      <c r="K784" s="51" t="s">
        <v>527</v>
      </c>
      <c r="L784" s="51">
        <v>0.75</v>
      </c>
      <c r="M784" s="51" t="s">
        <v>542</v>
      </c>
      <c r="N784" s="51" t="s">
        <v>523</v>
      </c>
      <c r="O784" s="51" t="s">
        <v>669</v>
      </c>
      <c r="P784" s="49" t="s">
        <v>9</v>
      </c>
      <c r="Q784" s="49" t="s">
        <v>44</v>
      </c>
      <c r="R784" s="49" t="s">
        <v>113</v>
      </c>
      <c r="S784" s="49">
        <v>4</v>
      </c>
      <c r="T784" s="49">
        <v>12</v>
      </c>
      <c r="U784" s="63">
        <v>73</v>
      </c>
      <c r="V784" s="63">
        <v>876</v>
      </c>
    </row>
    <row r="785" spans="1:22" x14ac:dyDescent="0.25">
      <c r="A785" s="49" t="s">
        <v>593</v>
      </c>
      <c r="B785" s="49" t="s">
        <v>11</v>
      </c>
      <c r="C785" s="49" t="s">
        <v>175</v>
      </c>
      <c r="D785" s="49" t="s">
        <v>88</v>
      </c>
      <c r="E785" s="49" t="s">
        <v>170</v>
      </c>
      <c r="F785" s="49">
        <v>2016</v>
      </c>
      <c r="G785" s="50">
        <v>43130.583333333336</v>
      </c>
      <c r="H785" s="50">
        <v>43143.75</v>
      </c>
      <c r="I785" s="54">
        <v>43130</v>
      </c>
      <c r="J785" s="54">
        <v>43143</v>
      </c>
      <c r="K785" s="51" t="s">
        <v>527</v>
      </c>
      <c r="L785" s="51">
        <v>0.75</v>
      </c>
      <c r="M785" s="51" t="s">
        <v>542</v>
      </c>
      <c r="N785" s="51" t="s">
        <v>523</v>
      </c>
      <c r="O785" s="51" t="s">
        <v>669</v>
      </c>
      <c r="P785" s="49" t="s">
        <v>9</v>
      </c>
      <c r="Q785" s="49" t="s">
        <v>38</v>
      </c>
      <c r="R785" s="49" t="s">
        <v>113</v>
      </c>
      <c r="S785" s="49">
        <v>5</v>
      </c>
      <c r="T785" s="49">
        <v>11</v>
      </c>
      <c r="U785" s="63">
        <v>41</v>
      </c>
      <c r="V785" s="63">
        <v>451</v>
      </c>
    </row>
    <row r="786" spans="1:22" x14ac:dyDescent="0.25">
      <c r="A786" s="49" t="s">
        <v>594</v>
      </c>
      <c r="B786" s="49" t="s">
        <v>17</v>
      </c>
      <c r="C786" s="49" t="s">
        <v>176</v>
      </c>
      <c r="D786" s="49" t="s">
        <v>81</v>
      </c>
      <c r="E786" s="49" t="s">
        <v>172</v>
      </c>
      <c r="F786" s="49">
        <v>2016</v>
      </c>
      <c r="G786" s="50">
        <v>43130.583333333336</v>
      </c>
      <c r="H786" s="50">
        <v>43143.75</v>
      </c>
      <c r="I786" s="54">
        <v>43130</v>
      </c>
      <c r="J786" s="54">
        <v>43143</v>
      </c>
      <c r="K786" s="51" t="s">
        <v>527</v>
      </c>
      <c r="L786" s="51">
        <v>0.75</v>
      </c>
      <c r="M786" s="51" t="s">
        <v>542</v>
      </c>
      <c r="N786" s="51" t="s">
        <v>523</v>
      </c>
      <c r="O786" s="51" t="s">
        <v>669</v>
      </c>
      <c r="P786" s="49" t="s">
        <v>9</v>
      </c>
      <c r="Q786" s="49" t="s">
        <v>44</v>
      </c>
      <c r="R786" s="49" t="s">
        <v>113</v>
      </c>
      <c r="S786" s="49">
        <v>3</v>
      </c>
      <c r="T786" s="49">
        <v>9</v>
      </c>
      <c r="U786" s="63">
        <v>42</v>
      </c>
      <c r="V786" s="63">
        <v>378</v>
      </c>
    </row>
    <row r="787" spans="1:22" x14ac:dyDescent="0.25">
      <c r="A787" s="49" t="s">
        <v>595</v>
      </c>
      <c r="B787" s="49" t="s">
        <v>17</v>
      </c>
      <c r="C787" s="49" t="s">
        <v>176</v>
      </c>
      <c r="D787" s="49" t="s">
        <v>89</v>
      </c>
      <c r="E787" s="49" t="s">
        <v>169</v>
      </c>
      <c r="F787" s="49">
        <v>2016</v>
      </c>
      <c r="G787" s="50">
        <v>43133.375</v>
      </c>
      <c r="H787" s="50">
        <v>43138.75</v>
      </c>
      <c r="I787" s="54">
        <v>43133</v>
      </c>
      <c r="J787" s="54">
        <v>43138</v>
      </c>
      <c r="K787" s="51" t="s">
        <v>525</v>
      </c>
      <c r="L787" s="51">
        <v>0.75</v>
      </c>
      <c r="M787" s="51" t="s">
        <v>540</v>
      </c>
      <c r="N787" s="51" t="s">
        <v>528</v>
      </c>
      <c r="O787" s="51" t="s">
        <v>669</v>
      </c>
      <c r="P787" s="49" t="s">
        <v>23</v>
      </c>
      <c r="Q787" s="49" t="s">
        <v>22</v>
      </c>
      <c r="R787" s="49" t="s">
        <v>109</v>
      </c>
      <c r="S787" s="49">
        <v>5</v>
      </c>
      <c r="T787" s="49">
        <v>9</v>
      </c>
      <c r="U787" s="63">
        <v>61</v>
      </c>
      <c r="V787" s="63">
        <v>549</v>
      </c>
    </row>
    <row r="788" spans="1:22" x14ac:dyDescent="0.25">
      <c r="A788" s="49" t="s">
        <v>596</v>
      </c>
      <c r="B788" s="49" t="s">
        <v>11</v>
      </c>
      <c r="C788" s="49" t="s">
        <v>175</v>
      </c>
      <c r="D788" s="49" t="s">
        <v>83</v>
      </c>
      <c r="E788" s="49" t="s">
        <v>174</v>
      </c>
      <c r="F788" s="49">
        <v>2016</v>
      </c>
      <c r="G788" s="50">
        <v>43133.375</v>
      </c>
      <c r="H788" s="50">
        <v>43138.75</v>
      </c>
      <c r="I788" s="54">
        <v>43133</v>
      </c>
      <c r="J788" s="54">
        <v>43138</v>
      </c>
      <c r="K788" s="51" t="s">
        <v>525</v>
      </c>
      <c r="L788" s="51">
        <v>0.75</v>
      </c>
      <c r="M788" s="51" t="s">
        <v>540</v>
      </c>
      <c r="N788" s="51" t="s">
        <v>528</v>
      </c>
      <c r="O788" s="51" t="s">
        <v>669</v>
      </c>
      <c r="P788" s="49" t="s">
        <v>23</v>
      </c>
      <c r="Q788" s="49" t="s">
        <v>190</v>
      </c>
      <c r="R788" s="49" t="s">
        <v>109</v>
      </c>
      <c r="S788" s="49">
        <v>4</v>
      </c>
      <c r="T788" s="49">
        <v>10</v>
      </c>
      <c r="U788" s="63">
        <v>62</v>
      </c>
      <c r="V788" s="63">
        <v>620</v>
      </c>
    </row>
    <row r="789" spans="1:22" x14ac:dyDescent="0.25">
      <c r="A789" s="49" t="s">
        <v>597</v>
      </c>
      <c r="B789" s="49" t="s">
        <v>19</v>
      </c>
      <c r="C789" s="49" t="s">
        <v>176</v>
      </c>
      <c r="D789" s="49" t="s">
        <v>81</v>
      </c>
      <c r="E789" s="49" t="s">
        <v>172</v>
      </c>
      <c r="F789" s="49">
        <v>2016</v>
      </c>
      <c r="G789" s="50">
        <v>43135.791666666664</v>
      </c>
      <c r="H789" s="50">
        <v>43146.958333333336</v>
      </c>
      <c r="I789" s="54">
        <v>43135</v>
      </c>
      <c r="J789" s="54">
        <v>43146</v>
      </c>
      <c r="K789" s="51" t="s">
        <v>526</v>
      </c>
      <c r="L789" s="51">
        <v>0.95833333333333337</v>
      </c>
      <c r="M789" s="51" t="s">
        <v>541</v>
      </c>
      <c r="N789" s="51" t="s">
        <v>528</v>
      </c>
      <c r="O789" s="51" t="s">
        <v>669</v>
      </c>
      <c r="P789" s="49" t="s">
        <v>9</v>
      </c>
      <c r="Q789" s="49" t="s">
        <v>24</v>
      </c>
      <c r="R789" s="49" t="s">
        <v>113</v>
      </c>
      <c r="S789" s="49">
        <v>5</v>
      </c>
      <c r="T789" s="49">
        <v>11</v>
      </c>
      <c r="U789" s="63">
        <v>42</v>
      </c>
      <c r="V789" s="63">
        <v>462</v>
      </c>
    </row>
    <row r="790" spans="1:22" x14ac:dyDescent="0.25">
      <c r="A790" s="49" t="s">
        <v>598</v>
      </c>
      <c r="B790" s="49" t="s">
        <v>19</v>
      </c>
      <c r="C790" s="49" t="s">
        <v>176</v>
      </c>
      <c r="D790" s="49" t="s">
        <v>86</v>
      </c>
      <c r="E790" s="49" t="s">
        <v>169</v>
      </c>
      <c r="F790" s="49">
        <v>2016</v>
      </c>
      <c r="G790" s="50">
        <v>43136.791666666664</v>
      </c>
      <c r="H790" s="50">
        <v>43149.958333333336</v>
      </c>
      <c r="I790" s="54">
        <v>43136</v>
      </c>
      <c r="J790" s="54">
        <v>43149</v>
      </c>
      <c r="K790" s="51" t="s">
        <v>526</v>
      </c>
      <c r="L790" s="51">
        <v>0.95833333333333337</v>
      </c>
      <c r="M790" s="51" t="s">
        <v>541</v>
      </c>
      <c r="N790" s="51" t="s">
        <v>528</v>
      </c>
      <c r="O790" s="51" t="s">
        <v>669</v>
      </c>
      <c r="P790" s="49" t="s">
        <v>23</v>
      </c>
      <c r="Q790" s="49" t="s">
        <v>31</v>
      </c>
      <c r="R790" s="49" t="s">
        <v>113</v>
      </c>
      <c r="S790" s="49">
        <v>5</v>
      </c>
      <c r="T790" s="49">
        <v>8</v>
      </c>
      <c r="U790" s="63">
        <v>47</v>
      </c>
      <c r="V790" s="63">
        <v>376</v>
      </c>
    </row>
    <row r="791" spans="1:22" x14ac:dyDescent="0.25">
      <c r="A791" s="49" t="s">
        <v>599</v>
      </c>
      <c r="B791" s="49" t="s">
        <v>11</v>
      </c>
      <c r="C791" s="49" t="s">
        <v>175</v>
      </c>
      <c r="D791" s="49" t="s">
        <v>80</v>
      </c>
      <c r="E791" s="49" t="s">
        <v>173</v>
      </c>
      <c r="F791" s="49">
        <v>2016</v>
      </c>
      <c r="G791" s="50">
        <v>43138.375</v>
      </c>
      <c r="H791" s="50">
        <v>43144.75</v>
      </c>
      <c r="I791" s="54">
        <v>43138</v>
      </c>
      <c r="J791" s="54">
        <v>43144</v>
      </c>
      <c r="K791" s="51" t="s">
        <v>525</v>
      </c>
      <c r="L791" s="51">
        <v>0.75</v>
      </c>
      <c r="M791" s="51" t="s">
        <v>540</v>
      </c>
      <c r="N791" s="51" t="s">
        <v>528</v>
      </c>
      <c r="O791" s="51" t="s">
        <v>669</v>
      </c>
      <c r="P791" s="49" t="s">
        <v>23</v>
      </c>
      <c r="Q791" s="49" t="s">
        <v>190</v>
      </c>
      <c r="R791" s="49" t="s">
        <v>109</v>
      </c>
      <c r="S791" s="49">
        <v>5</v>
      </c>
      <c r="T791" s="49">
        <v>11</v>
      </c>
      <c r="U791" s="63">
        <v>31</v>
      </c>
      <c r="V791" s="63">
        <v>341</v>
      </c>
    </row>
    <row r="792" spans="1:22" x14ac:dyDescent="0.25">
      <c r="A792" s="49" t="s">
        <v>600</v>
      </c>
      <c r="B792" s="49" t="s">
        <v>22</v>
      </c>
      <c r="C792" s="49" t="s">
        <v>176</v>
      </c>
      <c r="D792" s="49" t="s">
        <v>82</v>
      </c>
      <c r="E792" s="49" t="s">
        <v>172</v>
      </c>
      <c r="F792" s="49">
        <v>2016</v>
      </c>
      <c r="G792" s="50">
        <v>43139.333333333336</v>
      </c>
      <c r="H792" s="50">
        <v>43152.5</v>
      </c>
      <c r="I792" s="54">
        <v>43139</v>
      </c>
      <c r="J792" s="54">
        <v>43152</v>
      </c>
      <c r="K792" s="51" t="s">
        <v>522</v>
      </c>
      <c r="L792" s="51">
        <v>0.5</v>
      </c>
      <c r="M792" s="51" t="s">
        <v>539</v>
      </c>
      <c r="N792" s="51" t="s">
        <v>528</v>
      </c>
      <c r="O792" s="51" t="s">
        <v>669</v>
      </c>
      <c r="P792" s="49" t="s">
        <v>23</v>
      </c>
      <c r="Q792" s="49" t="s">
        <v>18</v>
      </c>
      <c r="R792" s="49" t="s">
        <v>113</v>
      </c>
      <c r="S792" s="49">
        <v>4</v>
      </c>
      <c r="T792" s="49">
        <v>12</v>
      </c>
      <c r="U792" s="63">
        <v>73</v>
      </c>
      <c r="V792" s="63">
        <v>876</v>
      </c>
    </row>
    <row r="793" spans="1:22" x14ac:dyDescent="0.25">
      <c r="A793" s="49" t="s">
        <v>601</v>
      </c>
      <c r="B793" s="49" t="s">
        <v>19</v>
      </c>
      <c r="C793" s="49" t="s">
        <v>176</v>
      </c>
      <c r="D793" s="49" t="s">
        <v>86</v>
      </c>
      <c r="E793" s="49" t="s">
        <v>169</v>
      </c>
      <c r="F793" s="49">
        <v>2016</v>
      </c>
      <c r="G793" s="50">
        <v>43139.333333333336</v>
      </c>
      <c r="H793" s="50">
        <v>43152.5</v>
      </c>
      <c r="I793" s="54">
        <v>43139</v>
      </c>
      <c r="J793" s="54">
        <v>43152</v>
      </c>
      <c r="K793" s="51" t="s">
        <v>522</v>
      </c>
      <c r="L793" s="51">
        <v>0.5</v>
      </c>
      <c r="M793" s="51" t="s">
        <v>539</v>
      </c>
      <c r="N793" s="51" t="s">
        <v>528</v>
      </c>
      <c r="O793" s="51" t="s">
        <v>669</v>
      </c>
      <c r="P793" s="49" t="s">
        <v>23</v>
      </c>
      <c r="Q793" s="49" t="s">
        <v>190</v>
      </c>
      <c r="R793" s="49" t="s">
        <v>109</v>
      </c>
      <c r="S793" s="49">
        <v>2</v>
      </c>
      <c r="T793" s="49">
        <v>12</v>
      </c>
      <c r="U793" s="63">
        <v>47</v>
      </c>
      <c r="V793" s="63">
        <v>564</v>
      </c>
    </row>
    <row r="794" spans="1:22" x14ac:dyDescent="0.25">
      <c r="A794" s="49" t="s">
        <v>602</v>
      </c>
      <c r="B794" s="49" t="s">
        <v>17</v>
      </c>
      <c r="C794" s="49" t="s">
        <v>176</v>
      </c>
      <c r="D794" s="49" t="s">
        <v>82</v>
      </c>
      <c r="E794" s="49" t="s">
        <v>172</v>
      </c>
      <c r="F794" s="49">
        <v>2016</v>
      </c>
      <c r="G794" s="50">
        <v>43140.375</v>
      </c>
      <c r="H794" s="50">
        <v>43145.75</v>
      </c>
      <c r="I794" s="54">
        <v>43140</v>
      </c>
      <c r="J794" s="54">
        <v>43145</v>
      </c>
      <c r="K794" s="51" t="s">
        <v>525</v>
      </c>
      <c r="L794" s="51">
        <v>0.75</v>
      </c>
      <c r="M794" s="51" t="s">
        <v>540</v>
      </c>
      <c r="N794" s="51" t="s">
        <v>528</v>
      </c>
      <c r="O794" s="51" t="s">
        <v>669</v>
      </c>
      <c r="P794" s="49" t="s">
        <v>9</v>
      </c>
      <c r="Q794" s="49" t="s">
        <v>37</v>
      </c>
      <c r="R794" s="49" t="s">
        <v>113</v>
      </c>
      <c r="S794" s="49">
        <v>4</v>
      </c>
      <c r="T794" s="49">
        <v>9</v>
      </c>
      <c r="U794" s="63">
        <v>73</v>
      </c>
      <c r="V794" s="63">
        <v>657</v>
      </c>
    </row>
    <row r="795" spans="1:22" x14ac:dyDescent="0.25">
      <c r="A795" s="49" t="s">
        <v>603</v>
      </c>
      <c r="B795" s="49" t="s">
        <v>29</v>
      </c>
      <c r="C795" s="49" t="s">
        <v>177</v>
      </c>
      <c r="D795" s="49" t="s">
        <v>80</v>
      </c>
      <c r="E795" s="49" t="s">
        <v>173</v>
      </c>
      <c r="F795" s="49">
        <v>2016</v>
      </c>
      <c r="G795" s="50">
        <v>43142.791666666664</v>
      </c>
      <c r="H795" s="50">
        <v>43153.958333333336</v>
      </c>
      <c r="I795" s="54">
        <v>43142</v>
      </c>
      <c r="J795" s="54">
        <v>43153</v>
      </c>
      <c r="K795" s="51" t="s">
        <v>526</v>
      </c>
      <c r="L795" s="51">
        <v>0.95833333333333337</v>
      </c>
      <c r="M795" s="51" t="s">
        <v>541</v>
      </c>
      <c r="N795" s="51" t="s">
        <v>528</v>
      </c>
      <c r="O795" s="51" t="s">
        <v>669</v>
      </c>
      <c r="P795" s="49" t="s">
        <v>23</v>
      </c>
      <c r="Q795" s="49" t="s">
        <v>16</v>
      </c>
      <c r="R795" s="49" t="s">
        <v>109</v>
      </c>
      <c r="S795" s="49">
        <v>2</v>
      </c>
      <c r="T795" s="49">
        <v>9</v>
      </c>
      <c r="U795" s="63">
        <v>31</v>
      </c>
      <c r="V795" s="63">
        <v>279</v>
      </c>
    </row>
    <row r="796" spans="1:22" x14ac:dyDescent="0.25">
      <c r="A796" s="49" t="s">
        <v>604</v>
      </c>
      <c r="B796" s="49" t="s">
        <v>22</v>
      </c>
      <c r="C796" s="49" t="s">
        <v>176</v>
      </c>
      <c r="D796" s="49" t="s">
        <v>77</v>
      </c>
      <c r="E796" s="49" t="s">
        <v>172</v>
      </c>
      <c r="F796" s="49">
        <v>2016</v>
      </c>
      <c r="G796" s="50">
        <v>43143.791666666664</v>
      </c>
      <c r="H796" s="50">
        <v>43156.958333333336</v>
      </c>
      <c r="I796" s="54">
        <v>43143</v>
      </c>
      <c r="J796" s="54">
        <v>43156</v>
      </c>
      <c r="K796" s="51" t="s">
        <v>526</v>
      </c>
      <c r="L796" s="51">
        <v>0.95833333333333337</v>
      </c>
      <c r="M796" s="51" t="s">
        <v>541</v>
      </c>
      <c r="N796" s="51" t="s">
        <v>528</v>
      </c>
      <c r="O796" s="51" t="s">
        <v>669</v>
      </c>
      <c r="P796" s="49" t="s">
        <v>9</v>
      </c>
      <c r="Q796" s="49" t="s">
        <v>16</v>
      </c>
      <c r="R796" s="49" t="s">
        <v>109</v>
      </c>
      <c r="S796" s="49">
        <v>3</v>
      </c>
      <c r="T796" s="49">
        <v>10</v>
      </c>
      <c r="U796" s="63">
        <v>33</v>
      </c>
      <c r="V796" s="63">
        <v>330</v>
      </c>
    </row>
    <row r="797" spans="1:22" x14ac:dyDescent="0.25">
      <c r="A797" s="49" t="s">
        <v>605</v>
      </c>
      <c r="B797" s="49" t="s">
        <v>17</v>
      </c>
      <c r="C797" s="49" t="s">
        <v>176</v>
      </c>
      <c r="D797" s="49" t="s">
        <v>77</v>
      </c>
      <c r="E797" s="49" t="s">
        <v>172</v>
      </c>
      <c r="F797" s="49">
        <v>2016</v>
      </c>
      <c r="G797" s="50">
        <v>43143.791666666664</v>
      </c>
      <c r="H797" s="50">
        <v>43156.958333333336</v>
      </c>
      <c r="I797" s="54">
        <v>43143</v>
      </c>
      <c r="J797" s="54">
        <v>43156</v>
      </c>
      <c r="K797" s="51" t="s">
        <v>526</v>
      </c>
      <c r="L797" s="51">
        <v>0.95833333333333337</v>
      </c>
      <c r="M797" s="51" t="s">
        <v>541</v>
      </c>
      <c r="N797" s="51" t="s">
        <v>528</v>
      </c>
      <c r="O797" s="51" t="s">
        <v>669</v>
      </c>
      <c r="P797" s="49" t="s">
        <v>23</v>
      </c>
      <c r="Q797" s="49" t="s">
        <v>38</v>
      </c>
      <c r="R797" s="49" t="s">
        <v>113</v>
      </c>
      <c r="S797" s="49">
        <v>5</v>
      </c>
      <c r="T797" s="49">
        <v>11</v>
      </c>
      <c r="U797" s="63">
        <v>33</v>
      </c>
      <c r="V797" s="63">
        <v>363</v>
      </c>
    </row>
    <row r="798" spans="1:22" x14ac:dyDescent="0.25">
      <c r="A798" s="49" t="s">
        <v>606</v>
      </c>
      <c r="B798" s="49" t="s">
        <v>19</v>
      </c>
      <c r="C798" s="49" t="s">
        <v>176</v>
      </c>
      <c r="D798" s="49" t="s">
        <v>86</v>
      </c>
      <c r="E798" s="49" t="s">
        <v>169</v>
      </c>
      <c r="F798" s="49">
        <v>2016</v>
      </c>
      <c r="G798" s="50">
        <v>43144.583333333336</v>
      </c>
      <c r="H798" s="50">
        <v>43157.75</v>
      </c>
      <c r="I798" s="54">
        <v>43144</v>
      </c>
      <c r="J798" s="54">
        <v>43157</v>
      </c>
      <c r="K798" s="51" t="s">
        <v>527</v>
      </c>
      <c r="L798" s="51">
        <v>0.75</v>
      </c>
      <c r="M798" s="51" t="s">
        <v>542</v>
      </c>
      <c r="N798" s="51" t="s">
        <v>528</v>
      </c>
      <c r="O798" s="51" t="s">
        <v>669</v>
      </c>
      <c r="P798" s="49" t="s">
        <v>9</v>
      </c>
      <c r="Q798" s="49" t="s">
        <v>12</v>
      </c>
      <c r="R798" s="49" t="s">
        <v>113</v>
      </c>
      <c r="S798" s="49">
        <v>2</v>
      </c>
      <c r="T798" s="49">
        <v>12</v>
      </c>
      <c r="U798" s="63">
        <v>47</v>
      </c>
      <c r="V798" s="63">
        <v>564</v>
      </c>
    </row>
    <row r="799" spans="1:22" x14ac:dyDescent="0.25">
      <c r="A799" s="49" t="s">
        <v>607</v>
      </c>
      <c r="B799" s="49" t="s">
        <v>11</v>
      </c>
      <c r="C799" s="49" t="s">
        <v>175</v>
      </c>
      <c r="D799" s="49" t="s">
        <v>82</v>
      </c>
      <c r="E799" s="49" t="s">
        <v>172</v>
      </c>
      <c r="F799" s="49">
        <v>2016</v>
      </c>
      <c r="G799" s="50">
        <v>43144.583333333336</v>
      </c>
      <c r="H799" s="50">
        <v>43157.75</v>
      </c>
      <c r="I799" s="54">
        <v>43144</v>
      </c>
      <c r="J799" s="54">
        <v>43157</v>
      </c>
      <c r="K799" s="51" t="s">
        <v>527</v>
      </c>
      <c r="L799" s="51">
        <v>0.75</v>
      </c>
      <c r="M799" s="51" t="s">
        <v>542</v>
      </c>
      <c r="N799" s="51" t="s">
        <v>528</v>
      </c>
      <c r="O799" s="51" t="s">
        <v>669</v>
      </c>
      <c r="P799" s="49" t="s">
        <v>23</v>
      </c>
      <c r="Q799" s="49" t="s">
        <v>16</v>
      </c>
      <c r="R799" s="49" t="s">
        <v>109</v>
      </c>
      <c r="S799" s="49">
        <v>3</v>
      </c>
      <c r="T799" s="49">
        <v>11</v>
      </c>
      <c r="U799" s="63">
        <v>73</v>
      </c>
      <c r="V799" s="63">
        <v>803</v>
      </c>
    </row>
    <row r="800" spans="1:22" x14ac:dyDescent="0.25">
      <c r="A800" s="49" t="s">
        <v>608</v>
      </c>
      <c r="B800" s="49" t="s">
        <v>29</v>
      </c>
      <c r="C800" s="49" t="s">
        <v>177</v>
      </c>
      <c r="D800" s="49" t="s">
        <v>84</v>
      </c>
      <c r="E800" s="49" t="s">
        <v>172</v>
      </c>
      <c r="F800" s="49">
        <v>2016</v>
      </c>
      <c r="G800" s="50">
        <v>43146.333333333336</v>
      </c>
      <c r="H800" s="50">
        <v>43159.5</v>
      </c>
      <c r="I800" s="54">
        <v>43146</v>
      </c>
      <c r="J800" s="54">
        <v>43159</v>
      </c>
      <c r="K800" s="51" t="s">
        <v>522</v>
      </c>
      <c r="L800" s="51">
        <v>0.5</v>
      </c>
      <c r="M800" s="51" t="s">
        <v>539</v>
      </c>
      <c r="N800" s="51" t="s">
        <v>528</v>
      </c>
      <c r="O800" s="51" t="s">
        <v>669</v>
      </c>
      <c r="P800" s="49" t="s">
        <v>23</v>
      </c>
      <c r="Q800" s="49" t="s">
        <v>16</v>
      </c>
      <c r="R800" s="49" t="s">
        <v>109</v>
      </c>
      <c r="S800" s="49">
        <v>4</v>
      </c>
      <c r="T800" s="49">
        <v>12</v>
      </c>
      <c r="U800" s="63">
        <v>51</v>
      </c>
      <c r="V800" s="63">
        <v>612</v>
      </c>
    </row>
    <row r="801" spans="1:22" x14ac:dyDescent="0.25">
      <c r="A801" s="49" t="s">
        <v>609</v>
      </c>
      <c r="B801" s="49" t="s">
        <v>19</v>
      </c>
      <c r="C801" s="49" t="s">
        <v>176</v>
      </c>
      <c r="D801" s="49" t="s">
        <v>85</v>
      </c>
      <c r="E801" s="49" t="s">
        <v>170</v>
      </c>
      <c r="F801" s="49">
        <v>2016</v>
      </c>
      <c r="G801" s="50">
        <v>43146.333333333336</v>
      </c>
      <c r="H801" s="50">
        <v>43159.5</v>
      </c>
      <c r="I801" s="54">
        <v>43146</v>
      </c>
      <c r="J801" s="54">
        <v>43159</v>
      </c>
      <c r="K801" s="51" t="s">
        <v>522</v>
      </c>
      <c r="L801" s="51">
        <v>0.5</v>
      </c>
      <c r="M801" s="51" t="s">
        <v>539</v>
      </c>
      <c r="N801" s="51" t="s">
        <v>528</v>
      </c>
      <c r="O801" s="51" t="s">
        <v>669</v>
      </c>
      <c r="P801" s="49" t="s">
        <v>9</v>
      </c>
      <c r="Q801" s="49" t="s">
        <v>16</v>
      </c>
      <c r="R801" s="49" t="s">
        <v>109</v>
      </c>
      <c r="S801" s="49">
        <v>3</v>
      </c>
      <c r="T801" s="49">
        <v>8</v>
      </c>
      <c r="U801" s="63">
        <v>47</v>
      </c>
      <c r="V801" s="63">
        <v>376</v>
      </c>
    </row>
    <row r="802" spans="1:22" x14ac:dyDescent="0.25">
      <c r="A802" s="49" t="s">
        <v>610</v>
      </c>
      <c r="B802" s="49" t="s">
        <v>11</v>
      </c>
      <c r="C802" s="49" t="s">
        <v>175</v>
      </c>
      <c r="D802" s="49" t="s">
        <v>83</v>
      </c>
      <c r="E802" s="49" t="s">
        <v>174</v>
      </c>
      <c r="F802" s="49">
        <v>2016</v>
      </c>
      <c r="G802" s="50">
        <v>43147.375</v>
      </c>
      <c r="H802" s="50">
        <v>43152.75</v>
      </c>
      <c r="I802" s="54">
        <v>43147</v>
      </c>
      <c r="J802" s="54">
        <v>43152</v>
      </c>
      <c r="K802" s="51" t="s">
        <v>525</v>
      </c>
      <c r="L802" s="51">
        <v>0.75</v>
      </c>
      <c r="M802" s="51" t="s">
        <v>540</v>
      </c>
      <c r="N802" s="51" t="s">
        <v>528</v>
      </c>
      <c r="O802" s="51" t="s">
        <v>669</v>
      </c>
      <c r="P802" s="49" t="s">
        <v>23</v>
      </c>
      <c r="Q802" s="49" t="s">
        <v>33</v>
      </c>
      <c r="R802" s="49" t="s">
        <v>113</v>
      </c>
      <c r="S802" s="49">
        <v>4</v>
      </c>
      <c r="T802" s="49">
        <v>12</v>
      </c>
      <c r="U802" s="63">
        <v>62</v>
      </c>
      <c r="V802" s="63">
        <v>744</v>
      </c>
    </row>
    <row r="803" spans="1:22" x14ac:dyDescent="0.25">
      <c r="A803" s="49" t="s">
        <v>611</v>
      </c>
      <c r="B803" s="49" t="s">
        <v>7</v>
      </c>
      <c r="C803" s="49" t="s">
        <v>175</v>
      </c>
      <c r="D803" s="49" t="s">
        <v>83</v>
      </c>
      <c r="E803" s="49" t="s">
        <v>174</v>
      </c>
      <c r="F803" s="49">
        <v>2016</v>
      </c>
      <c r="G803" s="50">
        <v>43147.375</v>
      </c>
      <c r="H803" s="50">
        <v>43152.75</v>
      </c>
      <c r="I803" s="54">
        <v>43147</v>
      </c>
      <c r="J803" s="54">
        <v>43152</v>
      </c>
      <c r="K803" s="51" t="s">
        <v>525</v>
      </c>
      <c r="L803" s="51">
        <v>0.75</v>
      </c>
      <c r="M803" s="51" t="s">
        <v>540</v>
      </c>
      <c r="N803" s="51" t="s">
        <v>528</v>
      </c>
      <c r="O803" s="51" t="s">
        <v>669</v>
      </c>
      <c r="P803" s="49" t="s">
        <v>9</v>
      </c>
      <c r="Q803" s="49" t="s">
        <v>190</v>
      </c>
      <c r="R803" s="49" t="s">
        <v>109</v>
      </c>
      <c r="S803" s="49">
        <v>2</v>
      </c>
      <c r="T803" s="49">
        <v>12</v>
      </c>
      <c r="U803" s="63">
        <v>62</v>
      </c>
      <c r="V803" s="63">
        <v>744</v>
      </c>
    </row>
    <row r="804" spans="1:22" x14ac:dyDescent="0.25">
      <c r="A804" s="49" t="s">
        <v>612</v>
      </c>
      <c r="B804" s="49" t="s">
        <v>11</v>
      </c>
      <c r="C804" s="49" t="s">
        <v>175</v>
      </c>
      <c r="D804" s="49" t="s">
        <v>79</v>
      </c>
      <c r="E804" s="49" t="s">
        <v>168</v>
      </c>
      <c r="F804" s="49">
        <v>2016</v>
      </c>
      <c r="G804" s="50">
        <v>43149.791666666664</v>
      </c>
      <c r="H804" s="50">
        <v>43160.958333333336</v>
      </c>
      <c r="I804" s="54">
        <v>43149</v>
      </c>
      <c r="J804" s="54">
        <v>43160</v>
      </c>
      <c r="K804" s="51" t="s">
        <v>526</v>
      </c>
      <c r="L804" s="51">
        <v>0.95833333333333337</v>
      </c>
      <c r="M804" s="51" t="s">
        <v>541</v>
      </c>
      <c r="N804" s="51" t="s">
        <v>528</v>
      </c>
      <c r="O804" s="51" t="s">
        <v>669</v>
      </c>
      <c r="P804" s="49" t="s">
        <v>23</v>
      </c>
      <c r="Q804" s="49" t="s">
        <v>28</v>
      </c>
      <c r="R804" s="49" t="s">
        <v>109</v>
      </c>
      <c r="S804" s="49">
        <v>5</v>
      </c>
      <c r="T804" s="49">
        <v>12</v>
      </c>
      <c r="U804" s="63">
        <v>47</v>
      </c>
      <c r="V804" s="63">
        <v>564</v>
      </c>
    </row>
    <row r="805" spans="1:22" x14ac:dyDescent="0.25">
      <c r="A805" s="49" t="s">
        <v>613</v>
      </c>
      <c r="B805" s="49" t="s">
        <v>29</v>
      </c>
      <c r="C805" s="49" t="s">
        <v>177</v>
      </c>
      <c r="D805" s="49" t="s">
        <v>80</v>
      </c>
      <c r="E805" s="49" t="s">
        <v>173</v>
      </c>
      <c r="F805" s="49">
        <v>2016</v>
      </c>
      <c r="G805" s="50">
        <v>43150.791666666664</v>
      </c>
      <c r="H805" s="50">
        <v>43163.958333333336</v>
      </c>
      <c r="I805" s="54">
        <v>43150</v>
      </c>
      <c r="J805" s="54">
        <v>43163</v>
      </c>
      <c r="K805" s="51" t="s">
        <v>526</v>
      </c>
      <c r="L805" s="51">
        <v>0.95833333333333337</v>
      </c>
      <c r="M805" s="51" t="s">
        <v>541</v>
      </c>
      <c r="N805" s="51" t="s">
        <v>528</v>
      </c>
      <c r="O805" s="51" t="s">
        <v>669</v>
      </c>
      <c r="P805" s="49" t="s">
        <v>23</v>
      </c>
      <c r="Q805" s="49" t="s">
        <v>31</v>
      </c>
      <c r="R805" s="49" t="s">
        <v>113</v>
      </c>
      <c r="S805" s="49">
        <v>5</v>
      </c>
      <c r="T805" s="49">
        <v>8</v>
      </c>
      <c r="U805" s="63">
        <v>31</v>
      </c>
      <c r="V805" s="63">
        <v>248</v>
      </c>
    </row>
    <row r="806" spans="1:22" x14ac:dyDescent="0.25">
      <c r="A806" s="49" t="s">
        <v>614</v>
      </c>
      <c r="B806" s="49" t="s">
        <v>11</v>
      </c>
      <c r="C806" s="49" t="s">
        <v>175</v>
      </c>
      <c r="D806" s="49" t="s">
        <v>80</v>
      </c>
      <c r="E806" s="49" t="s">
        <v>173</v>
      </c>
      <c r="F806" s="49">
        <v>2016</v>
      </c>
      <c r="G806" s="50">
        <v>43150.791666666664</v>
      </c>
      <c r="H806" s="50">
        <v>43163.958333333336</v>
      </c>
      <c r="I806" s="54">
        <v>43150</v>
      </c>
      <c r="J806" s="54">
        <v>43163</v>
      </c>
      <c r="K806" s="51" t="s">
        <v>526</v>
      </c>
      <c r="L806" s="51">
        <v>0.95833333333333337</v>
      </c>
      <c r="M806" s="51" t="s">
        <v>541</v>
      </c>
      <c r="N806" s="51" t="s">
        <v>528</v>
      </c>
      <c r="O806" s="51" t="s">
        <v>669</v>
      </c>
      <c r="P806" s="49" t="s">
        <v>23</v>
      </c>
      <c r="Q806" s="49" t="s">
        <v>18</v>
      </c>
      <c r="R806" s="49" t="s">
        <v>113</v>
      </c>
      <c r="S806" s="49">
        <v>3</v>
      </c>
      <c r="T806" s="49">
        <v>11</v>
      </c>
      <c r="U806" s="63">
        <v>31</v>
      </c>
      <c r="V806" s="63">
        <v>341</v>
      </c>
    </row>
    <row r="807" spans="1:22" x14ac:dyDescent="0.25">
      <c r="A807" s="49" t="s">
        <v>615</v>
      </c>
      <c r="B807" s="49" t="s">
        <v>29</v>
      </c>
      <c r="C807" s="49" t="s">
        <v>177</v>
      </c>
      <c r="D807" s="49" t="s">
        <v>77</v>
      </c>
      <c r="E807" s="49" t="s">
        <v>172</v>
      </c>
      <c r="F807" s="49">
        <v>2016</v>
      </c>
      <c r="G807" s="50">
        <v>43150.791666666664</v>
      </c>
      <c r="H807" s="50">
        <v>43163.958333333336</v>
      </c>
      <c r="I807" s="54">
        <v>43150</v>
      </c>
      <c r="J807" s="54">
        <v>43163</v>
      </c>
      <c r="K807" s="51" t="s">
        <v>526</v>
      </c>
      <c r="L807" s="51">
        <v>0.95833333333333337</v>
      </c>
      <c r="M807" s="51" t="s">
        <v>541</v>
      </c>
      <c r="N807" s="51" t="s">
        <v>528</v>
      </c>
      <c r="O807" s="51" t="s">
        <v>669</v>
      </c>
      <c r="P807" s="49" t="s">
        <v>9</v>
      </c>
      <c r="Q807" s="49" t="s">
        <v>33</v>
      </c>
      <c r="R807" s="49" t="s">
        <v>113</v>
      </c>
      <c r="S807" s="49">
        <v>3</v>
      </c>
      <c r="T807" s="49">
        <v>11</v>
      </c>
      <c r="U807" s="63">
        <v>33</v>
      </c>
      <c r="V807" s="63">
        <v>363</v>
      </c>
    </row>
    <row r="808" spans="1:22" x14ac:dyDescent="0.25">
      <c r="A808" s="49" t="s">
        <v>616</v>
      </c>
      <c r="B808" s="49" t="s">
        <v>29</v>
      </c>
      <c r="C808" s="49" t="s">
        <v>177</v>
      </c>
      <c r="D808" s="49" t="s">
        <v>83</v>
      </c>
      <c r="E808" s="49" t="s">
        <v>174</v>
      </c>
      <c r="F808" s="49">
        <v>2016</v>
      </c>
      <c r="G808" s="50">
        <v>43150.791666666664</v>
      </c>
      <c r="H808" s="50">
        <v>43163.958333333336</v>
      </c>
      <c r="I808" s="54">
        <v>43150</v>
      </c>
      <c r="J808" s="54">
        <v>43163</v>
      </c>
      <c r="K808" s="51" t="s">
        <v>526</v>
      </c>
      <c r="L808" s="51">
        <v>0.95833333333333337</v>
      </c>
      <c r="M808" s="51" t="s">
        <v>541</v>
      </c>
      <c r="N808" s="51" t="s">
        <v>528</v>
      </c>
      <c r="O808" s="51" t="s">
        <v>669</v>
      </c>
      <c r="P808" s="49" t="s">
        <v>9</v>
      </c>
      <c r="Q808" s="49" t="s">
        <v>26</v>
      </c>
      <c r="R808" s="49" t="s">
        <v>113</v>
      </c>
      <c r="S808" s="49">
        <v>3</v>
      </c>
      <c r="T808" s="49">
        <v>12</v>
      </c>
      <c r="U808" s="63">
        <v>62</v>
      </c>
      <c r="V808" s="63">
        <v>744</v>
      </c>
    </row>
    <row r="809" spans="1:22" x14ac:dyDescent="0.25">
      <c r="A809" s="49" t="s">
        <v>617</v>
      </c>
      <c r="B809" s="49" t="s">
        <v>17</v>
      </c>
      <c r="C809" s="49" t="s">
        <v>176</v>
      </c>
      <c r="D809" s="49" t="s">
        <v>88</v>
      </c>
      <c r="E809" s="49" t="s">
        <v>170</v>
      </c>
      <c r="F809" s="49">
        <v>2016</v>
      </c>
      <c r="G809" s="50">
        <v>43151.583333333336</v>
      </c>
      <c r="H809" s="50">
        <v>43164.75</v>
      </c>
      <c r="I809" s="54">
        <v>43151</v>
      </c>
      <c r="J809" s="54">
        <v>43164</v>
      </c>
      <c r="K809" s="51" t="s">
        <v>527</v>
      </c>
      <c r="L809" s="51">
        <v>0.75</v>
      </c>
      <c r="M809" s="51" t="s">
        <v>542</v>
      </c>
      <c r="N809" s="51" t="s">
        <v>528</v>
      </c>
      <c r="O809" s="51" t="s">
        <v>669</v>
      </c>
      <c r="P809" s="49" t="s">
        <v>23</v>
      </c>
      <c r="Q809" s="49" t="s">
        <v>38</v>
      </c>
      <c r="R809" s="49" t="s">
        <v>113</v>
      </c>
      <c r="S809" s="49">
        <v>3</v>
      </c>
      <c r="T809" s="49">
        <v>10</v>
      </c>
      <c r="U809" s="63">
        <v>41</v>
      </c>
      <c r="V809" s="63">
        <v>410</v>
      </c>
    </row>
    <row r="810" spans="1:22" x14ac:dyDescent="0.25">
      <c r="A810" s="49" t="s">
        <v>618</v>
      </c>
      <c r="B810" s="49" t="s">
        <v>17</v>
      </c>
      <c r="C810" s="49" t="s">
        <v>176</v>
      </c>
      <c r="D810" s="49" t="s">
        <v>80</v>
      </c>
      <c r="E810" s="49" t="s">
        <v>173</v>
      </c>
      <c r="F810" s="49">
        <v>2016</v>
      </c>
      <c r="G810" s="50">
        <v>43151.583333333336</v>
      </c>
      <c r="H810" s="50">
        <v>43164.75</v>
      </c>
      <c r="I810" s="54">
        <v>43151</v>
      </c>
      <c r="J810" s="54">
        <v>43164</v>
      </c>
      <c r="K810" s="51" t="s">
        <v>527</v>
      </c>
      <c r="L810" s="51">
        <v>0.75</v>
      </c>
      <c r="M810" s="51" t="s">
        <v>542</v>
      </c>
      <c r="N810" s="51" t="s">
        <v>528</v>
      </c>
      <c r="O810" s="51" t="s">
        <v>669</v>
      </c>
      <c r="P810" s="49" t="s">
        <v>23</v>
      </c>
      <c r="Q810" s="49" t="s">
        <v>12</v>
      </c>
      <c r="R810" s="49" t="s">
        <v>113</v>
      </c>
      <c r="S810" s="49">
        <v>5</v>
      </c>
      <c r="T810" s="49">
        <v>12</v>
      </c>
      <c r="U810" s="63">
        <v>31</v>
      </c>
      <c r="V810" s="63">
        <v>372</v>
      </c>
    </row>
    <row r="811" spans="1:22" x14ac:dyDescent="0.25">
      <c r="A811" s="49" t="s">
        <v>619</v>
      </c>
      <c r="B811" s="49" t="s">
        <v>7</v>
      </c>
      <c r="C811" s="49" t="s">
        <v>175</v>
      </c>
      <c r="D811" s="49" t="s">
        <v>88</v>
      </c>
      <c r="E811" s="49" t="s">
        <v>170</v>
      </c>
      <c r="F811" s="49">
        <v>2016</v>
      </c>
      <c r="G811" s="50">
        <v>43151.583333333336</v>
      </c>
      <c r="H811" s="50">
        <v>43164.75</v>
      </c>
      <c r="I811" s="54">
        <v>43151</v>
      </c>
      <c r="J811" s="54">
        <v>43164</v>
      </c>
      <c r="K811" s="51" t="s">
        <v>527</v>
      </c>
      <c r="L811" s="51">
        <v>0.75</v>
      </c>
      <c r="M811" s="51" t="s">
        <v>542</v>
      </c>
      <c r="N811" s="51" t="s">
        <v>528</v>
      </c>
      <c r="O811" s="51" t="s">
        <v>669</v>
      </c>
      <c r="P811" s="49" t="s">
        <v>23</v>
      </c>
      <c r="Q811" s="49" t="s">
        <v>44</v>
      </c>
      <c r="R811" s="49" t="s">
        <v>113</v>
      </c>
      <c r="S811" s="49">
        <v>3</v>
      </c>
      <c r="T811" s="49">
        <v>11</v>
      </c>
      <c r="U811" s="63">
        <v>41</v>
      </c>
      <c r="V811" s="63">
        <v>451</v>
      </c>
    </row>
    <row r="812" spans="1:22" x14ac:dyDescent="0.25">
      <c r="A812" s="49" t="s">
        <v>620</v>
      </c>
      <c r="B812" s="49" t="s">
        <v>7</v>
      </c>
      <c r="C812" s="49" t="s">
        <v>175</v>
      </c>
      <c r="D812" s="49" t="s">
        <v>84</v>
      </c>
      <c r="E812" s="49" t="s">
        <v>172</v>
      </c>
      <c r="F812" s="49">
        <v>2016</v>
      </c>
      <c r="G812" s="50">
        <v>43152.375</v>
      </c>
      <c r="H812" s="50">
        <v>43158.75</v>
      </c>
      <c r="I812" s="54">
        <v>43152</v>
      </c>
      <c r="J812" s="54">
        <v>43158</v>
      </c>
      <c r="K812" s="51" t="s">
        <v>525</v>
      </c>
      <c r="L812" s="51">
        <v>0.75</v>
      </c>
      <c r="M812" s="51" t="s">
        <v>540</v>
      </c>
      <c r="N812" s="51" t="s">
        <v>528</v>
      </c>
      <c r="O812" s="51" t="s">
        <v>669</v>
      </c>
      <c r="P812" s="49" t="s">
        <v>23</v>
      </c>
      <c r="Q812" s="49" t="s">
        <v>37</v>
      </c>
      <c r="R812" s="49" t="s">
        <v>113</v>
      </c>
      <c r="S812" s="49">
        <v>5</v>
      </c>
      <c r="T812" s="49">
        <v>11</v>
      </c>
      <c r="U812" s="63">
        <v>51</v>
      </c>
      <c r="V812" s="63">
        <v>561</v>
      </c>
    </row>
    <row r="813" spans="1:22" x14ac:dyDescent="0.25">
      <c r="A813" s="49" t="s">
        <v>621</v>
      </c>
      <c r="B813" s="49" t="s">
        <v>29</v>
      </c>
      <c r="C813" s="49" t="s">
        <v>177</v>
      </c>
      <c r="D813" s="49" t="s">
        <v>80</v>
      </c>
      <c r="E813" s="49" t="s">
        <v>173</v>
      </c>
      <c r="F813" s="49">
        <v>2016</v>
      </c>
      <c r="G813" s="50">
        <v>43153.333333333336</v>
      </c>
      <c r="H813" s="50">
        <v>43166.5</v>
      </c>
      <c r="I813" s="54">
        <v>43153</v>
      </c>
      <c r="J813" s="54">
        <v>43166</v>
      </c>
      <c r="K813" s="51" t="s">
        <v>522</v>
      </c>
      <c r="L813" s="51">
        <v>0.5</v>
      </c>
      <c r="M813" s="51" t="s">
        <v>539</v>
      </c>
      <c r="N813" s="51" t="s">
        <v>528</v>
      </c>
      <c r="O813" s="51" t="s">
        <v>669</v>
      </c>
      <c r="P813" s="49" t="s">
        <v>23</v>
      </c>
      <c r="Q813" s="49" t="s">
        <v>31</v>
      </c>
      <c r="R813" s="49" t="s">
        <v>113</v>
      </c>
      <c r="S813" s="49">
        <v>5</v>
      </c>
      <c r="T813" s="49">
        <v>9</v>
      </c>
      <c r="U813" s="63">
        <v>31</v>
      </c>
      <c r="V813" s="63">
        <v>279</v>
      </c>
    </row>
    <row r="814" spans="1:22" x14ac:dyDescent="0.25">
      <c r="A814" s="49" t="s">
        <v>622</v>
      </c>
      <c r="B814" s="49" t="s">
        <v>11</v>
      </c>
      <c r="C814" s="49" t="s">
        <v>175</v>
      </c>
      <c r="D814" s="49" t="s">
        <v>89</v>
      </c>
      <c r="E814" s="49" t="s">
        <v>169</v>
      </c>
      <c r="F814" s="49">
        <v>2016</v>
      </c>
      <c r="G814" s="50">
        <v>43153.333333333336</v>
      </c>
      <c r="H814" s="50">
        <v>43166.5</v>
      </c>
      <c r="I814" s="54">
        <v>43153</v>
      </c>
      <c r="J814" s="54">
        <v>43166</v>
      </c>
      <c r="K814" s="51" t="s">
        <v>522</v>
      </c>
      <c r="L814" s="51">
        <v>0.5</v>
      </c>
      <c r="M814" s="51" t="s">
        <v>539</v>
      </c>
      <c r="N814" s="51" t="s">
        <v>528</v>
      </c>
      <c r="O814" s="51" t="s">
        <v>669</v>
      </c>
      <c r="P814" s="49" t="s">
        <v>9</v>
      </c>
      <c r="Q814" s="49" t="s">
        <v>24</v>
      </c>
      <c r="R814" s="49" t="s">
        <v>113</v>
      </c>
      <c r="S814" s="49">
        <v>2</v>
      </c>
      <c r="T814" s="49">
        <v>10</v>
      </c>
      <c r="U814" s="63">
        <v>61</v>
      </c>
      <c r="V814" s="63">
        <v>610</v>
      </c>
    </row>
    <row r="815" spans="1:22" x14ac:dyDescent="0.25">
      <c r="A815" s="49" t="s">
        <v>623</v>
      </c>
      <c r="B815" s="49" t="s">
        <v>17</v>
      </c>
      <c r="C815" s="49" t="s">
        <v>176</v>
      </c>
      <c r="D815" s="49" t="s">
        <v>76</v>
      </c>
      <c r="E815" s="49" t="s">
        <v>174</v>
      </c>
      <c r="F815" s="49">
        <v>2016</v>
      </c>
      <c r="G815" s="50">
        <v>43153.333333333336</v>
      </c>
      <c r="H815" s="50">
        <v>43166.5</v>
      </c>
      <c r="I815" s="54">
        <v>43153</v>
      </c>
      <c r="J815" s="54">
        <v>43166</v>
      </c>
      <c r="K815" s="51" t="s">
        <v>522</v>
      </c>
      <c r="L815" s="51">
        <v>0.5</v>
      </c>
      <c r="M815" s="51" t="s">
        <v>539</v>
      </c>
      <c r="N815" s="51" t="s">
        <v>528</v>
      </c>
      <c r="O815" s="51" t="s">
        <v>669</v>
      </c>
      <c r="P815" s="49" t="s">
        <v>9</v>
      </c>
      <c r="Q815" s="49" t="s">
        <v>12</v>
      </c>
      <c r="R815" s="49" t="s">
        <v>113</v>
      </c>
      <c r="S815" s="49">
        <v>5</v>
      </c>
      <c r="T815" s="49">
        <v>12</v>
      </c>
      <c r="U815" s="63">
        <v>52</v>
      </c>
      <c r="V815" s="63">
        <v>624</v>
      </c>
    </row>
    <row r="816" spans="1:22" x14ac:dyDescent="0.25">
      <c r="A816" s="49" t="s">
        <v>624</v>
      </c>
      <c r="B816" s="49" t="s">
        <v>29</v>
      </c>
      <c r="C816" s="49" t="s">
        <v>177</v>
      </c>
      <c r="D816" s="49" t="s">
        <v>77</v>
      </c>
      <c r="E816" s="49" t="s">
        <v>172</v>
      </c>
      <c r="F816" s="49">
        <v>2016</v>
      </c>
      <c r="G816" s="50">
        <v>43154.375</v>
      </c>
      <c r="H816" s="50">
        <v>43159.75</v>
      </c>
      <c r="I816" s="54">
        <v>43154</v>
      </c>
      <c r="J816" s="54">
        <v>43159</v>
      </c>
      <c r="K816" s="51" t="s">
        <v>525</v>
      </c>
      <c r="L816" s="51">
        <v>0.75</v>
      </c>
      <c r="M816" s="51" t="s">
        <v>540</v>
      </c>
      <c r="N816" s="51" t="s">
        <v>528</v>
      </c>
      <c r="O816" s="51" t="s">
        <v>669</v>
      </c>
      <c r="P816" s="49" t="s">
        <v>23</v>
      </c>
      <c r="Q816" s="49" t="s">
        <v>18</v>
      </c>
      <c r="R816" s="49" t="s">
        <v>113</v>
      </c>
      <c r="S816" s="49">
        <v>5</v>
      </c>
      <c r="T816" s="49">
        <v>8</v>
      </c>
      <c r="U816" s="63">
        <v>33</v>
      </c>
      <c r="V816" s="63">
        <v>264</v>
      </c>
    </row>
    <row r="817" spans="1:22" x14ac:dyDescent="0.25">
      <c r="A817" s="49" t="s">
        <v>625</v>
      </c>
      <c r="B817" s="49" t="s">
        <v>11</v>
      </c>
      <c r="C817" s="49" t="s">
        <v>175</v>
      </c>
      <c r="D817" s="49" t="s">
        <v>88</v>
      </c>
      <c r="E817" s="49" t="s">
        <v>170</v>
      </c>
      <c r="F817" s="49">
        <v>2016</v>
      </c>
      <c r="G817" s="50">
        <v>43154.375</v>
      </c>
      <c r="H817" s="50">
        <v>43159.75</v>
      </c>
      <c r="I817" s="54">
        <v>43154</v>
      </c>
      <c r="J817" s="54">
        <v>43159</v>
      </c>
      <c r="K817" s="51" t="s">
        <v>525</v>
      </c>
      <c r="L817" s="51">
        <v>0.75</v>
      </c>
      <c r="M817" s="51" t="s">
        <v>540</v>
      </c>
      <c r="N817" s="51" t="s">
        <v>528</v>
      </c>
      <c r="O817" s="51" t="s">
        <v>669</v>
      </c>
      <c r="P817" s="49" t="s">
        <v>9</v>
      </c>
      <c r="Q817" s="49" t="s">
        <v>26</v>
      </c>
      <c r="R817" s="49" t="s">
        <v>113</v>
      </c>
      <c r="S817" s="49">
        <v>5</v>
      </c>
      <c r="T817" s="49">
        <v>10</v>
      </c>
      <c r="U817" s="63">
        <v>41</v>
      </c>
      <c r="V817" s="63">
        <v>410</v>
      </c>
    </row>
    <row r="818" spans="1:22" x14ac:dyDescent="0.25">
      <c r="A818" s="49" t="s">
        <v>626</v>
      </c>
      <c r="B818" s="49" t="s">
        <v>29</v>
      </c>
      <c r="C818" s="49" t="s">
        <v>177</v>
      </c>
      <c r="D818" s="49" t="s">
        <v>89</v>
      </c>
      <c r="E818" s="49" t="s">
        <v>169</v>
      </c>
      <c r="F818" s="49">
        <v>2016</v>
      </c>
      <c r="G818" s="50">
        <v>43154.375</v>
      </c>
      <c r="H818" s="50">
        <v>43159.75</v>
      </c>
      <c r="I818" s="54">
        <v>43154</v>
      </c>
      <c r="J818" s="54">
        <v>43159</v>
      </c>
      <c r="K818" s="51" t="s">
        <v>525</v>
      </c>
      <c r="L818" s="51">
        <v>0.75</v>
      </c>
      <c r="M818" s="51" t="s">
        <v>540</v>
      </c>
      <c r="N818" s="51" t="s">
        <v>528</v>
      </c>
      <c r="O818" s="51" t="s">
        <v>669</v>
      </c>
      <c r="P818" s="49" t="s">
        <v>9</v>
      </c>
      <c r="Q818" s="49" t="s">
        <v>190</v>
      </c>
      <c r="R818" s="49" t="s">
        <v>109</v>
      </c>
      <c r="S818" s="49">
        <v>2</v>
      </c>
      <c r="T818" s="49">
        <v>10</v>
      </c>
      <c r="U818" s="63">
        <v>61</v>
      </c>
      <c r="V818" s="63">
        <v>610</v>
      </c>
    </row>
    <row r="819" spans="1:22" x14ac:dyDescent="0.25">
      <c r="A819" s="49" t="s">
        <v>627</v>
      </c>
      <c r="B819" s="49" t="s">
        <v>22</v>
      </c>
      <c r="C819" s="49" t="s">
        <v>176</v>
      </c>
      <c r="D819" s="49" t="s">
        <v>77</v>
      </c>
      <c r="E819" s="49" t="s">
        <v>172</v>
      </c>
      <c r="F819" s="49">
        <v>2016</v>
      </c>
      <c r="G819" s="50">
        <v>43156.791666666664</v>
      </c>
      <c r="H819" s="50">
        <v>43167.958333333336</v>
      </c>
      <c r="I819" s="54">
        <v>43156</v>
      </c>
      <c r="J819" s="54">
        <v>43167</v>
      </c>
      <c r="K819" s="51" t="s">
        <v>526</v>
      </c>
      <c r="L819" s="51">
        <v>0.95833333333333337</v>
      </c>
      <c r="M819" s="51" t="s">
        <v>541</v>
      </c>
      <c r="N819" s="51" t="s">
        <v>528</v>
      </c>
      <c r="O819" s="51" t="s">
        <v>669</v>
      </c>
      <c r="P819" s="49" t="s">
        <v>9</v>
      </c>
      <c r="Q819" s="49" t="s">
        <v>24</v>
      </c>
      <c r="R819" s="49" t="s">
        <v>113</v>
      </c>
      <c r="S819" s="49">
        <v>3</v>
      </c>
      <c r="T819" s="49">
        <v>8</v>
      </c>
      <c r="U819" s="63">
        <v>33</v>
      </c>
      <c r="V819" s="63">
        <v>264</v>
      </c>
    </row>
    <row r="820" spans="1:22" x14ac:dyDescent="0.25">
      <c r="A820" s="49" t="s">
        <v>628</v>
      </c>
      <c r="B820" s="49" t="s">
        <v>19</v>
      </c>
      <c r="C820" s="49" t="s">
        <v>176</v>
      </c>
      <c r="D820" s="49" t="s">
        <v>81</v>
      </c>
      <c r="E820" s="49" t="s">
        <v>172</v>
      </c>
      <c r="F820" s="49">
        <v>2016</v>
      </c>
      <c r="G820" s="50">
        <v>43157.791666666664</v>
      </c>
      <c r="H820" s="50">
        <v>43170.958333333336</v>
      </c>
      <c r="I820" s="54">
        <v>43157</v>
      </c>
      <c r="J820" s="54">
        <v>43170</v>
      </c>
      <c r="K820" s="51" t="s">
        <v>526</v>
      </c>
      <c r="L820" s="51">
        <v>0.95833333333333337</v>
      </c>
      <c r="M820" s="51" t="s">
        <v>541</v>
      </c>
      <c r="N820" s="51" t="s">
        <v>528</v>
      </c>
      <c r="O820" s="51" t="s">
        <v>669</v>
      </c>
      <c r="P820" s="49" t="s">
        <v>9</v>
      </c>
      <c r="Q820" s="49" t="s">
        <v>33</v>
      </c>
      <c r="R820" s="49" t="s">
        <v>113</v>
      </c>
      <c r="S820" s="49">
        <v>3</v>
      </c>
      <c r="T820" s="49">
        <v>12</v>
      </c>
      <c r="U820" s="63">
        <v>42</v>
      </c>
      <c r="V820" s="63">
        <v>504</v>
      </c>
    </row>
    <row r="821" spans="1:22" x14ac:dyDescent="0.25">
      <c r="A821" s="49" t="s">
        <v>629</v>
      </c>
      <c r="B821" s="49" t="s">
        <v>17</v>
      </c>
      <c r="C821" s="49" t="s">
        <v>176</v>
      </c>
      <c r="D821" s="49" t="s">
        <v>88</v>
      </c>
      <c r="E821" s="49" t="s">
        <v>170</v>
      </c>
      <c r="F821" s="49">
        <v>2016</v>
      </c>
      <c r="G821" s="50">
        <v>43158.583333333336</v>
      </c>
      <c r="H821" s="50">
        <v>43171.75</v>
      </c>
      <c r="I821" s="54">
        <v>43158</v>
      </c>
      <c r="J821" s="54">
        <v>43171</v>
      </c>
      <c r="K821" s="51" t="s">
        <v>527</v>
      </c>
      <c r="L821" s="51">
        <v>0.75</v>
      </c>
      <c r="M821" s="51" t="s">
        <v>542</v>
      </c>
      <c r="N821" s="51" t="s">
        <v>528</v>
      </c>
      <c r="O821" s="51" t="s">
        <v>669</v>
      </c>
      <c r="P821" s="49" t="s">
        <v>23</v>
      </c>
      <c r="Q821" s="49" t="s">
        <v>41</v>
      </c>
      <c r="R821" s="49" t="s">
        <v>113</v>
      </c>
      <c r="S821" s="49">
        <v>4</v>
      </c>
      <c r="T821" s="49">
        <v>12</v>
      </c>
      <c r="U821" s="63">
        <v>41</v>
      </c>
      <c r="V821" s="63">
        <v>492</v>
      </c>
    </row>
    <row r="822" spans="1:22" x14ac:dyDescent="0.25">
      <c r="A822" s="49" t="s">
        <v>630</v>
      </c>
      <c r="B822" s="49" t="s">
        <v>14</v>
      </c>
      <c r="C822" s="49" t="s">
        <v>175</v>
      </c>
      <c r="D822" s="49" t="s">
        <v>81</v>
      </c>
      <c r="E822" s="49" t="s">
        <v>172</v>
      </c>
      <c r="F822" s="49">
        <v>2016</v>
      </c>
      <c r="G822" s="50">
        <v>43158.583333333336</v>
      </c>
      <c r="H822" s="50">
        <v>43171.75</v>
      </c>
      <c r="I822" s="54">
        <v>43158</v>
      </c>
      <c r="J822" s="54">
        <v>43171</v>
      </c>
      <c r="K822" s="51" t="s">
        <v>527</v>
      </c>
      <c r="L822" s="51">
        <v>0.75</v>
      </c>
      <c r="M822" s="51" t="s">
        <v>542</v>
      </c>
      <c r="N822" s="51" t="s">
        <v>528</v>
      </c>
      <c r="O822" s="51" t="s">
        <v>669</v>
      </c>
      <c r="P822" s="49" t="s">
        <v>9</v>
      </c>
      <c r="Q822" s="49" t="s">
        <v>37</v>
      </c>
      <c r="R822" s="49" t="s">
        <v>113</v>
      </c>
      <c r="S822" s="49">
        <v>5</v>
      </c>
      <c r="T822" s="49">
        <v>8</v>
      </c>
      <c r="U822" s="63">
        <v>42</v>
      </c>
      <c r="V822" s="63">
        <v>336</v>
      </c>
    </row>
    <row r="823" spans="1:22" x14ac:dyDescent="0.25">
      <c r="A823" s="49" t="s">
        <v>631</v>
      </c>
      <c r="B823" s="49" t="s">
        <v>11</v>
      </c>
      <c r="C823" s="49" t="s">
        <v>175</v>
      </c>
      <c r="D823" s="49" t="s">
        <v>80</v>
      </c>
      <c r="E823" s="49" t="s">
        <v>173</v>
      </c>
      <c r="F823" s="49">
        <v>2016</v>
      </c>
      <c r="G823" s="50">
        <v>43159.375</v>
      </c>
      <c r="H823" s="50">
        <v>43165.75</v>
      </c>
      <c r="I823" s="54">
        <v>43159</v>
      </c>
      <c r="J823" s="54">
        <v>43165</v>
      </c>
      <c r="K823" s="51" t="s">
        <v>525</v>
      </c>
      <c r="L823" s="51">
        <v>0.75</v>
      </c>
      <c r="M823" s="51" t="s">
        <v>540</v>
      </c>
      <c r="N823" s="51" t="s">
        <v>528</v>
      </c>
      <c r="O823" s="51" t="s">
        <v>669</v>
      </c>
      <c r="P823" s="49" t="s">
        <v>9</v>
      </c>
      <c r="Q823" s="49" t="s">
        <v>22</v>
      </c>
      <c r="R823" s="49" t="s">
        <v>109</v>
      </c>
      <c r="S823" s="49">
        <v>5</v>
      </c>
      <c r="T823" s="49">
        <v>10</v>
      </c>
      <c r="U823" s="63">
        <v>31</v>
      </c>
      <c r="V823" s="63">
        <v>310</v>
      </c>
    </row>
    <row r="824" spans="1:22" x14ac:dyDescent="0.25">
      <c r="A824" s="49" t="s">
        <v>632</v>
      </c>
      <c r="B824" s="49" t="s">
        <v>22</v>
      </c>
      <c r="C824" s="49" t="s">
        <v>176</v>
      </c>
      <c r="D824" s="49" t="s">
        <v>83</v>
      </c>
      <c r="E824" s="49" t="s">
        <v>174</v>
      </c>
      <c r="F824" s="49">
        <v>2016</v>
      </c>
      <c r="G824" s="50">
        <v>43164.791666666664</v>
      </c>
      <c r="H824" s="50">
        <v>43177.958333333336</v>
      </c>
      <c r="I824" s="54">
        <v>43164</v>
      </c>
      <c r="J824" s="54">
        <v>43177</v>
      </c>
      <c r="K824" s="51" t="s">
        <v>526</v>
      </c>
      <c r="L824" s="51">
        <v>0.95833333333333337</v>
      </c>
      <c r="M824" s="51" t="s">
        <v>541</v>
      </c>
      <c r="N824" s="51" t="s">
        <v>529</v>
      </c>
      <c r="O824" s="51" t="s">
        <v>669</v>
      </c>
      <c r="P824" s="49" t="s">
        <v>23</v>
      </c>
      <c r="Q824" s="49" t="s">
        <v>16</v>
      </c>
      <c r="R824" s="49" t="s">
        <v>109</v>
      </c>
      <c r="S824" s="49">
        <v>4</v>
      </c>
      <c r="T824" s="49">
        <v>8</v>
      </c>
      <c r="U824" s="63">
        <v>62</v>
      </c>
      <c r="V824" s="63">
        <v>496</v>
      </c>
    </row>
    <row r="825" spans="1:22" x14ac:dyDescent="0.25">
      <c r="A825" s="49" t="s">
        <v>633</v>
      </c>
      <c r="B825" s="49" t="s">
        <v>11</v>
      </c>
      <c r="C825" s="49" t="s">
        <v>175</v>
      </c>
      <c r="D825" s="49" t="s">
        <v>82</v>
      </c>
      <c r="E825" s="49" t="s">
        <v>172</v>
      </c>
      <c r="F825" s="49">
        <v>2016</v>
      </c>
      <c r="G825" s="50">
        <v>43165.583333333336</v>
      </c>
      <c r="H825" s="50">
        <v>43178.75</v>
      </c>
      <c r="I825" s="54">
        <v>43165</v>
      </c>
      <c r="J825" s="54">
        <v>43178</v>
      </c>
      <c r="K825" s="51" t="s">
        <v>527</v>
      </c>
      <c r="L825" s="51">
        <v>0.75</v>
      </c>
      <c r="M825" s="51" t="s">
        <v>542</v>
      </c>
      <c r="N825" s="51" t="s">
        <v>529</v>
      </c>
      <c r="O825" s="51" t="s">
        <v>669</v>
      </c>
      <c r="P825" s="49" t="s">
        <v>23</v>
      </c>
      <c r="Q825" s="49" t="s">
        <v>38</v>
      </c>
      <c r="R825" s="49" t="s">
        <v>113</v>
      </c>
      <c r="S825" s="49">
        <v>5</v>
      </c>
      <c r="T825" s="49">
        <v>12</v>
      </c>
      <c r="U825" s="63">
        <v>73</v>
      </c>
      <c r="V825" s="63">
        <v>876</v>
      </c>
    </row>
    <row r="826" spans="1:22" x14ac:dyDescent="0.25">
      <c r="A826" s="49" t="s">
        <v>634</v>
      </c>
      <c r="B826" s="49" t="s">
        <v>45</v>
      </c>
      <c r="C826" s="49" t="s">
        <v>177</v>
      </c>
      <c r="D826" s="49" t="s">
        <v>79</v>
      </c>
      <c r="E826" s="49" t="s">
        <v>168</v>
      </c>
      <c r="F826" s="49">
        <v>2016</v>
      </c>
      <c r="G826" s="50">
        <v>43167.333333333336</v>
      </c>
      <c r="H826" s="50">
        <v>43180.5</v>
      </c>
      <c r="I826" s="54">
        <v>43167</v>
      </c>
      <c r="J826" s="54">
        <v>43180</v>
      </c>
      <c r="K826" s="51" t="s">
        <v>522</v>
      </c>
      <c r="L826" s="51">
        <v>0.5</v>
      </c>
      <c r="M826" s="51" t="s">
        <v>539</v>
      </c>
      <c r="N826" s="51" t="s">
        <v>529</v>
      </c>
      <c r="O826" s="51" t="s">
        <v>669</v>
      </c>
      <c r="P826" s="49" t="s">
        <v>9</v>
      </c>
      <c r="Q826" s="49" t="s">
        <v>41</v>
      </c>
      <c r="R826" s="49" t="s">
        <v>113</v>
      </c>
      <c r="S826" s="49">
        <v>3</v>
      </c>
      <c r="T826" s="49">
        <v>9</v>
      </c>
      <c r="U826" s="63">
        <v>47</v>
      </c>
      <c r="V826" s="63">
        <v>423</v>
      </c>
    </row>
    <row r="827" spans="1:22" x14ac:dyDescent="0.25">
      <c r="A827" s="49" t="s">
        <v>635</v>
      </c>
      <c r="B827" s="49" t="s">
        <v>17</v>
      </c>
      <c r="C827" s="49" t="s">
        <v>176</v>
      </c>
      <c r="D827" s="49" t="s">
        <v>88</v>
      </c>
      <c r="E827" s="49" t="s">
        <v>170</v>
      </c>
      <c r="F827" s="49">
        <v>2016</v>
      </c>
      <c r="G827" s="50">
        <v>43168.375</v>
      </c>
      <c r="H827" s="50">
        <v>43173.75</v>
      </c>
      <c r="I827" s="54">
        <v>43168</v>
      </c>
      <c r="J827" s="54">
        <v>43173</v>
      </c>
      <c r="K827" s="51" t="s">
        <v>525</v>
      </c>
      <c r="L827" s="51">
        <v>0.75</v>
      </c>
      <c r="M827" s="51" t="s">
        <v>540</v>
      </c>
      <c r="N827" s="51" t="s">
        <v>529</v>
      </c>
      <c r="O827" s="51" t="s">
        <v>669</v>
      </c>
      <c r="P827" s="49" t="s">
        <v>23</v>
      </c>
      <c r="Q827" s="49" t="s">
        <v>31</v>
      </c>
      <c r="R827" s="49" t="s">
        <v>113</v>
      </c>
      <c r="S827" s="49">
        <v>5</v>
      </c>
      <c r="T827" s="49">
        <v>9</v>
      </c>
      <c r="U827" s="63">
        <v>41</v>
      </c>
      <c r="V827" s="63">
        <v>369</v>
      </c>
    </row>
    <row r="828" spans="1:22" x14ac:dyDescent="0.25">
      <c r="A828" s="49" t="s">
        <v>636</v>
      </c>
      <c r="B828" s="49" t="s">
        <v>14</v>
      </c>
      <c r="C828" s="49" t="s">
        <v>175</v>
      </c>
      <c r="D828" s="49" t="s">
        <v>77</v>
      </c>
      <c r="E828" s="49" t="s">
        <v>172</v>
      </c>
      <c r="F828" s="49">
        <v>2016</v>
      </c>
      <c r="G828" s="50">
        <v>43168.375</v>
      </c>
      <c r="H828" s="50">
        <v>43173.75</v>
      </c>
      <c r="I828" s="54">
        <v>43168</v>
      </c>
      <c r="J828" s="54">
        <v>43173</v>
      </c>
      <c r="K828" s="51" t="s">
        <v>525</v>
      </c>
      <c r="L828" s="51">
        <v>0.75</v>
      </c>
      <c r="M828" s="51" t="s">
        <v>540</v>
      </c>
      <c r="N828" s="51" t="s">
        <v>529</v>
      </c>
      <c r="O828" s="51" t="s">
        <v>669</v>
      </c>
      <c r="P828" s="49" t="s">
        <v>9</v>
      </c>
      <c r="Q828" s="49" t="s">
        <v>190</v>
      </c>
      <c r="R828" s="49" t="s">
        <v>109</v>
      </c>
      <c r="S828" s="49">
        <v>5</v>
      </c>
      <c r="T828" s="49">
        <v>8</v>
      </c>
      <c r="U828" s="63">
        <v>33</v>
      </c>
      <c r="V828" s="63">
        <v>264</v>
      </c>
    </row>
    <row r="829" spans="1:22" x14ac:dyDescent="0.25">
      <c r="A829" s="49" t="s">
        <v>637</v>
      </c>
      <c r="B829" s="49" t="s">
        <v>39</v>
      </c>
      <c r="C829" s="49" t="s">
        <v>177</v>
      </c>
      <c r="D829" s="49" t="s">
        <v>89</v>
      </c>
      <c r="E829" s="49" t="s">
        <v>169</v>
      </c>
      <c r="F829" s="49">
        <v>2016</v>
      </c>
      <c r="G829" s="50">
        <v>43168.375</v>
      </c>
      <c r="H829" s="50">
        <v>43173.75</v>
      </c>
      <c r="I829" s="54">
        <v>43168</v>
      </c>
      <c r="J829" s="54">
        <v>43173</v>
      </c>
      <c r="K829" s="51" t="s">
        <v>525</v>
      </c>
      <c r="L829" s="51">
        <v>0.75</v>
      </c>
      <c r="M829" s="51" t="s">
        <v>540</v>
      </c>
      <c r="N829" s="51" t="s">
        <v>529</v>
      </c>
      <c r="O829" s="51" t="s">
        <v>669</v>
      </c>
      <c r="P829" s="49" t="s">
        <v>23</v>
      </c>
      <c r="Q829" s="49" t="s">
        <v>28</v>
      </c>
      <c r="R829" s="49" t="s">
        <v>109</v>
      </c>
      <c r="S829" s="49">
        <v>4</v>
      </c>
      <c r="T829" s="49">
        <v>12</v>
      </c>
      <c r="U829" s="63">
        <v>61</v>
      </c>
      <c r="V829" s="63">
        <v>732</v>
      </c>
    </row>
    <row r="830" spans="1:22" x14ac:dyDescent="0.25">
      <c r="A830" s="49" t="s">
        <v>638</v>
      </c>
      <c r="B830" s="49" t="s">
        <v>39</v>
      </c>
      <c r="C830" s="49" t="s">
        <v>177</v>
      </c>
      <c r="D830" s="49" t="s">
        <v>77</v>
      </c>
      <c r="E830" s="49" t="s">
        <v>172</v>
      </c>
      <c r="F830" s="49">
        <v>2016</v>
      </c>
      <c r="G830" s="50">
        <v>43168.375</v>
      </c>
      <c r="H830" s="50">
        <v>43173.75</v>
      </c>
      <c r="I830" s="54">
        <v>43168</v>
      </c>
      <c r="J830" s="54">
        <v>43173</v>
      </c>
      <c r="K830" s="51" t="s">
        <v>525</v>
      </c>
      <c r="L830" s="51">
        <v>0.75</v>
      </c>
      <c r="M830" s="51" t="s">
        <v>540</v>
      </c>
      <c r="N830" s="51" t="s">
        <v>529</v>
      </c>
      <c r="O830" s="51" t="s">
        <v>669</v>
      </c>
      <c r="P830" s="49" t="s">
        <v>9</v>
      </c>
      <c r="Q830" s="49" t="s">
        <v>12</v>
      </c>
      <c r="R830" s="49" t="s">
        <v>113</v>
      </c>
      <c r="S830" s="49">
        <v>3</v>
      </c>
      <c r="T830" s="49">
        <v>11</v>
      </c>
      <c r="U830" s="63">
        <v>33</v>
      </c>
      <c r="V830" s="63">
        <v>363</v>
      </c>
    </row>
    <row r="831" spans="1:22" x14ac:dyDescent="0.25">
      <c r="A831" s="49" t="s">
        <v>639</v>
      </c>
      <c r="B831" s="49" t="s">
        <v>45</v>
      </c>
      <c r="C831" s="49" t="s">
        <v>177</v>
      </c>
      <c r="D831" s="49" t="s">
        <v>89</v>
      </c>
      <c r="E831" s="49" t="s">
        <v>169</v>
      </c>
      <c r="F831" s="49">
        <v>2016</v>
      </c>
      <c r="G831" s="50">
        <v>43170.791666666664</v>
      </c>
      <c r="H831" s="50">
        <v>43181.958333333336</v>
      </c>
      <c r="I831" s="54">
        <v>43170</v>
      </c>
      <c r="J831" s="54">
        <v>43181</v>
      </c>
      <c r="K831" s="51" t="s">
        <v>526</v>
      </c>
      <c r="L831" s="51">
        <v>0.95833333333333337</v>
      </c>
      <c r="M831" s="51" t="s">
        <v>541</v>
      </c>
      <c r="N831" s="51" t="s">
        <v>529</v>
      </c>
      <c r="O831" s="51" t="s">
        <v>669</v>
      </c>
      <c r="P831" s="49" t="s">
        <v>23</v>
      </c>
      <c r="Q831" s="49" t="s">
        <v>24</v>
      </c>
      <c r="R831" s="49" t="s">
        <v>113</v>
      </c>
      <c r="S831" s="49">
        <v>3</v>
      </c>
      <c r="T831" s="49">
        <v>10</v>
      </c>
      <c r="U831" s="63">
        <v>61</v>
      </c>
      <c r="V831" s="63">
        <v>610</v>
      </c>
    </row>
    <row r="832" spans="1:22" x14ac:dyDescent="0.25">
      <c r="A832" s="49" t="s">
        <v>640</v>
      </c>
      <c r="B832" s="49" t="s">
        <v>7</v>
      </c>
      <c r="C832" s="49" t="s">
        <v>175</v>
      </c>
      <c r="D832" s="49" t="s">
        <v>76</v>
      </c>
      <c r="E832" s="49" t="s">
        <v>174</v>
      </c>
      <c r="F832" s="49">
        <v>2016</v>
      </c>
      <c r="G832" s="50">
        <v>43170.791666666664</v>
      </c>
      <c r="H832" s="50">
        <v>43181.958333333336</v>
      </c>
      <c r="I832" s="54">
        <v>43170</v>
      </c>
      <c r="J832" s="54">
        <v>43181</v>
      </c>
      <c r="K832" s="51" t="s">
        <v>526</v>
      </c>
      <c r="L832" s="51">
        <v>0.95833333333333337</v>
      </c>
      <c r="M832" s="51" t="s">
        <v>541</v>
      </c>
      <c r="N832" s="51" t="s">
        <v>529</v>
      </c>
      <c r="O832" s="51" t="s">
        <v>669</v>
      </c>
      <c r="P832" s="49" t="s">
        <v>9</v>
      </c>
      <c r="Q832" s="49" t="s">
        <v>35</v>
      </c>
      <c r="R832" s="49" t="s">
        <v>109</v>
      </c>
      <c r="S832" s="49">
        <v>2</v>
      </c>
      <c r="T832" s="49">
        <v>9</v>
      </c>
      <c r="U832" s="63">
        <v>52</v>
      </c>
      <c r="V832" s="63">
        <v>468</v>
      </c>
    </row>
    <row r="833" spans="1:22" x14ac:dyDescent="0.25">
      <c r="A833" s="49" t="s">
        <v>641</v>
      </c>
      <c r="B833" s="49" t="s">
        <v>29</v>
      </c>
      <c r="C833" s="49" t="s">
        <v>177</v>
      </c>
      <c r="D833" s="49" t="s">
        <v>88</v>
      </c>
      <c r="E833" s="49" t="s">
        <v>170</v>
      </c>
      <c r="F833" s="49">
        <v>2016</v>
      </c>
      <c r="G833" s="50">
        <v>43170.791666666664</v>
      </c>
      <c r="H833" s="50">
        <v>43181.958333333336</v>
      </c>
      <c r="I833" s="54">
        <v>43170</v>
      </c>
      <c r="J833" s="54">
        <v>43181</v>
      </c>
      <c r="K833" s="51" t="s">
        <v>526</v>
      </c>
      <c r="L833" s="51">
        <v>0.95833333333333337</v>
      </c>
      <c r="M833" s="51" t="s">
        <v>541</v>
      </c>
      <c r="N833" s="51" t="s">
        <v>529</v>
      </c>
      <c r="O833" s="51" t="s">
        <v>669</v>
      </c>
      <c r="P833" s="49" t="s">
        <v>9</v>
      </c>
      <c r="Q833" s="49" t="s">
        <v>190</v>
      </c>
      <c r="R833" s="49" t="s">
        <v>109</v>
      </c>
      <c r="S833" s="49">
        <v>5</v>
      </c>
      <c r="T833" s="49">
        <v>10</v>
      </c>
      <c r="U833" s="63">
        <v>41</v>
      </c>
      <c r="V833" s="63">
        <v>410</v>
      </c>
    </row>
    <row r="834" spans="1:22" x14ac:dyDescent="0.25">
      <c r="A834" s="49" t="s">
        <v>642</v>
      </c>
      <c r="B834" s="49" t="s">
        <v>17</v>
      </c>
      <c r="C834" s="49" t="s">
        <v>176</v>
      </c>
      <c r="D834" s="49" t="s">
        <v>86</v>
      </c>
      <c r="E834" s="49" t="s">
        <v>169</v>
      </c>
      <c r="F834" s="49">
        <v>2016</v>
      </c>
      <c r="G834" s="50">
        <v>43173.375</v>
      </c>
      <c r="H834" s="50">
        <v>43179.75</v>
      </c>
      <c r="I834" s="54">
        <v>43173</v>
      </c>
      <c r="J834" s="54">
        <v>43179</v>
      </c>
      <c r="K834" s="51" t="s">
        <v>525</v>
      </c>
      <c r="L834" s="51">
        <v>0.75</v>
      </c>
      <c r="M834" s="51" t="s">
        <v>540</v>
      </c>
      <c r="N834" s="51" t="s">
        <v>529</v>
      </c>
      <c r="O834" s="51" t="s">
        <v>669</v>
      </c>
      <c r="P834" s="49" t="s">
        <v>23</v>
      </c>
      <c r="Q834" s="49" t="s">
        <v>16</v>
      </c>
      <c r="R834" s="49" t="s">
        <v>109</v>
      </c>
      <c r="S834" s="49">
        <v>2</v>
      </c>
      <c r="T834" s="49">
        <v>12</v>
      </c>
      <c r="U834" s="63">
        <v>47</v>
      </c>
      <c r="V834" s="63">
        <v>564</v>
      </c>
    </row>
    <row r="835" spans="1:22" x14ac:dyDescent="0.25">
      <c r="A835" s="49" t="s">
        <v>643</v>
      </c>
      <c r="B835" s="49" t="s">
        <v>19</v>
      </c>
      <c r="C835" s="49" t="s">
        <v>176</v>
      </c>
      <c r="D835" s="49" t="s">
        <v>84</v>
      </c>
      <c r="E835" s="49" t="s">
        <v>172</v>
      </c>
      <c r="F835" s="49">
        <v>2016</v>
      </c>
      <c r="G835" s="50">
        <v>43173.375</v>
      </c>
      <c r="H835" s="50">
        <v>43179.75</v>
      </c>
      <c r="I835" s="54">
        <v>43173</v>
      </c>
      <c r="J835" s="54">
        <v>43179</v>
      </c>
      <c r="K835" s="51" t="s">
        <v>525</v>
      </c>
      <c r="L835" s="51">
        <v>0.75</v>
      </c>
      <c r="M835" s="51" t="s">
        <v>540</v>
      </c>
      <c r="N835" s="51" t="s">
        <v>529</v>
      </c>
      <c r="O835" s="51" t="s">
        <v>669</v>
      </c>
      <c r="P835" s="49" t="s">
        <v>23</v>
      </c>
      <c r="Q835" s="49" t="s">
        <v>28</v>
      </c>
      <c r="R835" s="49" t="s">
        <v>109</v>
      </c>
      <c r="S835" s="49">
        <v>4</v>
      </c>
      <c r="T835" s="49">
        <v>12</v>
      </c>
      <c r="U835" s="63">
        <v>51</v>
      </c>
      <c r="V835" s="63">
        <v>612</v>
      </c>
    </row>
    <row r="836" spans="1:22" x14ac:dyDescent="0.25">
      <c r="A836" s="49" t="s">
        <v>644</v>
      </c>
      <c r="B836" s="49" t="s">
        <v>22</v>
      </c>
      <c r="C836" s="49" t="s">
        <v>176</v>
      </c>
      <c r="D836" s="49" t="s">
        <v>81</v>
      </c>
      <c r="E836" s="49" t="s">
        <v>172</v>
      </c>
      <c r="F836" s="49">
        <v>2016</v>
      </c>
      <c r="G836" s="50">
        <v>43174.333333333336</v>
      </c>
      <c r="H836" s="50">
        <v>43187.5</v>
      </c>
      <c r="I836" s="54">
        <v>43174</v>
      </c>
      <c r="J836" s="54">
        <v>43187</v>
      </c>
      <c r="K836" s="51" t="s">
        <v>522</v>
      </c>
      <c r="L836" s="51">
        <v>0.5</v>
      </c>
      <c r="M836" s="51" t="s">
        <v>539</v>
      </c>
      <c r="N836" s="51" t="s">
        <v>529</v>
      </c>
      <c r="O836" s="51" t="s">
        <v>669</v>
      </c>
      <c r="P836" s="49" t="s">
        <v>9</v>
      </c>
      <c r="Q836" s="49" t="s">
        <v>38</v>
      </c>
      <c r="R836" s="49" t="s">
        <v>113</v>
      </c>
      <c r="S836" s="49">
        <v>2</v>
      </c>
      <c r="T836" s="49">
        <v>9</v>
      </c>
      <c r="U836" s="63">
        <v>42</v>
      </c>
      <c r="V836" s="63">
        <v>378</v>
      </c>
    </row>
    <row r="837" spans="1:22" x14ac:dyDescent="0.25">
      <c r="A837" s="49" t="s">
        <v>645</v>
      </c>
      <c r="B837" s="49" t="s">
        <v>29</v>
      </c>
      <c r="C837" s="49" t="s">
        <v>177</v>
      </c>
      <c r="D837" s="49" t="s">
        <v>78</v>
      </c>
      <c r="E837" s="49" t="s">
        <v>172</v>
      </c>
      <c r="F837" s="49">
        <v>2016</v>
      </c>
      <c r="G837" s="50">
        <v>43174.333333333336</v>
      </c>
      <c r="H837" s="50">
        <v>43187.5</v>
      </c>
      <c r="I837" s="54">
        <v>43174</v>
      </c>
      <c r="J837" s="54">
        <v>43187</v>
      </c>
      <c r="K837" s="51" t="s">
        <v>522</v>
      </c>
      <c r="L837" s="51">
        <v>0.5</v>
      </c>
      <c r="M837" s="51" t="s">
        <v>539</v>
      </c>
      <c r="N837" s="51" t="s">
        <v>529</v>
      </c>
      <c r="O837" s="51" t="s">
        <v>669</v>
      </c>
      <c r="P837" s="49" t="s">
        <v>9</v>
      </c>
      <c r="Q837" s="49" t="s">
        <v>18</v>
      </c>
      <c r="R837" s="49" t="s">
        <v>113</v>
      </c>
      <c r="S837" s="49" t="s">
        <v>191</v>
      </c>
      <c r="T837" s="49">
        <v>11</v>
      </c>
      <c r="U837" s="63">
        <v>61</v>
      </c>
      <c r="V837" s="63">
        <v>671</v>
      </c>
    </row>
    <row r="838" spans="1:22" x14ac:dyDescent="0.25">
      <c r="A838" s="49" t="s">
        <v>646</v>
      </c>
      <c r="B838" s="49" t="s">
        <v>11</v>
      </c>
      <c r="C838" s="49" t="s">
        <v>175</v>
      </c>
      <c r="D838" s="49" t="s">
        <v>76</v>
      </c>
      <c r="E838" s="49" t="s">
        <v>174</v>
      </c>
      <c r="F838" s="49">
        <v>2016</v>
      </c>
      <c r="G838" s="50">
        <v>43174.333333333336</v>
      </c>
      <c r="H838" s="50">
        <v>43187.5</v>
      </c>
      <c r="I838" s="54">
        <v>43174</v>
      </c>
      <c r="J838" s="54">
        <v>43187</v>
      </c>
      <c r="K838" s="51" t="s">
        <v>522</v>
      </c>
      <c r="L838" s="51">
        <v>0.5</v>
      </c>
      <c r="M838" s="51" t="s">
        <v>539</v>
      </c>
      <c r="N838" s="51" t="s">
        <v>529</v>
      </c>
      <c r="O838" s="51" t="s">
        <v>669</v>
      </c>
      <c r="P838" s="49" t="s">
        <v>9</v>
      </c>
      <c r="Q838" s="49" t="s">
        <v>38</v>
      </c>
      <c r="R838" s="49" t="s">
        <v>113</v>
      </c>
      <c r="S838" s="49">
        <v>2</v>
      </c>
      <c r="T838" s="49">
        <v>9</v>
      </c>
      <c r="U838" s="63">
        <v>52</v>
      </c>
      <c r="V838" s="63">
        <v>468</v>
      </c>
    </row>
    <row r="839" spans="1:22" x14ac:dyDescent="0.25">
      <c r="A839" s="49" t="s">
        <v>647</v>
      </c>
      <c r="B839" s="49" t="s">
        <v>19</v>
      </c>
      <c r="C839" s="49" t="s">
        <v>176</v>
      </c>
      <c r="D839" s="49" t="s">
        <v>88</v>
      </c>
      <c r="E839" s="49" t="s">
        <v>170</v>
      </c>
      <c r="F839" s="49">
        <v>2016</v>
      </c>
      <c r="G839" s="50">
        <v>43174.333333333336</v>
      </c>
      <c r="H839" s="50">
        <v>43187.5</v>
      </c>
      <c r="I839" s="54">
        <v>43174</v>
      </c>
      <c r="J839" s="54">
        <v>43187</v>
      </c>
      <c r="K839" s="51" t="s">
        <v>522</v>
      </c>
      <c r="L839" s="51">
        <v>0.5</v>
      </c>
      <c r="M839" s="51" t="s">
        <v>539</v>
      </c>
      <c r="N839" s="51" t="s">
        <v>529</v>
      </c>
      <c r="O839" s="51" t="s">
        <v>669</v>
      </c>
      <c r="P839" s="49" t="s">
        <v>9</v>
      </c>
      <c r="Q839" s="49" t="s">
        <v>12</v>
      </c>
      <c r="R839" s="49" t="s">
        <v>113</v>
      </c>
      <c r="S839" s="49">
        <v>2</v>
      </c>
      <c r="T839" s="49">
        <v>9</v>
      </c>
      <c r="U839" s="63">
        <v>41</v>
      </c>
      <c r="V839" s="63">
        <v>369</v>
      </c>
    </row>
    <row r="840" spans="1:22" x14ac:dyDescent="0.25">
      <c r="A840" s="49" t="s">
        <v>648</v>
      </c>
      <c r="B840" s="49" t="s">
        <v>14</v>
      </c>
      <c r="C840" s="49" t="s">
        <v>175</v>
      </c>
      <c r="D840" s="49" t="s">
        <v>82</v>
      </c>
      <c r="E840" s="49" t="s">
        <v>172</v>
      </c>
      <c r="F840" s="49">
        <v>2016</v>
      </c>
      <c r="G840" s="50">
        <v>43177.791666666664</v>
      </c>
      <c r="H840" s="50">
        <v>43188.958333333336</v>
      </c>
      <c r="I840" s="54">
        <v>43177</v>
      </c>
      <c r="J840" s="54">
        <v>43188</v>
      </c>
      <c r="K840" s="51" t="s">
        <v>526</v>
      </c>
      <c r="L840" s="51">
        <v>0.95833333333333337</v>
      </c>
      <c r="M840" s="51" t="s">
        <v>541</v>
      </c>
      <c r="N840" s="51" t="s">
        <v>529</v>
      </c>
      <c r="O840" s="51" t="s">
        <v>669</v>
      </c>
      <c r="P840" s="49" t="s">
        <v>23</v>
      </c>
      <c r="Q840" s="49" t="s">
        <v>16</v>
      </c>
      <c r="R840" s="49" t="s">
        <v>109</v>
      </c>
      <c r="S840" s="49">
        <v>3</v>
      </c>
      <c r="T840" s="49">
        <v>9</v>
      </c>
      <c r="U840" s="63">
        <v>73</v>
      </c>
      <c r="V840" s="63">
        <v>657</v>
      </c>
    </row>
    <row r="841" spans="1:22" x14ac:dyDescent="0.25">
      <c r="A841" s="49" t="s">
        <v>649</v>
      </c>
      <c r="B841" s="49" t="s">
        <v>22</v>
      </c>
      <c r="C841" s="49" t="s">
        <v>176</v>
      </c>
      <c r="D841" s="49" t="s">
        <v>76</v>
      </c>
      <c r="E841" s="49" t="s">
        <v>174</v>
      </c>
      <c r="F841" s="49">
        <v>2016</v>
      </c>
      <c r="G841" s="50">
        <v>43178.791666666664</v>
      </c>
      <c r="H841" s="50">
        <v>43191.958333333336</v>
      </c>
      <c r="I841" s="54">
        <v>43178</v>
      </c>
      <c r="J841" s="54">
        <v>43191</v>
      </c>
      <c r="K841" s="51" t="s">
        <v>526</v>
      </c>
      <c r="L841" s="51">
        <v>0.95833333333333337</v>
      </c>
      <c r="M841" s="51" t="s">
        <v>541</v>
      </c>
      <c r="N841" s="51" t="s">
        <v>529</v>
      </c>
      <c r="O841" s="51" t="s">
        <v>669</v>
      </c>
      <c r="P841" s="49" t="s">
        <v>9</v>
      </c>
      <c r="Q841" s="49" t="s">
        <v>28</v>
      </c>
      <c r="R841" s="49" t="s">
        <v>109</v>
      </c>
      <c r="S841" s="49">
        <v>5</v>
      </c>
      <c r="T841" s="49">
        <v>8</v>
      </c>
      <c r="U841" s="63">
        <v>52</v>
      </c>
      <c r="V841" s="63">
        <v>416</v>
      </c>
    </row>
    <row r="842" spans="1:22" x14ac:dyDescent="0.25">
      <c r="A842" s="49" t="s">
        <v>650</v>
      </c>
      <c r="B842" s="49" t="s">
        <v>45</v>
      </c>
      <c r="C842" s="49" t="s">
        <v>177</v>
      </c>
      <c r="D842" s="49" t="s">
        <v>80</v>
      </c>
      <c r="E842" s="49" t="s">
        <v>173</v>
      </c>
      <c r="F842" s="49">
        <v>2016</v>
      </c>
      <c r="G842" s="50">
        <v>43179.583333333336</v>
      </c>
      <c r="H842" s="50">
        <v>43192.75</v>
      </c>
      <c r="I842" s="54">
        <v>43179</v>
      </c>
      <c r="J842" s="54">
        <v>43192</v>
      </c>
      <c r="K842" s="51" t="s">
        <v>527</v>
      </c>
      <c r="L842" s="51">
        <v>0.75</v>
      </c>
      <c r="M842" s="51" t="s">
        <v>542</v>
      </c>
      <c r="N842" s="51" t="s">
        <v>529</v>
      </c>
      <c r="O842" s="51" t="s">
        <v>669</v>
      </c>
      <c r="P842" s="49" t="s">
        <v>23</v>
      </c>
      <c r="Q842" s="49" t="s">
        <v>190</v>
      </c>
      <c r="R842" s="49" t="s">
        <v>109</v>
      </c>
      <c r="S842" s="49">
        <v>5</v>
      </c>
      <c r="T842" s="49">
        <v>9</v>
      </c>
      <c r="U842" s="63">
        <v>31</v>
      </c>
      <c r="V842" s="63">
        <v>279</v>
      </c>
    </row>
    <row r="843" spans="1:22" x14ac:dyDescent="0.25">
      <c r="A843" s="49" t="s">
        <v>651</v>
      </c>
      <c r="B843" s="49" t="s">
        <v>17</v>
      </c>
      <c r="C843" s="49" t="s">
        <v>176</v>
      </c>
      <c r="D843" s="49" t="s">
        <v>78</v>
      </c>
      <c r="E843" s="49" t="s">
        <v>172</v>
      </c>
      <c r="F843" s="49">
        <v>2016</v>
      </c>
      <c r="G843" s="50">
        <v>43179.583333333336</v>
      </c>
      <c r="H843" s="50">
        <v>43192.75</v>
      </c>
      <c r="I843" s="54">
        <v>43179</v>
      </c>
      <c r="J843" s="54">
        <v>43192</v>
      </c>
      <c r="K843" s="51" t="s">
        <v>527</v>
      </c>
      <c r="L843" s="51">
        <v>0.75</v>
      </c>
      <c r="M843" s="51" t="s">
        <v>542</v>
      </c>
      <c r="N843" s="51" t="s">
        <v>529</v>
      </c>
      <c r="O843" s="51" t="s">
        <v>669</v>
      </c>
      <c r="P843" s="49" t="s">
        <v>9</v>
      </c>
      <c r="Q843" s="49" t="s">
        <v>24</v>
      </c>
      <c r="R843" s="49" t="s">
        <v>113</v>
      </c>
      <c r="S843" s="49">
        <v>4</v>
      </c>
      <c r="T843" s="49">
        <v>8</v>
      </c>
      <c r="U843" s="63">
        <v>61</v>
      </c>
      <c r="V843" s="63">
        <v>488</v>
      </c>
    </row>
    <row r="844" spans="1:22" x14ac:dyDescent="0.25">
      <c r="A844" s="49" t="s">
        <v>652</v>
      </c>
      <c r="B844" s="49" t="s">
        <v>11</v>
      </c>
      <c r="C844" s="49" t="s">
        <v>175</v>
      </c>
      <c r="D844" s="49" t="s">
        <v>76</v>
      </c>
      <c r="E844" s="49" t="s">
        <v>174</v>
      </c>
      <c r="F844" s="49">
        <v>2016</v>
      </c>
      <c r="G844" s="50">
        <v>43179.583333333336</v>
      </c>
      <c r="H844" s="50">
        <v>43192.75</v>
      </c>
      <c r="I844" s="54">
        <v>43179</v>
      </c>
      <c r="J844" s="54">
        <v>43192</v>
      </c>
      <c r="K844" s="51" t="s">
        <v>527</v>
      </c>
      <c r="L844" s="51">
        <v>0.75</v>
      </c>
      <c r="M844" s="51" t="s">
        <v>542</v>
      </c>
      <c r="N844" s="51" t="s">
        <v>529</v>
      </c>
      <c r="O844" s="51" t="s">
        <v>669</v>
      </c>
      <c r="P844" s="49" t="s">
        <v>23</v>
      </c>
      <c r="Q844" s="49" t="s">
        <v>190</v>
      </c>
      <c r="R844" s="49" t="s">
        <v>109</v>
      </c>
      <c r="S844" s="49">
        <v>2</v>
      </c>
      <c r="T844" s="49">
        <v>11</v>
      </c>
      <c r="U844" s="63">
        <v>52</v>
      </c>
      <c r="V844" s="63">
        <v>572</v>
      </c>
    </row>
    <row r="845" spans="1:22" x14ac:dyDescent="0.25">
      <c r="A845" s="49" t="s">
        <v>653</v>
      </c>
      <c r="B845" s="49" t="s">
        <v>17</v>
      </c>
      <c r="C845" s="49" t="s">
        <v>176</v>
      </c>
      <c r="D845" s="49" t="s">
        <v>78</v>
      </c>
      <c r="E845" s="49" t="s">
        <v>172</v>
      </c>
      <c r="F845" s="49">
        <v>2016</v>
      </c>
      <c r="G845" s="50">
        <v>43180.375</v>
      </c>
      <c r="H845" s="50">
        <v>43186.75</v>
      </c>
      <c r="I845" s="54">
        <v>43180</v>
      </c>
      <c r="J845" s="54">
        <v>43186</v>
      </c>
      <c r="K845" s="51" t="s">
        <v>525</v>
      </c>
      <c r="L845" s="51">
        <v>0.75</v>
      </c>
      <c r="M845" s="51" t="s">
        <v>540</v>
      </c>
      <c r="N845" s="51" t="s">
        <v>529</v>
      </c>
      <c r="O845" s="51" t="s">
        <v>669</v>
      </c>
      <c r="P845" s="49" t="s">
        <v>23</v>
      </c>
      <c r="Q845" s="49" t="s">
        <v>18</v>
      </c>
      <c r="R845" s="49" t="s">
        <v>113</v>
      </c>
      <c r="S845" s="49">
        <v>5</v>
      </c>
      <c r="T845" s="49">
        <v>12</v>
      </c>
      <c r="U845" s="63">
        <v>61</v>
      </c>
      <c r="V845" s="63">
        <v>732</v>
      </c>
    </row>
    <row r="846" spans="1:22" x14ac:dyDescent="0.25">
      <c r="A846" s="49" t="s">
        <v>654</v>
      </c>
      <c r="B846" s="49" t="s">
        <v>39</v>
      </c>
      <c r="C846" s="49" t="s">
        <v>177</v>
      </c>
      <c r="D846" s="49" t="s">
        <v>78</v>
      </c>
      <c r="E846" s="49" t="s">
        <v>172</v>
      </c>
      <c r="F846" s="49">
        <v>2016</v>
      </c>
      <c r="G846" s="50">
        <v>43181.333333333336</v>
      </c>
      <c r="H846" s="50">
        <v>43194.5</v>
      </c>
      <c r="I846" s="54">
        <v>43181</v>
      </c>
      <c r="J846" s="54">
        <v>43194</v>
      </c>
      <c r="K846" s="51" t="s">
        <v>522</v>
      </c>
      <c r="L846" s="51">
        <v>0.5</v>
      </c>
      <c r="M846" s="51" t="s">
        <v>539</v>
      </c>
      <c r="N846" s="51" t="s">
        <v>529</v>
      </c>
      <c r="O846" s="51" t="s">
        <v>669</v>
      </c>
      <c r="P846" s="49" t="s">
        <v>23</v>
      </c>
      <c r="Q846" s="49" t="s">
        <v>190</v>
      </c>
      <c r="R846" s="49" t="s">
        <v>109</v>
      </c>
      <c r="S846" s="49">
        <v>3</v>
      </c>
      <c r="T846" s="49">
        <v>8</v>
      </c>
      <c r="U846" s="63">
        <v>61</v>
      </c>
      <c r="V846" s="63">
        <v>488</v>
      </c>
    </row>
    <row r="847" spans="1:22" x14ac:dyDescent="0.25">
      <c r="A847" s="49" t="s">
        <v>655</v>
      </c>
      <c r="B847" s="49" t="s">
        <v>22</v>
      </c>
      <c r="C847" s="49" t="s">
        <v>176</v>
      </c>
      <c r="D847" s="49" t="s">
        <v>80</v>
      </c>
      <c r="E847" s="49" t="s">
        <v>173</v>
      </c>
      <c r="F847" s="49">
        <v>2016</v>
      </c>
      <c r="G847" s="50">
        <v>43181.333333333336</v>
      </c>
      <c r="H847" s="50">
        <v>43194.5</v>
      </c>
      <c r="I847" s="54">
        <v>43181</v>
      </c>
      <c r="J847" s="54">
        <v>43194</v>
      </c>
      <c r="K847" s="51" t="s">
        <v>522</v>
      </c>
      <c r="L847" s="51">
        <v>0.5</v>
      </c>
      <c r="M847" s="51" t="s">
        <v>539</v>
      </c>
      <c r="N847" s="51" t="s">
        <v>529</v>
      </c>
      <c r="O847" s="51" t="s">
        <v>669</v>
      </c>
      <c r="P847" s="49" t="s">
        <v>9</v>
      </c>
      <c r="Q847" s="49" t="s">
        <v>12</v>
      </c>
      <c r="R847" s="49" t="s">
        <v>113</v>
      </c>
      <c r="S847" s="49">
        <v>2</v>
      </c>
      <c r="T847" s="49">
        <v>12</v>
      </c>
      <c r="U847" s="63">
        <v>31</v>
      </c>
      <c r="V847" s="63">
        <v>372</v>
      </c>
    </row>
    <row r="848" spans="1:22" x14ac:dyDescent="0.25">
      <c r="A848" s="49" t="s">
        <v>656</v>
      </c>
      <c r="B848" s="49" t="s">
        <v>14</v>
      </c>
      <c r="C848" s="49" t="s">
        <v>175</v>
      </c>
      <c r="D848" s="49" t="s">
        <v>82</v>
      </c>
      <c r="E848" s="49" t="s">
        <v>172</v>
      </c>
      <c r="F848" s="49">
        <v>2016</v>
      </c>
      <c r="G848" s="50">
        <v>43181.333333333336</v>
      </c>
      <c r="H848" s="50">
        <v>43194.5</v>
      </c>
      <c r="I848" s="54">
        <v>43181</v>
      </c>
      <c r="J848" s="54">
        <v>43194</v>
      </c>
      <c r="K848" s="51" t="s">
        <v>522</v>
      </c>
      <c r="L848" s="51">
        <v>0.5</v>
      </c>
      <c r="M848" s="51" t="s">
        <v>539</v>
      </c>
      <c r="N848" s="51" t="s">
        <v>529</v>
      </c>
      <c r="O848" s="51" t="s">
        <v>669</v>
      </c>
      <c r="P848" s="49" t="s">
        <v>23</v>
      </c>
      <c r="Q848" s="49" t="s">
        <v>190</v>
      </c>
      <c r="R848" s="49" t="s">
        <v>109</v>
      </c>
      <c r="S848" s="49">
        <v>2</v>
      </c>
      <c r="T848" s="49">
        <v>12</v>
      </c>
      <c r="U848" s="63">
        <v>73</v>
      </c>
      <c r="V848" s="63">
        <v>876</v>
      </c>
    </row>
    <row r="849" spans="1:22" x14ac:dyDescent="0.25">
      <c r="A849" s="49" t="s">
        <v>657</v>
      </c>
      <c r="B849" s="49" t="s">
        <v>17</v>
      </c>
      <c r="C849" s="49" t="s">
        <v>176</v>
      </c>
      <c r="D849" s="49" t="s">
        <v>80</v>
      </c>
      <c r="E849" s="49" t="s">
        <v>173</v>
      </c>
      <c r="F849" s="49">
        <v>2016</v>
      </c>
      <c r="G849" s="50">
        <v>43182.375</v>
      </c>
      <c r="H849" s="50">
        <v>43187.75</v>
      </c>
      <c r="I849" s="54">
        <v>43182</v>
      </c>
      <c r="J849" s="54">
        <v>43187</v>
      </c>
      <c r="K849" s="51" t="s">
        <v>525</v>
      </c>
      <c r="L849" s="51">
        <v>0.75</v>
      </c>
      <c r="M849" s="51" t="s">
        <v>540</v>
      </c>
      <c r="N849" s="51" t="s">
        <v>529</v>
      </c>
      <c r="O849" s="51" t="s">
        <v>669</v>
      </c>
      <c r="P849" s="49" t="s">
        <v>23</v>
      </c>
      <c r="Q849" s="49" t="s">
        <v>38</v>
      </c>
      <c r="R849" s="49" t="s">
        <v>113</v>
      </c>
      <c r="S849" s="49">
        <v>3</v>
      </c>
      <c r="T849" s="49">
        <v>9</v>
      </c>
      <c r="U849" s="63">
        <v>31</v>
      </c>
      <c r="V849" s="63">
        <v>279</v>
      </c>
    </row>
    <row r="850" spans="1:22" x14ac:dyDescent="0.25">
      <c r="A850" s="49" t="s">
        <v>658</v>
      </c>
      <c r="B850" s="49" t="s">
        <v>39</v>
      </c>
      <c r="C850" s="49" t="s">
        <v>177</v>
      </c>
      <c r="D850" s="49" t="s">
        <v>80</v>
      </c>
      <c r="E850" s="49" t="s">
        <v>173</v>
      </c>
      <c r="F850" s="49">
        <v>2016</v>
      </c>
      <c r="G850" s="50">
        <v>43182.375</v>
      </c>
      <c r="H850" s="50">
        <v>43187.75</v>
      </c>
      <c r="I850" s="54">
        <v>43182</v>
      </c>
      <c r="J850" s="54">
        <v>43187</v>
      </c>
      <c r="K850" s="51" t="s">
        <v>525</v>
      </c>
      <c r="L850" s="51">
        <v>0.75</v>
      </c>
      <c r="M850" s="51" t="s">
        <v>540</v>
      </c>
      <c r="N850" s="51" t="s">
        <v>529</v>
      </c>
      <c r="O850" s="51" t="s">
        <v>669</v>
      </c>
      <c r="P850" s="49" t="s">
        <v>23</v>
      </c>
      <c r="Q850" s="49" t="s">
        <v>44</v>
      </c>
      <c r="R850" s="49" t="s">
        <v>113</v>
      </c>
      <c r="S850" s="49">
        <v>3</v>
      </c>
      <c r="T850" s="49">
        <v>11</v>
      </c>
      <c r="U850" s="63">
        <v>31</v>
      </c>
      <c r="V850" s="63">
        <v>341</v>
      </c>
    </row>
    <row r="851" spans="1:22" x14ac:dyDescent="0.25">
      <c r="A851" s="49" t="s">
        <v>659</v>
      </c>
      <c r="B851" s="49" t="s">
        <v>19</v>
      </c>
      <c r="C851" s="49" t="s">
        <v>176</v>
      </c>
      <c r="D851" s="49" t="s">
        <v>82</v>
      </c>
      <c r="E851" s="49" t="s">
        <v>172</v>
      </c>
      <c r="F851" s="49">
        <v>2016</v>
      </c>
      <c r="G851" s="50">
        <v>43184.791666666664</v>
      </c>
      <c r="H851" s="50">
        <v>43195.958333333336</v>
      </c>
      <c r="I851" s="54">
        <v>43184</v>
      </c>
      <c r="J851" s="54">
        <v>43195</v>
      </c>
      <c r="K851" s="51" t="s">
        <v>526</v>
      </c>
      <c r="L851" s="51">
        <v>0.95833333333333337</v>
      </c>
      <c r="M851" s="51" t="s">
        <v>541</v>
      </c>
      <c r="N851" s="51" t="s">
        <v>529</v>
      </c>
      <c r="O851" s="51" t="s">
        <v>669</v>
      </c>
      <c r="P851" s="49" t="s">
        <v>23</v>
      </c>
      <c r="Q851" s="49" t="s">
        <v>35</v>
      </c>
      <c r="R851" s="49" t="s">
        <v>109</v>
      </c>
      <c r="S851" s="49">
        <v>2</v>
      </c>
      <c r="T851" s="49">
        <v>8</v>
      </c>
      <c r="U851" s="63">
        <v>73</v>
      </c>
      <c r="V851" s="63">
        <v>584</v>
      </c>
    </row>
    <row r="852" spans="1:22" x14ac:dyDescent="0.25">
      <c r="A852" s="49" t="s">
        <v>660</v>
      </c>
      <c r="B852" s="49" t="s">
        <v>29</v>
      </c>
      <c r="C852" s="49" t="s">
        <v>177</v>
      </c>
      <c r="D852" s="49" t="s">
        <v>77</v>
      </c>
      <c r="E852" s="49" t="s">
        <v>172</v>
      </c>
      <c r="F852" s="49">
        <v>2016</v>
      </c>
      <c r="G852" s="50">
        <v>43184.791666666664</v>
      </c>
      <c r="H852" s="50">
        <v>43195.958333333336</v>
      </c>
      <c r="I852" s="54">
        <v>43184</v>
      </c>
      <c r="J852" s="54">
        <v>43195</v>
      </c>
      <c r="K852" s="51" t="s">
        <v>526</v>
      </c>
      <c r="L852" s="51">
        <v>0.95833333333333337</v>
      </c>
      <c r="M852" s="51" t="s">
        <v>541</v>
      </c>
      <c r="N852" s="51" t="s">
        <v>529</v>
      </c>
      <c r="O852" s="51" t="s">
        <v>669</v>
      </c>
      <c r="P852" s="49" t="s">
        <v>23</v>
      </c>
      <c r="Q852" s="49" t="s">
        <v>26</v>
      </c>
      <c r="R852" s="49" t="s">
        <v>113</v>
      </c>
      <c r="S852" s="49">
        <v>5</v>
      </c>
      <c r="T852" s="49">
        <v>8</v>
      </c>
      <c r="U852" s="63">
        <v>33</v>
      </c>
      <c r="V852" s="63">
        <v>264</v>
      </c>
    </row>
    <row r="853" spans="1:22" x14ac:dyDescent="0.25">
      <c r="A853" s="49" t="s">
        <v>661</v>
      </c>
      <c r="B853" s="49" t="s">
        <v>22</v>
      </c>
      <c r="C853" s="49" t="s">
        <v>176</v>
      </c>
      <c r="D853" s="49" t="s">
        <v>85</v>
      </c>
      <c r="E853" s="49" t="s">
        <v>170</v>
      </c>
      <c r="F853" s="49">
        <v>2016</v>
      </c>
      <c r="G853" s="50">
        <v>43184.791666666664</v>
      </c>
      <c r="H853" s="50">
        <v>43195.958333333336</v>
      </c>
      <c r="I853" s="54">
        <v>43184</v>
      </c>
      <c r="J853" s="54">
        <v>43195</v>
      </c>
      <c r="K853" s="51" t="s">
        <v>526</v>
      </c>
      <c r="L853" s="51">
        <v>0.95833333333333337</v>
      </c>
      <c r="M853" s="51" t="s">
        <v>541</v>
      </c>
      <c r="N853" s="51" t="s">
        <v>529</v>
      </c>
      <c r="O853" s="51" t="s">
        <v>669</v>
      </c>
      <c r="P853" s="49" t="s">
        <v>23</v>
      </c>
      <c r="Q853" s="49" t="s">
        <v>16</v>
      </c>
      <c r="R853" s="49" t="s">
        <v>109</v>
      </c>
      <c r="S853" s="49">
        <v>3</v>
      </c>
      <c r="T853" s="49">
        <v>12</v>
      </c>
      <c r="U853" s="63">
        <v>47</v>
      </c>
      <c r="V853" s="63">
        <v>564</v>
      </c>
    </row>
    <row r="854" spans="1:22" x14ac:dyDescent="0.25">
      <c r="A854" s="49" t="s">
        <v>662</v>
      </c>
      <c r="B854" s="49" t="s">
        <v>11</v>
      </c>
      <c r="C854" s="49" t="s">
        <v>175</v>
      </c>
      <c r="D854" s="49" t="s">
        <v>76</v>
      </c>
      <c r="E854" s="49" t="s">
        <v>174</v>
      </c>
      <c r="F854" s="49">
        <v>2016</v>
      </c>
      <c r="G854" s="50">
        <v>43184.791666666664</v>
      </c>
      <c r="H854" s="50">
        <v>43195.958333333336</v>
      </c>
      <c r="I854" s="54">
        <v>43184</v>
      </c>
      <c r="J854" s="54">
        <v>43195</v>
      </c>
      <c r="K854" s="51" t="s">
        <v>526</v>
      </c>
      <c r="L854" s="51">
        <v>0.95833333333333337</v>
      </c>
      <c r="M854" s="51" t="s">
        <v>541</v>
      </c>
      <c r="N854" s="51" t="s">
        <v>529</v>
      </c>
      <c r="O854" s="51" t="s">
        <v>669</v>
      </c>
      <c r="P854" s="49" t="s">
        <v>9</v>
      </c>
      <c r="Q854" s="49" t="s">
        <v>21</v>
      </c>
      <c r="R854" s="49" t="s">
        <v>113</v>
      </c>
      <c r="S854" s="49">
        <v>2</v>
      </c>
      <c r="T854" s="49">
        <v>9</v>
      </c>
      <c r="U854" s="63">
        <v>52</v>
      </c>
      <c r="V854" s="63">
        <v>468</v>
      </c>
    </row>
    <row r="855" spans="1:22" x14ac:dyDescent="0.25">
      <c r="A855" s="49" t="s">
        <v>663</v>
      </c>
      <c r="B855" s="49" t="s">
        <v>22</v>
      </c>
      <c r="C855" s="49" t="s">
        <v>176</v>
      </c>
      <c r="D855" s="49" t="s">
        <v>83</v>
      </c>
      <c r="E855" s="49" t="s">
        <v>174</v>
      </c>
      <c r="F855" s="49">
        <v>2016</v>
      </c>
      <c r="G855" s="50">
        <v>43184.791666666664</v>
      </c>
      <c r="H855" s="50">
        <v>43195.958333333336</v>
      </c>
      <c r="I855" s="54">
        <v>43184</v>
      </c>
      <c r="J855" s="54">
        <v>43195</v>
      </c>
      <c r="K855" s="51" t="s">
        <v>526</v>
      </c>
      <c r="L855" s="51">
        <v>0.95833333333333337</v>
      </c>
      <c r="M855" s="51" t="s">
        <v>541</v>
      </c>
      <c r="N855" s="51" t="s">
        <v>529</v>
      </c>
      <c r="O855" s="51" t="s">
        <v>669</v>
      </c>
      <c r="P855" s="49" t="s">
        <v>23</v>
      </c>
      <c r="Q855" s="49" t="s">
        <v>37</v>
      </c>
      <c r="R855" s="49" t="s">
        <v>113</v>
      </c>
      <c r="S855" s="49">
        <v>3</v>
      </c>
      <c r="T855" s="49">
        <v>8</v>
      </c>
      <c r="U855" s="63">
        <v>62</v>
      </c>
      <c r="V855" s="63">
        <v>496</v>
      </c>
    </row>
    <row r="856" spans="1:22" x14ac:dyDescent="0.25">
      <c r="A856" s="49" t="s">
        <v>664</v>
      </c>
      <c r="B856" s="49" t="s">
        <v>17</v>
      </c>
      <c r="C856" s="49" t="s">
        <v>176</v>
      </c>
      <c r="D856" s="49" t="s">
        <v>77</v>
      </c>
      <c r="E856" s="49" t="s">
        <v>172</v>
      </c>
      <c r="F856" s="49">
        <v>2016</v>
      </c>
      <c r="G856" s="50">
        <v>43186.583333333336</v>
      </c>
      <c r="H856" s="50">
        <v>43199.75</v>
      </c>
      <c r="I856" s="54">
        <v>43186</v>
      </c>
      <c r="J856" s="54">
        <v>43199</v>
      </c>
      <c r="K856" s="51" t="s">
        <v>527</v>
      </c>
      <c r="L856" s="51">
        <v>0.75</v>
      </c>
      <c r="M856" s="51" t="s">
        <v>542</v>
      </c>
      <c r="N856" s="51" t="s">
        <v>529</v>
      </c>
      <c r="O856" s="51" t="s">
        <v>669</v>
      </c>
      <c r="P856" s="49" t="s">
        <v>9</v>
      </c>
      <c r="Q856" s="49" t="s">
        <v>26</v>
      </c>
      <c r="R856" s="49" t="s">
        <v>113</v>
      </c>
      <c r="S856" s="49">
        <v>4</v>
      </c>
      <c r="T856" s="49">
        <v>9</v>
      </c>
      <c r="U856" s="63">
        <v>33</v>
      </c>
      <c r="V856" s="63">
        <v>297</v>
      </c>
    </row>
    <row r="857" spans="1:22" x14ac:dyDescent="0.25">
      <c r="A857" s="49" t="s">
        <v>665</v>
      </c>
      <c r="B857" s="49" t="s">
        <v>45</v>
      </c>
      <c r="C857" s="49" t="s">
        <v>177</v>
      </c>
      <c r="D857" s="49" t="s">
        <v>77</v>
      </c>
      <c r="E857" s="49" t="s">
        <v>172</v>
      </c>
      <c r="F857" s="49">
        <v>2016</v>
      </c>
      <c r="G857" s="50">
        <v>43187.375</v>
      </c>
      <c r="H857" s="50">
        <v>43193.75</v>
      </c>
      <c r="I857" s="54">
        <v>43187</v>
      </c>
      <c r="J857" s="54">
        <v>43193</v>
      </c>
      <c r="K857" s="51" t="s">
        <v>525</v>
      </c>
      <c r="L857" s="51">
        <v>0.75</v>
      </c>
      <c r="M857" s="51" t="s">
        <v>540</v>
      </c>
      <c r="N857" s="51" t="s">
        <v>529</v>
      </c>
      <c r="O857" s="51" t="s">
        <v>669</v>
      </c>
      <c r="P857" s="49" t="s">
        <v>9</v>
      </c>
      <c r="Q857" s="49" t="s">
        <v>190</v>
      </c>
      <c r="R857" s="49" t="s">
        <v>109</v>
      </c>
      <c r="S857" s="49">
        <v>5</v>
      </c>
      <c r="T857" s="49">
        <v>11</v>
      </c>
      <c r="U857" s="63">
        <v>33</v>
      </c>
      <c r="V857" s="63">
        <v>363</v>
      </c>
    </row>
    <row r="858" spans="1:22" x14ac:dyDescent="0.25">
      <c r="A858" s="49" t="s">
        <v>666</v>
      </c>
      <c r="B858" s="49" t="s">
        <v>45</v>
      </c>
      <c r="C858" s="49" t="s">
        <v>177</v>
      </c>
      <c r="D858" s="49" t="s">
        <v>85</v>
      </c>
      <c r="E858" s="49" t="s">
        <v>170</v>
      </c>
      <c r="F858" s="49">
        <v>2016</v>
      </c>
      <c r="G858" s="50">
        <v>43187.375</v>
      </c>
      <c r="H858" s="50">
        <v>43193.75</v>
      </c>
      <c r="I858" s="54">
        <v>43187</v>
      </c>
      <c r="J858" s="54">
        <v>43193</v>
      </c>
      <c r="K858" s="51" t="s">
        <v>525</v>
      </c>
      <c r="L858" s="51">
        <v>0.75</v>
      </c>
      <c r="M858" s="51" t="s">
        <v>540</v>
      </c>
      <c r="N858" s="51" t="s">
        <v>529</v>
      </c>
      <c r="O858" s="51" t="s">
        <v>669</v>
      </c>
      <c r="P858" s="49" t="s">
        <v>23</v>
      </c>
      <c r="Q858" s="49" t="s">
        <v>22</v>
      </c>
      <c r="R858" s="49" t="s">
        <v>109</v>
      </c>
      <c r="S858" s="49">
        <v>2</v>
      </c>
      <c r="T858" s="49">
        <v>8</v>
      </c>
      <c r="U858" s="63">
        <v>47</v>
      </c>
      <c r="V858" s="63">
        <v>376</v>
      </c>
    </row>
    <row r="859" spans="1:22" x14ac:dyDescent="0.25">
      <c r="A859" s="49" t="s">
        <v>667</v>
      </c>
      <c r="B859" s="49" t="s">
        <v>45</v>
      </c>
      <c r="C859" s="49" t="s">
        <v>177</v>
      </c>
      <c r="D859" s="49" t="s">
        <v>86</v>
      </c>
      <c r="E859" s="49" t="s">
        <v>169</v>
      </c>
      <c r="F859" s="49">
        <v>2016</v>
      </c>
      <c r="G859" s="50">
        <v>43188.333333333336</v>
      </c>
      <c r="H859" s="50">
        <v>43201.5</v>
      </c>
      <c r="I859" s="54">
        <v>43188</v>
      </c>
      <c r="J859" s="54">
        <v>43201</v>
      </c>
      <c r="K859" s="51" t="s">
        <v>522</v>
      </c>
      <c r="L859" s="51">
        <v>0.5</v>
      </c>
      <c r="M859" s="51" t="s">
        <v>539</v>
      </c>
      <c r="N859" s="51" t="s">
        <v>529</v>
      </c>
      <c r="O859" s="51" t="s">
        <v>669</v>
      </c>
      <c r="P859" s="49" t="s">
        <v>9</v>
      </c>
      <c r="Q859" s="49" t="s">
        <v>21</v>
      </c>
      <c r="R859" s="49" t="s">
        <v>113</v>
      </c>
      <c r="S859" s="49">
        <v>5</v>
      </c>
      <c r="T859" s="49">
        <v>9</v>
      </c>
      <c r="U859" s="63">
        <v>47</v>
      </c>
      <c r="V859" s="63">
        <v>423</v>
      </c>
    </row>
    <row r="860" spans="1:22" x14ac:dyDescent="0.25">
      <c r="A860" s="49" t="s">
        <v>668</v>
      </c>
      <c r="B860" s="49" t="s">
        <v>39</v>
      </c>
      <c r="C860" s="49" t="s">
        <v>177</v>
      </c>
      <c r="D860" s="49" t="s">
        <v>83</v>
      </c>
      <c r="E860" s="49" t="s">
        <v>174</v>
      </c>
      <c r="F860" s="49">
        <v>2016</v>
      </c>
      <c r="G860" s="50">
        <v>43188.333333333336</v>
      </c>
      <c r="H860" s="50">
        <v>43201.5</v>
      </c>
      <c r="I860" s="54">
        <v>43188</v>
      </c>
      <c r="J860" s="54">
        <v>43201</v>
      </c>
      <c r="K860" s="51" t="s">
        <v>522</v>
      </c>
      <c r="L860" s="51">
        <v>0.5</v>
      </c>
      <c r="M860" s="51" t="s">
        <v>539</v>
      </c>
      <c r="N860" s="51" t="s">
        <v>529</v>
      </c>
      <c r="O860" s="51" t="s">
        <v>669</v>
      </c>
      <c r="P860" s="49" t="s">
        <v>23</v>
      </c>
      <c r="Q860" s="49" t="s">
        <v>35</v>
      </c>
      <c r="R860" s="49" t="s">
        <v>109</v>
      </c>
      <c r="S860" s="49">
        <v>5</v>
      </c>
      <c r="T860" s="49">
        <v>12</v>
      </c>
      <c r="U860" s="63">
        <v>62</v>
      </c>
      <c r="V860" s="63">
        <v>744</v>
      </c>
    </row>
    <row r="861" spans="1:22" x14ac:dyDescent="0.25">
      <c r="A861" s="49" t="s">
        <v>670</v>
      </c>
      <c r="B861" s="49" t="s">
        <v>7</v>
      </c>
      <c r="C861" s="49" t="s">
        <v>175</v>
      </c>
      <c r="D861" s="49" t="s">
        <v>78</v>
      </c>
      <c r="E861" s="49" t="s">
        <v>172</v>
      </c>
      <c r="F861" s="49">
        <v>2016</v>
      </c>
      <c r="G861" s="50">
        <v>43191.791666666664</v>
      </c>
      <c r="H861" s="50">
        <v>43202.958333333336</v>
      </c>
      <c r="I861" s="54">
        <v>43191</v>
      </c>
      <c r="J861" s="54">
        <v>43202</v>
      </c>
      <c r="K861" s="51" t="s">
        <v>526</v>
      </c>
      <c r="L861" s="51">
        <v>0.95833333333333337</v>
      </c>
      <c r="M861" s="51" t="s">
        <v>541</v>
      </c>
      <c r="N861" s="51" t="s">
        <v>530</v>
      </c>
      <c r="O861" s="51" t="s">
        <v>669</v>
      </c>
      <c r="P861" s="49" t="s">
        <v>9</v>
      </c>
      <c r="Q861" s="49" t="s">
        <v>16</v>
      </c>
      <c r="R861" s="49" t="s">
        <v>109</v>
      </c>
      <c r="S861" s="49">
        <v>5</v>
      </c>
      <c r="T861" s="49">
        <v>8</v>
      </c>
      <c r="U861" s="63">
        <v>61</v>
      </c>
      <c r="V861" s="63">
        <v>488</v>
      </c>
    </row>
    <row r="862" spans="1:22" x14ac:dyDescent="0.25">
      <c r="A862" s="49" t="s">
        <v>671</v>
      </c>
      <c r="B862" s="49" t="s">
        <v>39</v>
      </c>
      <c r="C862" s="49" t="s">
        <v>177</v>
      </c>
      <c r="D862" s="49" t="s">
        <v>83</v>
      </c>
      <c r="E862" s="49" t="s">
        <v>174</v>
      </c>
      <c r="F862" s="49">
        <v>2016</v>
      </c>
      <c r="G862" s="50">
        <v>43191.791666666664</v>
      </c>
      <c r="H862" s="50">
        <v>43202.958333333336</v>
      </c>
      <c r="I862" s="54">
        <v>43191</v>
      </c>
      <c r="J862" s="54">
        <v>43202</v>
      </c>
      <c r="K862" s="51" t="s">
        <v>526</v>
      </c>
      <c r="L862" s="51">
        <v>0.95833333333333337</v>
      </c>
      <c r="M862" s="51" t="s">
        <v>541</v>
      </c>
      <c r="N862" s="51" t="s">
        <v>530</v>
      </c>
      <c r="O862" s="51" t="s">
        <v>669</v>
      </c>
      <c r="P862" s="49" t="s">
        <v>9</v>
      </c>
      <c r="Q862" s="49" t="s">
        <v>41</v>
      </c>
      <c r="R862" s="49" t="s">
        <v>113</v>
      </c>
      <c r="S862" s="49">
        <v>4</v>
      </c>
      <c r="T862" s="49">
        <v>8</v>
      </c>
      <c r="U862" s="63">
        <v>62</v>
      </c>
      <c r="V862" s="63">
        <v>496</v>
      </c>
    </row>
    <row r="863" spans="1:22" x14ac:dyDescent="0.25">
      <c r="A863" s="49" t="s">
        <v>672</v>
      </c>
      <c r="B863" s="49" t="s">
        <v>11</v>
      </c>
      <c r="C863" s="49" t="s">
        <v>175</v>
      </c>
      <c r="D863" s="49" t="s">
        <v>77</v>
      </c>
      <c r="E863" s="49" t="s">
        <v>172</v>
      </c>
      <c r="F863" s="49">
        <v>2016</v>
      </c>
      <c r="G863" s="50">
        <v>43191.791666666664</v>
      </c>
      <c r="H863" s="50">
        <v>43202.958333333336</v>
      </c>
      <c r="I863" s="54">
        <v>43191</v>
      </c>
      <c r="J863" s="54">
        <v>43202</v>
      </c>
      <c r="K863" s="51" t="s">
        <v>526</v>
      </c>
      <c r="L863" s="51">
        <v>0.95833333333333337</v>
      </c>
      <c r="M863" s="51" t="s">
        <v>541</v>
      </c>
      <c r="N863" s="51" t="s">
        <v>530</v>
      </c>
      <c r="O863" s="51" t="s">
        <v>669</v>
      </c>
      <c r="P863" s="49" t="s">
        <v>9</v>
      </c>
      <c r="Q863" s="49" t="s">
        <v>37</v>
      </c>
      <c r="R863" s="49" t="s">
        <v>113</v>
      </c>
      <c r="S863" s="49">
        <v>4</v>
      </c>
      <c r="T863" s="49">
        <v>11</v>
      </c>
      <c r="U863" s="63">
        <v>33</v>
      </c>
      <c r="V863" s="63">
        <v>363</v>
      </c>
    </row>
    <row r="864" spans="1:22" x14ac:dyDescent="0.25">
      <c r="A864" s="49" t="s">
        <v>673</v>
      </c>
      <c r="B864" s="49" t="s">
        <v>19</v>
      </c>
      <c r="C864" s="49" t="s">
        <v>176</v>
      </c>
      <c r="D864" s="49" t="s">
        <v>86</v>
      </c>
      <c r="E864" s="49" t="s">
        <v>169</v>
      </c>
      <c r="F864" s="49">
        <v>2016</v>
      </c>
      <c r="G864" s="50">
        <v>43191.791666666664</v>
      </c>
      <c r="H864" s="50">
        <v>43202.958333333336</v>
      </c>
      <c r="I864" s="54">
        <v>43191</v>
      </c>
      <c r="J864" s="54">
        <v>43202</v>
      </c>
      <c r="K864" s="51" t="s">
        <v>526</v>
      </c>
      <c r="L864" s="51">
        <v>0.95833333333333337</v>
      </c>
      <c r="M864" s="51" t="s">
        <v>541</v>
      </c>
      <c r="N864" s="51" t="s">
        <v>530</v>
      </c>
      <c r="O864" s="51" t="s">
        <v>669</v>
      </c>
      <c r="P864" s="49" t="s">
        <v>23</v>
      </c>
      <c r="Q864" s="49" t="s">
        <v>44</v>
      </c>
      <c r="R864" s="49" t="s">
        <v>113</v>
      </c>
      <c r="S864" s="49">
        <v>5</v>
      </c>
      <c r="T864" s="49">
        <v>8</v>
      </c>
      <c r="U864" s="63">
        <v>47</v>
      </c>
      <c r="V864" s="63">
        <v>376</v>
      </c>
    </row>
    <row r="865" spans="1:22" x14ac:dyDescent="0.25">
      <c r="A865" s="49" t="s">
        <v>674</v>
      </c>
      <c r="B865" s="49" t="s">
        <v>17</v>
      </c>
      <c r="C865" s="49" t="s">
        <v>176</v>
      </c>
      <c r="D865" s="49" t="s">
        <v>77</v>
      </c>
      <c r="E865" s="49" t="s">
        <v>172</v>
      </c>
      <c r="F865" s="49">
        <v>2016</v>
      </c>
      <c r="G865" s="50">
        <v>43191.791666666664</v>
      </c>
      <c r="H865" s="50">
        <v>43202.958333333336</v>
      </c>
      <c r="I865" s="54">
        <v>43191</v>
      </c>
      <c r="J865" s="54">
        <v>43202</v>
      </c>
      <c r="K865" s="51" t="s">
        <v>526</v>
      </c>
      <c r="L865" s="51">
        <v>0.95833333333333337</v>
      </c>
      <c r="M865" s="51" t="s">
        <v>541</v>
      </c>
      <c r="N865" s="51" t="s">
        <v>530</v>
      </c>
      <c r="O865" s="51" t="s">
        <v>669</v>
      </c>
      <c r="P865" s="49" t="s">
        <v>9</v>
      </c>
      <c r="Q865" s="49" t="s">
        <v>190</v>
      </c>
      <c r="R865" s="49" t="s">
        <v>109</v>
      </c>
      <c r="S865" s="49">
        <v>4</v>
      </c>
      <c r="T865" s="49">
        <v>8</v>
      </c>
      <c r="U865" s="63">
        <v>33</v>
      </c>
      <c r="V865" s="63">
        <v>264</v>
      </c>
    </row>
    <row r="866" spans="1:22" x14ac:dyDescent="0.25">
      <c r="A866" s="49" t="s">
        <v>675</v>
      </c>
      <c r="B866" s="49" t="s">
        <v>14</v>
      </c>
      <c r="C866" s="49" t="s">
        <v>175</v>
      </c>
      <c r="D866" s="49" t="s">
        <v>89</v>
      </c>
      <c r="E866" s="49" t="s">
        <v>169</v>
      </c>
      <c r="F866" s="49">
        <v>2016</v>
      </c>
      <c r="G866" s="50">
        <v>43192.791666666664</v>
      </c>
      <c r="H866" s="50">
        <v>43205.958333333336</v>
      </c>
      <c r="I866" s="54">
        <v>43192</v>
      </c>
      <c r="J866" s="54">
        <v>43205</v>
      </c>
      <c r="K866" s="51" t="s">
        <v>526</v>
      </c>
      <c r="L866" s="51">
        <v>0.95833333333333337</v>
      </c>
      <c r="M866" s="51" t="s">
        <v>541</v>
      </c>
      <c r="N866" s="51" t="s">
        <v>530</v>
      </c>
      <c r="O866" s="51" t="s">
        <v>669</v>
      </c>
      <c r="P866" s="49" t="s">
        <v>23</v>
      </c>
      <c r="Q866" s="49" t="s">
        <v>33</v>
      </c>
      <c r="R866" s="49" t="s">
        <v>113</v>
      </c>
      <c r="S866" s="49">
        <v>4</v>
      </c>
      <c r="T866" s="49">
        <v>12</v>
      </c>
      <c r="U866" s="63">
        <v>61</v>
      </c>
      <c r="V866" s="63">
        <v>732</v>
      </c>
    </row>
    <row r="867" spans="1:22" x14ac:dyDescent="0.25">
      <c r="A867" s="49" t="s">
        <v>676</v>
      </c>
      <c r="B867" s="49" t="s">
        <v>19</v>
      </c>
      <c r="C867" s="49" t="s">
        <v>176</v>
      </c>
      <c r="D867" s="49" t="s">
        <v>77</v>
      </c>
      <c r="E867" s="49" t="s">
        <v>172</v>
      </c>
      <c r="F867" s="49">
        <v>2016</v>
      </c>
      <c r="G867" s="50">
        <v>43193.583333333336</v>
      </c>
      <c r="H867" s="50">
        <v>43206.75</v>
      </c>
      <c r="I867" s="54">
        <v>43193</v>
      </c>
      <c r="J867" s="54">
        <v>43206</v>
      </c>
      <c r="K867" s="51" t="s">
        <v>527</v>
      </c>
      <c r="L867" s="51">
        <v>0.75</v>
      </c>
      <c r="M867" s="51" t="s">
        <v>542</v>
      </c>
      <c r="N867" s="51" t="s">
        <v>530</v>
      </c>
      <c r="O867" s="51" t="s">
        <v>669</v>
      </c>
      <c r="P867" s="49" t="s">
        <v>23</v>
      </c>
      <c r="Q867" s="49" t="s">
        <v>18</v>
      </c>
      <c r="R867" s="49" t="s">
        <v>113</v>
      </c>
      <c r="S867" s="49">
        <v>2</v>
      </c>
      <c r="T867" s="49">
        <v>11</v>
      </c>
      <c r="U867" s="63">
        <v>33</v>
      </c>
      <c r="V867" s="63">
        <v>363</v>
      </c>
    </row>
    <row r="868" spans="1:22" x14ac:dyDescent="0.25">
      <c r="A868" s="49" t="s">
        <v>677</v>
      </c>
      <c r="B868" s="49" t="s">
        <v>17</v>
      </c>
      <c r="C868" s="49" t="s">
        <v>176</v>
      </c>
      <c r="D868" s="49" t="s">
        <v>88</v>
      </c>
      <c r="E868" s="49" t="s">
        <v>170</v>
      </c>
      <c r="F868" s="49">
        <v>2016</v>
      </c>
      <c r="G868" s="50">
        <v>43193.583333333336</v>
      </c>
      <c r="H868" s="50">
        <v>43206.75</v>
      </c>
      <c r="I868" s="54">
        <v>43193</v>
      </c>
      <c r="J868" s="54">
        <v>43206</v>
      </c>
      <c r="K868" s="51" t="s">
        <v>527</v>
      </c>
      <c r="L868" s="51">
        <v>0.75</v>
      </c>
      <c r="M868" s="51" t="s">
        <v>542</v>
      </c>
      <c r="N868" s="51" t="s">
        <v>530</v>
      </c>
      <c r="O868" s="51" t="s">
        <v>669</v>
      </c>
      <c r="P868" s="49" t="s">
        <v>9</v>
      </c>
      <c r="Q868" s="49" t="s">
        <v>44</v>
      </c>
      <c r="R868" s="49" t="s">
        <v>113</v>
      </c>
      <c r="S868" s="49">
        <v>5</v>
      </c>
      <c r="T868" s="49">
        <v>10</v>
      </c>
      <c r="U868" s="63">
        <v>41</v>
      </c>
      <c r="V868" s="63">
        <v>410</v>
      </c>
    </row>
    <row r="869" spans="1:22" x14ac:dyDescent="0.25">
      <c r="A869" s="49" t="s">
        <v>678</v>
      </c>
      <c r="B869" s="49" t="s">
        <v>14</v>
      </c>
      <c r="C869" s="49" t="s">
        <v>175</v>
      </c>
      <c r="D869" s="49" t="s">
        <v>77</v>
      </c>
      <c r="E869" s="49" t="s">
        <v>172</v>
      </c>
      <c r="F869" s="49">
        <v>2016</v>
      </c>
      <c r="G869" s="50">
        <v>43194.375</v>
      </c>
      <c r="H869" s="50">
        <v>43200.75</v>
      </c>
      <c r="I869" s="54">
        <v>43194</v>
      </c>
      <c r="J869" s="54">
        <v>43200</v>
      </c>
      <c r="K869" s="51" t="s">
        <v>525</v>
      </c>
      <c r="L869" s="51">
        <v>0.75</v>
      </c>
      <c r="M869" s="51" t="s">
        <v>540</v>
      </c>
      <c r="N869" s="51" t="s">
        <v>530</v>
      </c>
      <c r="O869" s="51" t="s">
        <v>669</v>
      </c>
      <c r="P869" s="49" t="s">
        <v>9</v>
      </c>
      <c r="Q869" s="49" t="s">
        <v>44</v>
      </c>
      <c r="R869" s="49" t="s">
        <v>113</v>
      </c>
      <c r="S869" s="49">
        <v>4</v>
      </c>
      <c r="T869" s="49">
        <v>9</v>
      </c>
      <c r="U869" s="63">
        <v>33</v>
      </c>
      <c r="V869" s="63">
        <v>297</v>
      </c>
    </row>
    <row r="870" spans="1:22" x14ac:dyDescent="0.25">
      <c r="A870" s="49" t="s">
        <v>679</v>
      </c>
      <c r="B870" s="49" t="s">
        <v>11</v>
      </c>
      <c r="C870" s="49" t="s">
        <v>175</v>
      </c>
      <c r="D870" s="49" t="s">
        <v>78</v>
      </c>
      <c r="E870" s="49" t="s">
        <v>172</v>
      </c>
      <c r="F870" s="49">
        <v>2016</v>
      </c>
      <c r="G870" s="50">
        <v>43194.375</v>
      </c>
      <c r="H870" s="50">
        <v>43200.75</v>
      </c>
      <c r="I870" s="54">
        <v>43194</v>
      </c>
      <c r="J870" s="54">
        <v>43200</v>
      </c>
      <c r="K870" s="51" t="s">
        <v>525</v>
      </c>
      <c r="L870" s="51">
        <v>0.75</v>
      </c>
      <c r="M870" s="51" t="s">
        <v>540</v>
      </c>
      <c r="N870" s="51" t="s">
        <v>530</v>
      </c>
      <c r="O870" s="51" t="s">
        <v>669</v>
      </c>
      <c r="P870" s="49" t="s">
        <v>9</v>
      </c>
      <c r="Q870" s="49" t="s">
        <v>33</v>
      </c>
      <c r="R870" s="49" t="s">
        <v>113</v>
      </c>
      <c r="S870" s="49">
        <v>5</v>
      </c>
      <c r="T870" s="49">
        <v>12</v>
      </c>
      <c r="U870" s="63">
        <v>61</v>
      </c>
      <c r="V870" s="63">
        <v>732</v>
      </c>
    </row>
    <row r="871" spans="1:22" x14ac:dyDescent="0.25">
      <c r="A871" s="49" t="s">
        <v>680</v>
      </c>
      <c r="B871" s="49" t="s">
        <v>11</v>
      </c>
      <c r="C871" s="49" t="s">
        <v>175</v>
      </c>
      <c r="D871" s="49" t="s">
        <v>89</v>
      </c>
      <c r="E871" s="49" t="s">
        <v>169</v>
      </c>
      <c r="F871" s="49">
        <v>2016</v>
      </c>
      <c r="G871" s="50">
        <v>43195.333333333336</v>
      </c>
      <c r="H871" s="50">
        <v>43208.5</v>
      </c>
      <c r="I871" s="54">
        <v>43195</v>
      </c>
      <c r="J871" s="54">
        <v>43208</v>
      </c>
      <c r="K871" s="51" t="s">
        <v>522</v>
      </c>
      <c r="L871" s="51">
        <v>0.5</v>
      </c>
      <c r="M871" s="51" t="s">
        <v>539</v>
      </c>
      <c r="N871" s="51" t="s">
        <v>530</v>
      </c>
      <c r="O871" s="51" t="s">
        <v>669</v>
      </c>
      <c r="P871" s="49" t="s">
        <v>23</v>
      </c>
      <c r="Q871" s="49" t="s">
        <v>190</v>
      </c>
      <c r="R871" s="49" t="s">
        <v>109</v>
      </c>
      <c r="S871" s="49">
        <v>2</v>
      </c>
      <c r="T871" s="49">
        <v>10</v>
      </c>
      <c r="U871" s="63">
        <v>61</v>
      </c>
      <c r="V871" s="63">
        <v>610</v>
      </c>
    </row>
    <row r="872" spans="1:22" x14ac:dyDescent="0.25">
      <c r="A872" s="49" t="s">
        <v>681</v>
      </c>
      <c r="B872" s="49" t="s">
        <v>39</v>
      </c>
      <c r="C872" s="49" t="s">
        <v>177</v>
      </c>
      <c r="D872" s="49" t="s">
        <v>80</v>
      </c>
      <c r="E872" s="49" t="s">
        <v>173</v>
      </c>
      <c r="F872" s="49">
        <v>2016</v>
      </c>
      <c r="G872" s="50">
        <v>43195.333333333336</v>
      </c>
      <c r="H872" s="50">
        <v>43208.5</v>
      </c>
      <c r="I872" s="54">
        <v>43195</v>
      </c>
      <c r="J872" s="54">
        <v>43208</v>
      </c>
      <c r="K872" s="51" t="s">
        <v>522</v>
      </c>
      <c r="L872" s="51">
        <v>0.5</v>
      </c>
      <c r="M872" s="51" t="s">
        <v>539</v>
      </c>
      <c r="N872" s="51" t="s">
        <v>530</v>
      </c>
      <c r="O872" s="51" t="s">
        <v>669</v>
      </c>
      <c r="P872" s="49" t="s">
        <v>23</v>
      </c>
      <c r="Q872" s="49" t="s">
        <v>41</v>
      </c>
      <c r="R872" s="49" t="s">
        <v>113</v>
      </c>
      <c r="S872" s="49">
        <v>2</v>
      </c>
      <c r="T872" s="49">
        <v>8</v>
      </c>
      <c r="U872" s="63">
        <v>31</v>
      </c>
      <c r="V872" s="63">
        <v>248</v>
      </c>
    </row>
    <row r="873" spans="1:22" x14ac:dyDescent="0.25">
      <c r="A873" s="49" t="s">
        <v>682</v>
      </c>
      <c r="B873" s="49" t="s">
        <v>22</v>
      </c>
      <c r="C873" s="49" t="s">
        <v>176</v>
      </c>
      <c r="D873" s="49" t="s">
        <v>76</v>
      </c>
      <c r="E873" s="49" t="s">
        <v>174</v>
      </c>
      <c r="F873" s="49">
        <v>2016</v>
      </c>
      <c r="G873" s="50">
        <v>43195.333333333336</v>
      </c>
      <c r="H873" s="50">
        <v>43208.5</v>
      </c>
      <c r="I873" s="54">
        <v>43195</v>
      </c>
      <c r="J873" s="54">
        <v>43208</v>
      </c>
      <c r="K873" s="51" t="s">
        <v>522</v>
      </c>
      <c r="L873" s="51">
        <v>0.5</v>
      </c>
      <c r="M873" s="51" t="s">
        <v>539</v>
      </c>
      <c r="N873" s="51" t="s">
        <v>530</v>
      </c>
      <c r="O873" s="51" t="s">
        <v>669</v>
      </c>
      <c r="P873" s="49" t="s">
        <v>23</v>
      </c>
      <c r="Q873" s="49" t="s">
        <v>33</v>
      </c>
      <c r="R873" s="49" t="s">
        <v>113</v>
      </c>
      <c r="S873" s="49">
        <v>2</v>
      </c>
      <c r="T873" s="49">
        <v>12</v>
      </c>
      <c r="U873" s="63">
        <v>52</v>
      </c>
      <c r="V873" s="63">
        <v>624</v>
      </c>
    </row>
    <row r="874" spans="1:22" x14ac:dyDescent="0.25">
      <c r="A874" s="49" t="s">
        <v>683</v>
      </c>
      <c r="B874" s="49" t="s">
        <v>11</v>
      </c>
      <c r="C874" s="49" t="s">
        <v>175</v>
      </c>
      <c r="D874" s="49" t="s">
        <v>89</v>
      </c>
      <c r="E874" s="49" t="s">
        <v>169</v>
      </c>
      <c r="F874" s="49">
        <v>2016</v>
      </c>
      <c r="G874" s="50">
        <v>43195.333333333336</v>
      </c>
      <c r="H874" s="50">
        <v>43208.5</v>
      </c>
      <c r="I874" s="54">
        <v>43195</v>
      </c>
      <c r="J874" s="54">
        <v>43208</v>
      </c>
      <c r="K874" s="51" t="s">
        <v>522</v>
      </c>
      <c r="L874" s="51">
        <v>0.5</v>
      </c>
      <c r="M874" s="51" t="s">
        <v>539</v>
      </c>
      <c r="N874" s="51" t="s">
        <v>530</v>
      </c>
      <c r="O874" s="51" t="s">
        <v>669</v>
      </c>
      <c r="P874" s="49" t="s">
        <v>23</v>
      </c>
      <c r="Q874" s="49" t="s">
        <v>16</v>
      </c>
      <c r="R874" s="49" t="s">
        <v>109</v>
      </c>
      <c r="S874" s="49">
        <v>4</v>
      </c>
      <c r="T874" s="49">
        <v>11</v>
      </c>
      <c r="U874" s="63">
        <v>61</v>
      </c>
      <c r="V874" s="63">
        <v>671</v>
      </c>
    </row>
    <row r="875" spans="1:22" x14ac:dyDescent="0.25">
      <c r="A875" s="49" t="s">
        <v>684</v>
      </c>
      <c r="B875" s="49" t="s">
        <v>14</v>
      </c>
      <c r="C875" s="49" t="s">
        <v>175</v>
      </c>
      <c r="D875" s="49" t="s">
        <v>83</v>
      </c>
      <c r="E875" s="49" t="s">
        <v>174</v>
      </c>
      <c r="F875" s="49">
        <v>2016</v>
      </c>
      <c r="G875" s="50">
        <v>43196.375</v>
      </c>
      <c r="H875" s="50">
        <v>43201.75</v>
      </c>
      <c r="I875" s="54">
        <v>43196</v>
      </c>
      <c r="J875" s="54">
        <v>43201</v>
      </c>
      <c r="K875" s="51" t="s">
        <v>525</v>
      </c>
      <c r="L875" s="51">
        <v>0.75</v>
      </c>
      <c r="M875" s="51" t="s">
        <v>540</v>
      </c>
      <c r="N875" s="51" t="s">
        <v>530</v>
      </c>
      <c r="O875" s="51" t="s">
        <v>669</v>
      </c>
      <c r="P875" s="49" t="s">
        <v>23</v>
      </c>
      <c r="Q875" s="49" t="s">
        <v>41</v>
      </c>
      <c r="R875" s="49" t="s">
        <v>113</v>
      </c>
      <c r="S875" s="49">
        <v>4</v>
      </c>
      <c r="T875" s="49">
        <v>11</v>
      </c>
      <c r="U875" s="63">
        <v>62</v>
      </c>
      <c r="V875" s="63">
        <v>682</v>
      </c>
    </row>
    <row r="876" spans="1:22" x14ac:dyDescent="0.25">
      <c r="A876" s="49" t="s">
        <v>685</v>
      </c>
      <c r="B876" s="49" t="s">
        <v>11</v>
      </c>
      <c r="C876" s="49" t="s">
        <v>175</v>
      </c>
      <c r="D876" s="49" t="s">
        <v>85</v>
      </c>
      <c r="E876" s="49" t="s">
        <v>170</v>
      </c>
      <c r="F876" s="49">
        <v>2016</v>
      </c>
      <c r="G876" s="50">
        <v>43198.791666666664</v>
      </c>
      <c r="H876" s="50">
        <v>43209.958333333336</v>
      </c>
      <c r="I876" s="54">
        <v>43198</v>
      </c>
      <c r="J876" s="54">
        <v>43209</v>
      </c>
      <c r="K876" s="51" t="s">
        <v>526</v>
      </c>
      <c r="L876" s="51">
        <v>0.95833333333333337</v>
      </c>
      <c r="M876" s="51" t="s">
        <v>541</v>
      </c>
      <c r="N876" s="51" t="s">
        <v>530</v>
      </c>
      <c r="O876" s="51" t="s">
        <v>669</v>
      </c>
      <c r="P876" s="49" t="s">
        <v>23</v>
      </c>
      <c r="Q876" s="49" t="s">
        <v>26</v>
      </c>
      <c r="R876" s="49" t="s">
        <v>113</v>
      </c>
      <c r="S876" s="49">
        <v>2</v>
      </c>
      <c r="T876" s="49">
        <v>9</v>
      </c>
      <c r="U876" s="63">
        <v>47</v>
      </c>
      <c r="V876" s="63">
        <v>423</v>
      </c>
    </row>
    <row r="877" spans="1:22" x14ac:dyDescent="0.25">
      <c r="A877" s="49" t="s">
        <v>686</v>
      </c>
      <c r="B877" s="49" t="s">
        <v>11</v>
      </c>
      <c r="C877" s="49" t="s">
        <v>175</v>
      </c>
      <c r="D877" s="49" t="s">
        <v>86</v>
      </c>
      <c r="E877" s="49" t="s">
        <v>169</v>
      </c>
      <c r="F877" s="49">
        <v>2016</v>
      </c>
      <c r="G877" s="50">
        <v>43198.791666666664</v>
      </c>
      <c r="H877" s="50">
        <v>43209.958333333336</v>
      </c>
      <c r="I877" s="54">
        <v>43198</v>
      </c>
      <c r="J877" s="54">
        <v>43209</v>
      </c>
      <c r="K877" s="51" t="s">
        <v>526</v>
      </c>
      <c r="L877" s="51">
        <v>0.95833333333333337</v>
      </c>
      <c r="M877" s="51" t="s">
        <v>541</v>
      </c>
      <c r="N877" s="51" t="s">
        <v>530</v>
      </c>
      <c r="O877" s="51" t="s">
        <v>669</v>
      </c>
      <c r="P877" s="49" t="s">
        <v>23</v>
      </c>
      <c r="Q877" s="49" t="s">
        <v>12</v>
      </c>
      <c r="R877" s="49" t="s">
        <v>113</v>
      </c>
      <c r="S877" s="49">
        <v>5</v>
      </c>
      <c r="T877" s="49">
        <v>9</v>
      </c>
      <c r="U877" s="63">
        <v>47</v>
      </c>
      <c r="V877" s="63">
        <v>423</v>
      </c>
    </row>
    <row r="878" spans="1:22" x14ac:dyDescent="0.25">
      <c r="A878" s="49" t="s">
        <v>687</v>
      </c>
      <c r="B878" s="49" t="s">
        <v>45</v>
      </c>
      <c r="C878" s="49" t="s">
        <v>177</v>
      </c>
      <c r="D878" s="49" t="s">
        <v>89</v>
      </c>
      <c r="E878" s="49" t="s">
        <v>169</v>
      </c>
      <c r="F878" s="49">
        <v>2016</v>
      </c>
      <c r="G878" s="50">
        <v>43199.791666666664</v>
      </c>
      <c r="H878" s="50">
        <v>43212.958333333336</v>
      </c>
      <c r="I878" s="54">
        <v>43199</v>
      </c>
      <c r="J878" s="54">
        <v>43212</v>
      </c>
      <c r="K878" s="51" t="s">
        <v>526</v>
      </c>
      <c r="L878" s="51">
        <v>0.95833333333333337</v>
      </c>
      <c r="M878" s="51" t="s">
        <v>541</v>
      </c>
      <c r="N878" s="51" t="s">
        <v>530</v>
      </c>
      <c r="O878" s="51" t="s">
        <v>669</v>
      </c>
      <c r="P878" s="49" t="s">
        <v>23</v>
      </c>
      <c r="Q878" s="49" t="s">
        <v>12</v>
      </c>
      <c r="R878" s="49" t="s">
        <v>113</v>
      </c>
      <c r="S878" s="49">
        <v>2</v>
      </c>
      <c r="T878" s="49">
        <v>11</v>
      </c>
      <c r="U878" s="63">
        <v>61</v>
      </c>
      <c r="V878" s="63">
        <v>671</v>
      </c>
    </row>
    <row r="879" spans="1:22" x14ac:dyDescent="0.25">
      <c r="A879" s="49" t="s">
        <v>688</v>
      </c>
      <c r="B879" s="49" t="s">
        <v>14</v>
      </c>
      <c r="C879" s="49" t="s">
        <v>175</v>
      </c>
      <c r="D879" s="49" t="s">
        <v>80</v>
      </c>
      <c r="E879" s="49" t="s">
        <v>173</v>
      </c>
      <c r="F879" s="49">
        <v>2016</v>
      </c>
      <c r="G879" s="50">
        <v>43199.791666666664</v>
      </c>
      <c r="H879" s="50">
        <v>43212.958333333336</v>
      </c>
      <c r="I879" s="54">
        <v>43199</v>
      </c>
      <c r="J879" s="54">
        <v>43212</v>
      </c>
      <c r="K879" s="51" t="s">
        <v>526</v>
      </c>
      <c r="L879" s="51">
        <v>0.95833333333333337</v>
      </c>
      <c r="M879" s="51" t="s">
        <v>541</v>
      </c>
      <c r="N879" s="51" t="s">
        <v>530</v>
      </c>
      <c r="O879" s="51" t="s">
        <v>669</v>
      </c>
      <c r="P879" s="49" t="s">
        <v>9</v>
      </c>
      <c r="Q879" s="49" t="s">
        <v>190</v>
      </c>
      <c r="R879" s="49" t="s">
        <v>109</v>
      </c>
      <c r="S879" s="49">
        <v>2</v>
      </c>
      <c r="T879" s="49">
        <v>9</v>
      </c>
      <c r="U879" s="63">
        <v>31</v>
      </c>
      <c r="V879" s="63">
        <v>279</v>
      </c>
    </row>
    <row r="880" spans="1:22" x14ac:dyDescent="0.25">
      <c r="A880" s="49" t="s">
        <v>689</v>
      </c>
      <c r="B880" s="49" t="s">
        <v>45</v>
      </c>
      <c r="C880" s="49" t="s">
        <v>177</v>
      </c>
      <c r="D880" s="49" t="s">
        <v>89</v>
      </c>
      <c r="E880" s="49" t="s">
        <v>169</v>
      </c>
      <c r="F880" s="49">
        <v>2016</v>
      </c>
      <c r="G880" s="50">
        <v>43199.791666666664</v>
      </c>
      <c r="H880" s="50">
        <v>43212.958333333336</v>
      </c>
      <c r="I880" s="54">
        <v>43199</v>
      </c>
      <c r="J880" s="54">
        <v>43212</v>
      </c>
      <c r="K880" s="51" t="s">
        <v>526</v>
      </c>
      <c r="L880" s="51">
        <v>0.95833333333333337</v>
      </c>
      <c r="M880" s="51" t="s">
        <v>541</v>
      </c>
      <c r="N880" s="51" t="s">
        <v>530</v>
      </c>
      <c r="O880" s="51" t="s">
        <v>669</v>
      </c>
      <c r="P880" s="49" t="s">
        <v>23</v>
      </c>
      <c r="Q880" s="49" t="s">
        <v>33</v>
      </c>
      <c r="R880" s="49" t="s">
        <v>113</v>
      </c>
      <c r="S880" s="49">
        <v>4</v>
      </c>
      <c r="T880" s="49">
        <v>8</v>
      </c>
      <c r="U880" s="63">
        <v>61</v>
      </c>
      <c r="V880" s="63">
        <v>488</v>
      </c>
    </row>
    <row r="881" spans="1:22" x14ac:dyDescent="0.25">
      <c r="A881" s="49" t="s">
        <v>690</v>
      </c>
      <c r="B881" s="49" t="s">
        <v>19</v>
      </c>
      <c r="C881" s="49" t="s">
        <v>176</v>
      </c>
      <c r="D881" s="49" t="s">
        <v>85</v>
      </c>
      <c r="E881" s="49" t="s">
        <v>170</v>
      </c>
      <c r="F881" s="49">
        <v>2016</v>
      </c>
      <c r="G881" s="50">
        <v>43201.375</v>
      </c>
      <c r="H881" s="50">
        <v>43207.75</v>
      </c>
      <c r="I881" s="54">
        <v>43201</v>
      </c>
      <c r="J881" s="54">
        <v>43207</v>
      </c>
      <c r="K881" s="51" t="s">
        <v>525</v>
      </c>
      <c r="L881" s="51">
        <v>0.75</v>
      </c>
      <c r="M881" s="51" t="s">
        <v>540</v>
      </c>
      <c r="N881" s="51" t="s">
        <v>530</v>
      </c>
      <c r="O881" s="51" t="s">
        <v>669</v>
      </c>
      <c r="P881" s="49" t="s">
        <v>23</v>
      </c>
      <c r="Q881" s="49" t="s">
        <v>190</v>
      </c>
      <c r="R881" s="49" t="s">
        <v>109</v>
      </c>
      <c r="S881" s="49">
        <v>5</v>
      </c>
      <c r="T881" s="49">
        <v>8</v>
      </c>
      <c r="U881" s="63">
        <v>47</v>
      </c>
      <c r="V881" s="63">
        <v>376</v>
      </c>
    </row>
    <row r="882" spans="1:22" x14ac:dyDescent="0.25">
      <c r="A882" s="49" t="s">
        <v>691</v>
      </c>
      <c r="B882" s="49" t="s">
        <v>11</v>
      </c>
      <c r="C882" s="49" t="s">
        <v>175</v>
      </c>
      <c r="D882" s="49" t="s">
        <v>83</v>
      </c>
      <c r="E882" s="49" t="s">
        <v>174</v>
      </c>
      <c r="F882" s="49">
        <v>2016</v>
      </c>
      <c r="G882" s="50">
        <v>43201.375</v>
      </c>
      <c r="H882" s="50">
        <v>43207.75</v>
      </c>
      <c r="I882" s="54">
        <v>43201</v>
      </c>
      <c r="J882" s="54">
        <v>43207</v>
      </c>
      <c r="K882" s="51" t="s">
        <v>525</v>
      </c>
      <c r="L882" s="51">
        <v>0.75</v>
      </c>
      <c r="M882" s="51" t="s">
        <v>540</v>
      </c>
      <c r="N882" s="51" t="s">
        <v>530</v>
      </c>
      <c r="O882" s="51" t="s">
        <v>669</v>
      </c>
      <c r="P882" s="49" t="s">
        <v>9</v>
      </c>
      <c r="Q882" s="49" t="s">
        <v>35</v>
      </c>
      <c r="R882" s="49" t="s">
        <v>109</v>
      </c>
      <c r="S882" s="49">
        <v>5</v>
      </c>
      <c r="T882" s="49">
        <v>10</v>
      </c>
      <c r="U882" s="63">
        <v>62</v>
      </c>
      <c r="V882" s="63">
        <v>620</v>
      </c>
    </row>
    <row r="883" spans="1:22" x14ac:dyDescent="0.25">
      <c r="A883" s="49" t="s">
        <v>692</v>
      </c>
      <c r="B883" s="49" t="s">
        <v>17</v>
      </c>
      <c r="C883" s="49" t="s">
        <v>176</v>
      </c>
      <c r="D883" s="49" t="s">
        <v>79</v>
      </c>
      <c r="E883" s="49" t="s">
        <v>168</v>
      </c>
      <c r="F883" s="49">
        <v>2016</v>
      </c>
      <c r="G883" s="50">
        <v>43201.375</v>
      </c>
      <c r="H883" s="50">
        <v>43207.75</v>
      </c>
      <c r="I883" s="54">
        <v>43201</v>
      </c>
      <c r="J883" s="54">
        <v>43207</v>
      </c>
      <c r="K883" s="51" t="s">
        <v>525</v>
      </c>
      <c r="L883" s="51">
        <v>0.75</v>
      </c>
      <c r="M883" s="51" t="s">
        <v>540</v>
      </c>
      <c r="N883" s="51" t="s">
        <v>530</v>
      </c>
      <c r="O883" s="51" t="s">
        <v>669</v>
      </c>
      <c r="P883" s="49" t="s">
        <v>23</v>
      </c>
      <c r="Q883" s="49" t="s">
        <v>38</v>
      </c>
      <c r="R883" s="49" t="s">
        <v>113</v>
      </c>
      <c r="S883" s="49">
        <v>4</v>
      </c>
      <c r="T883" s="49">
        <v>12</v>
      </c>
      <c r="U883" s="63">
        <v>47</v>
      </c>
      <c r="V883" s="63">
        <v>564</v>
      </c>
    </row>
    <row r="884" spans="1:22" x14ac:dyDescent="0.25">
      <c r="A884" s="49" t="s">
        <v>693</v>
      </c>
      <c r="B884" s="49" t="s">
        <v>11</v>
      </c>
      <c r="C884" s="49" t="s">
        <v>175</v>
      </c>
      <c r="D884" s="49" t="s">
        <v>82</v>
      </c>
      <c r="E884" s="49" t="s">
        <v>172</v>
      </c>
      <c r="F884" s="49">
        <v>2016</v>
      </c>
      <c r="G884" s="50">
        <v>43202.333333333336</v>
      </c>
      <c r="H884" s="50">
        <v>43215.5</v>
      </c>
      <c r="I884" s="54">
        <v>43202</v>
      </c>
      <c r="J884" s="54">
        <v>43215</v>
      </c>
      <c r="K884" s="51" t="s">
        <v>522</v>
      </c>
      <c r="L884" s="51">
        <v>0.5</v>
      </c>
      <c r="M884" s="51" t="s">
        <v>539</v>
      </c>
      <c r="N884" s="51" t="s">
        <v>530</v>
      </c>
      <c r="O884" s="51" t="s">
        <v>669</v>
      </c>
      <c r="P884" s="49" t="s">
        <v>23</v>
      </c>
      <c r="Q884" s="49" t="s">
        <v>16</v>
      </c>
      <c r="R884" s="49" t="s">
        <v>109</v>
      </c>
      <c r="S884" s="49">
        <v>3</v>
      </c>
      <c r="T884" s="49">
        <v>8</v>
      </c>
      <c r="U884" s="63">
        <v>73</v>
      </c>
      <c r="V884" s="63">
        <v>584</v>
      </c>
    </row>
    <row r="885" spans="1:22" x14ac:dyDescent="0.25">
      <c r="A885" s="49" t="s">
        <v>694</v>
      </c>
      <c r="B885" s="49" t="s">
        <v>29</v>
      </c>
      <c r="C885" s="49" t="s">
        <v>177</v>
      </c>
      <c r="D885" s="49" t="s">
        <v>80</v>
      </c>
      <c r="E885" s="49" t="s">
        <v>173</v>
      </c>
      <c r="F885" s="49">
        <v>2016</v>
      </c>
      <c r="G885" s="50">
        <v>43203.375</v>
      </c>
      <c r="H885" s="50">
        <v>43208.75</v>
      </c>
      <c r="I885" s="54">
        <v>43203</v>
      </c>
      <c r="J885" s="54">
        <v>43208</v>
      </c>
      <c r="K885" s="51" t="s">
        <v>525</v>
      </c>
      <c r="L885" s="51">
        <v>0.75</v>
      </c>
      <c r="M885" s="51" t="s">
        <v>540</v>
      </c>
      <c r="N885" s="51" t="s">
        <v>530</v>
      </c>
      <c r="O885" s="51" t="s">
        <v>669</v>
      </c>
      <c r="P885" s="49" t="s">
        <v>23</v>
      </c>
      <c r="Q885" s="49" t="s">
        <v>18</v>
      </c>
      <c r="R885" s="49" t="s">
        <v>113</v>
      </c>
      <c r="S885" s="49">
        <v>2</v>
      </c>
      <c r="T885" s="49">
        <v>8</v>
      </c>
      <c r="U885" s="63">
        <v>31</v>
      </c>
      <c r="V885" s="63">
        <v>248</v>
      </c>
    </row>
    <row r="886" spans="1:22" x14ac:dyDescent="0.25">
      <c r="A886" s="49" t="s">
        <v>695</v>
      </c>
      <c r="B886" s="49" t="s">
        <v>45</v>
      </c>
      <c r="C886" s="49" t="s">
        <v>177</v>
      </c>
      <c r="D886" s="49" t="s">
        <v>78</v>
      </c>
      <c r="E886" s="49" t="s">
        <v>172</v>
      </c>
      <c r="F886" s="49">
        <v>2016</v>
      </c>
      <c r="G886" s="50">
        <v>43203.375</v>
      </c>
      <c r="H886" s="50">
        <v>43208.75</v>
      </c>
      <c r="I886" s="54">
        <v>43203</v>
      </c>
      <c r="J886" s="54">
        <v>43208</v>
      </c>
      <c r="K886" s="51" t="s">
        <v>525</v>
      </c>
      <c r="L886" s="51">
        <v>0.75</v>
      </c>
      <c r="M886" s="51" t="s">
        <v>540</v>
      </c>
      <c r="N886" s="51" t="s">
        <v>530</v>
      </c>
      <c r="O886" s="51" t="s">
        <v>669</v>
      </c>
      <c r="P886" s="49" t="s">
        <v>23</v>
      </c>
      <c r="Q886" s="49" t="s">
        <v>33</v>
      </c>
      <c r="R886" s="49" t="s">
        <v>113</v>
      </c>
      <c r="S886" s="49">
        <v>2</v>
      </c>
      <c r="T886" s="49">
        <v>9</v>
      </c>
      <c r="U886" s="63">
        <v>61</v>
      </c>
      <c r="V886" s="63">
        <v>549</v>
      </c>
    </row>
    <row r="887" spans="1:22" x14ac:dyDescent="0.25">
      <c r="A887" s="49" t="s">
        <v>696</v>
      </c>
      <c r="B887" s="49" t="s">
        <v>22</v>
      </c>
      <c r="C887" s="49" t="s">
        <v>176</v>
      </c>
      <c r="D887" s="49" t="s">
        <v>76</v>
      </c>
      <c r="E887" s="49" t="s">
        <v>174</v>
      </c>
      <c r="F887" s="49">
        <v>2016</v>
      </c>
      <c r="G887" s="50">
        <v>43205.791666666664</v>
      </c>
      <c r="H887" s="50">
        <v>43216.958333333336</v>
      </c>
      <c r="I887" s="54">
        <v>43205</v>
      </c>
      <c r="J887" s="54">
        <v>43216</v>
      </c>
      <c r="K887" s="51" t="s">
        <v>526</v>
      </c>
      <c r="L887" s="51">
        <v>0.95833333333333337</v>
      </c>
      <c r="M887" s="51" t="s">
        <v>541</v>
      </c>
      <c r="N887" s="51" t="s">
        <v>530</v>
      </c>
      <c r="O887" s="51" t="s">
        <v>669</v>
      </c>
      <c r="P887" s="49" t="s">
        <v>9</v>
      </c>
      <c r="Q887" s="49" t="s">
        <v>28</v>
      </c>
      <c r="R887" s="49" t="s">
        <v>109</v>
      </c>
      <c r="S887" s="49">
        <v>4</v>
      </c>
      <c r="T887" s="49">
        <v>9</v>
      </c>
      <c r="U887" s="63">
        <v>52</v>
      </c>
      <c r="V887" s="63">
        <v>468</v>
      </c>
    </row>
    <row r="888" spans="1:22" x14ac:dyDescent="0.25">
      <c r="A888" s="49" t="s">
        <v>697</v>
      </c>
      <c r="B888" s="49" t="s">
        <v>19</v>
      </c>
      <c r="C888" s="49" t="s">
        <v>176</v>
      </c>
      <c r="D888" s="49" t="s">
        <v>80</v>
      </c>
      <c r="E888" s="49" t="s">
        <v>173</v>
      </c>
      <c r="F888" s="49">
        <v>2016</v>
      </c>
      <c r="G888" s="50">
        <v>43205.791666666664</v>
      </c>
      <c r="H888" s="50">
        <v>43216.958333333336</v>
      </c>
      <c r="I888" s="54">
        <v>43205</v>
      </c>
      <c r="J888" s="54">
        <v>43216</v>
      </c>
      <c r="K888" s="51" t="s">
        <v>526</v>
      </c>
      <c r="L888" s="51">
        <v>0.95833333333333337</v>
      </c>
      <c r="M888" s="51" t="s">
        <v>541</v>
      </c>
      <c r="N888" s="51" t="s">
        <v>530</v>
      </c>
      <c r="O888" s="51" t="s">
        <v>669</v>
      </c>
      <c r="P888" s="49" t="s">
        <v>23</v>
      </c>
      <c r="Q888" s="49" t="s">
        <v>16</v>
      </c>
      <c r="R888" s="49" t="s">
        <v>109</v>
      </c>
      <c r="S888" s="49">
        <v>5</v>
      </c>
      <c r="T888" s="49">
        <v>8</v>
      </c>
      <c r="U888" s="63">
        <v>31</v>
      </c>
      <c r="V888" s="63">
        <v>248</v>
      </c>
    </row>
    <row r="889" spans="1:22" x14ac:dyDescent="0.25">
      <c r="A889" s="49" t="s">
        <v>698</v>
      </c>
      <c r="B889" s="49" t="s">
        <v>45</v>
      </c>
      <c r="C889" s="49" t="s">
        <v>177</v>
      </c>
      <c r="D889" s="49" t="s">
        <v>89</v>
      </c>
      <c r="E889" s="49" t="s">
        <v>169</v>
      </c>
      <c r="F889" s="49">
        <v>2016</v>
      </c>
      <c r="G889" s="50">
        <v>43205.791666666664</v>
      </c>
      <c r="H889" s="50">
        <v>43216.958333333336</v>
      </c>
      <c r="I889" s="54">
        <v>43205</v>
      </c>
      <c r="J889" s="54">
        <v>43216</v>
      </c>
      <c r="K889" s="51" t="s">
        <v>526</v>
      </c>
      <c r="L889" s="51">
        <v>0.95833333333333337</v>
      </c>
      <c r="M889" s="51" t="s">
        <v>541</v>
      </c>
      <c r="N889" s="51" t="s">
        <v>530</v>
      </c>
      <c r="O889" s="51" t="s">
        <v>669</v>
      </c>
      <c r="P889" s="49" t="s">
        <v>23</v>
      </c>
      <c r="Q889" s="49" t="s">
        <v>35</v>
      </c>
      <c r="R889" s="49" t="s">
        <v>109</v>
      </c>
      <c r="S889" s="49">
        <v>2</v>
      </c>
      <c r="T889" s="49">
        <v>10</v>
      </c>
      <c r="U889" s="63">
        <v>61</v>
      </c>
      <c r="V889" s="63">
        <v>610</v>
      </c>
    </row>
    <row r="890" spans="1:22" x14ac:dyDescent="0.25">
      <c r="A890" s="49" t="s">
        <v>699</v>
      </c>
      <c r="B890" s="49" t="s">
        <v>22</v>
      </c>
      <c r="C890" s="49" t="s">
        <v>176</v>
      </c>
      <c r="D890" s="49" t="s">
        <v>81</v>
      </c>
      <c r="E890" s="49" t="s">
        <v>172</v>
      </c>
      <c r="F890" s="49">
        <v>2016</v>
      </c>
      <c r="G890" s="50">
        <v>43205.791666666664</v>
      </c>
      <c r="H890" s="50">
        <v>43216.958333333336</v>
      </c>
      <c r="I890" s="54">
        <v>43205</v>
      </c>
      <c r="J890" s="54">
        <v>43216</v>
      </c>
      <c r="K890" s="51" t="s">
        <v>526</v>
      </c>
      <c r="L890" s="51">
        <v>0.95833333333333337</v>
      </c>
      <c r="M890" s="51" t="s">
        <v>541</v>
      </c>
      <c r="N890" s="51" t="s">
        <v>530</v>
      </c>
      <c r="O890" s="51" t="s">
        <v>669</v>
      </c>
      <c r="P890" s="49" t="s">
        <v>23</v>
      </c>
      <c r="Q890" s="49" t="s">
        <v>12</v>
      </c>
      <c r="R890" s="49" t="s">
        <v>113</v>
      </c>
      <c r="S890" s="49">
        <v>5</v>
      </c>
      <c r="T890" s="49">
        <v>8</v>
      </c>
      <c r="U890" s="63">
        <v>42</v>
      </c>
      <c r="V890" s="63">
        <v>336</v>
      </c>
    </row>
    <row r="891" spans="1:22" x14ac:dyDescent="0.25">
      <c r="A891" s="49" t="s">
        <v>700</v>
      </c>
      <c r="B891" s="49" t="s">
        <v>29</v>
      </c>
      <c r="C891" s="49" t="s">
        <v>177</v>
      </c>
      <c r="D891" s="49" t="s">
        <v>78</v>
      </c>
      <c r="E891" s="49" t="s">
        <v>172</v>
      </c>
      <c r="F891" s="49">
        <v>2016</v>
      </c>
      <c r="G891" s="50">
        <v>43205.791666666664</v>
      </c>
      <c r="H891" s="50">
        <v>43216.958333333336</v>
      </c>
      <c r="I891" s="54">
        <v>43205</v>
      </c>
      <c r="J891" s="54">
        <v>43216</v>
      </c>
      <c r="K891" s="51" t="s">
        <v>526</v>
      </c>
      <c r="L891" s="51">
        <v>0.95833333333333337</v>
      </c>
      <c r="M891" s="51" t="s">
        <v>541</v>
      </c>
      <c r="N891" s="51" t="s">
        <v>530</v>
      </c>
      <c r="O891" s="51" t="s">
        <v>669</v>
      </c>
      <c r="P891" s="49" t="s">
        <v>9</v>
      </c>
      <c r="Q891" s="49" t="s">
        <v>16</v>
      </c>
      <c r="R891" s="49" t="s">
        <v>109</v>
      </c>
      <c r="S891" s="49">
        <v>5</v>
      </c>
      <c r="T891" s="49">
        <v>9</v>
      </c>
      <c r="U891" s="63">
        <v>61</v>
      </c>
      <c r="V891" s="63">
        <v>549</v>
      </c>
    </row>
    <row r="892" spans="1:22" x14ac:dyDescent="0.25">
      <c r="A892" s="49" t="s">
        <v>701</v>
      </c>
      <c r="B892" s="49" t="s">
        <v>19</v>
      </c>
      <c r="C892" s="49" t="s">
        <v>176</v>
      </c>
      <c r="D892" s="49" t="s">
        <v>80</v>
      </c>
      <c r="E892" s="49" t="s">
        <v>173</v>
      </c>
      <c r="F892" s="49">
        <v>2016</v>
      </c>
      <c r="G892" s="50">
        <v>43205.791666666664</v>
      </c>
      <c r="H892" s="50">
        <v>43216.958333333336</v>
      </c>
      <c r="I892" s="54">
        <v>43205</v>
      </c>
      <c r="J892" s="54">
        <v>43216</v>
      </c>
      <c r="K892" s="51" t="s">
        <v>526</v>
      </c>
      <c r="L892" s="51">
        <v>0.95833333333333337</v>
      </c>
      <c r="M892" s="51" t="s">
        <v>541</v>
      </c>
      <c r="N892" s="51" t="s">
        <v>530</v>
      </c>
      <c r="O892" s="51" t="s">
        <v>669</v>
      </c>
      <c r="P892" s="49" t="s">
        <v>23</v>
      </c>
      <c r="Q892" s="49" t="s">
        <v>41</v>
      </c>
      <c r="R892" s="49" t="s">
        <v>113</v>
      </c>
      <c r="S892" s="49">
        <v>5</v>
      </c>
      <c r="T892" s="49">
        <v>9</v>
      </c>
      <c r="U892" s="63">
        <v>31</v>
      </c>
      <c r="V892" s="63">
        <v>279</v>
      </c>
    </row>
    <row r="893" spans="1:22" x14ac:dyDescent="0.25">
      <c r="A893" s="49" t="s">
        <v>702</v>
      </c>
      <c r="B893" s="49" t="s">
        <v>45</v>
      </c>
      <c r="C893" s="49" t="s">
        <v>177</v>
      </c>
      <c r="D893" s="49" t="s">
        <v>78</v>
      </c>
      <c r="E893" s="49" t="s">
        <v>172</v>
      </c>
      <c r="F893" s="49">
        <v>2016</v>
      </c>
      <c r="G893" s="50">
        <v>43205.791666666664</v>
      </c>
      <c r="H893" s="50">
        <v>43216.958333333336</v>
      </c>
      <c r="I893" s="54">
        <v>43205</v>
      </c>
      <c r="J893" s="54">
        <v>43216</v>
      </c>
      <c r="K893" s="51" t="s">
        <v>526</v>
      </c>
      <c r="L893" s="51">
        <v>0.95833333333333337</v>
      </c>
      <c r="M893" s="51" t="s">
        <v>541</v>
      </c>
      <c r="N893" s="51" t="s">
        <v>530</v>
      </c>
      <c r="O893" s="51" t="s">
        <v>669</v>
      </c>
      <c r="P893" s="49" t="s">
        <v>9</v>
      </c>
      <c r="Q893" s="49" t="s">
        <v>16</v>
      </c>
      <c r="R893" s="49" t="s">
        <v>109</v>
      </c>
      <c r="S893" s="49">
        <v>3</v>
      </c>
      <c r="T893" s="49">
        <v>10</v>
      </c>
      <c r="U893" s="63">
        <v>61</v>
      </c>
      <c r="V893" s="63">
        <v>610</v>
      </c>
    </row>
    <row r="894" spans="1:22" x14ac:dyDescent="0.25">
      <c r="A894" s="49" t="s">
        <v>703</v>
      </c>
      <c r="B894" s="49" t="s">
        <v>11</v>
      </c>
      <c r="C894" s="49" t="s">
        <v>175</v>
      </c>
      <c r="D894" s="49" t="s">
        <v>88</v>
      </c>
      <c r="E894" s="49" t="s">
        <v>170</v>
      </c>
      <c r="F894" s="49">
        <v>2016</v>
      </c>
      <c r="G894" s="50">
        <v>43205.791666666664</v>
      </c>
      <c r="H894" s="50">
        <v>43216.958333333336</v>
      </c>
      <c r="I894" s="54">
        <v>43205</v>
      </c>
      <c r="J894" s="54">
        <v>43216</v>
      </c>
      <c r="K894" s="51" t="s">
        <v>526</v>
      </c>
      <c r="L894" s="51">
        <v>0.95833333333333337</v>
      </c>
      <c r="M894" s="51" t="s">
        <v>541</v>
      </c>
      <c r="N894" s="51" t="s">
        <v>530</v>
      </c>
      <c r="O894" s="51" t="s">
        <v>669</v>
      </c>
      <c r="P894" s="49" t="s">
        <v>9</v>
      </c>
      <c r="Q894" s="49" t="s">
        <v>24</v>
      </c>
      <c r="R894" s="49" t="s">
        <v>113</v>
      </c>
      <c r="S894" s="49">
        <v>5</v>
      </c>
      <c r="T894" s="49">
        <v>8</v>
      </c>
      <c r="U894" s="63">
        <v>41</v>
      </c>
      <c r="V894" s="63">
        <v>328</v>
      </c>
    </row>
    <row r="895" spans="1:22" x14ac:dyDescent="0.25">
      <c r="A895" s="49" t="s">
        <v>704</v>
      </c>
      <c r="B895" s="49" t="s">
        <v>17</v>
      </c>
      <c r="C895" s="49" t="s">
        <v>176</v>
      </c>
      <c r="D895" s="49" t="s">
        <v>88</v>
      </c>
      <c r="E895" s="49" t="s">
        <v>170</v>
      </c>
      <c r="F895" s="49">
        <v>2016</v>
      </c>
      <c r="G895" s="50">
        <v>43207.583333333336</v>
      </c>
      <c r="H895" s="50">
        <v>43220.75</v>
      </c>
      <c r="I895" s="54">
        <v>43207</v>
      </c>
      <c r="J895" s="54">
        <v>43220</v>
      </c>
      <c r="K895" s="51" t="s">
        <v>527</v>
      </c>
      <c r="L895" s="51">
        <v>0.75</v>
      </c>
      <c r="M895" s="51" t="s">
        <v>542</v>
      </c>
      <c r="N895" s="51" t="s">
        <v>530</v>
      </c>
      <c r="O895" s="51" t="s">
        <v>669</v>
      </c>
      <c r="P895" s="49" t="s">
        <v>9</v>
      </c>
      <c r="Q895" s="49" t="s">
        <v>22</v>
      </c>
      <c r="R895" s="49" t="s">
        <v>109</v>
      </c>
      <c r="S895" s="49">
        <v>4</v>
      </c>
      <c r="T895" s="49">
        <v>11</v>
      </c>
      <c r="U895" s="63">
        <v>41</v>
      </c>
      <c r="V895" s="63">
        <v>451</v>
      </c>
    </row>
    <row r="896" spans="1:22" x14ac:dyDescent="0.25">
      <c r="A896" s="49" t="s">
        <v>705</v>
      </c>
      <c r="B896" s="49" t="s">
        <v>11</v>
      </c>
      <c r="C896" s="49" t="s">
        <v>175</v>
      </c>
      <c r="D896" s="49" t="s">
        <v>79</v>
      </c>
      <c r="E896" s="49" t="s">
        <v>168</v>
      </c>
      <c r="F896" s="49">
        <v>2016</v>
      </c>
      <c r="G896" s="50">
        <v>43208.375</v>
      </c>
      <c r="H896" s="50">
        <v>43214.75</v>
      </c>
      <c r="I896" s="54">
        <v>43208</v>
      </c>
      <c r="J896" s="54">
        <v>43214</v>
      </c>
      <c r="K896" s="51" t="s">
        <v>525</v>
      </c>
      <c r="L896" s="51">
        <v>0.75</v>
      </c>
      <c r="M896" s="51" t="s">
        <v>540</v>
      </c>
      <c r="N896" s="51" t="s">
        <v>530</v>
      </c>
      <c r="O896" s="51" t="s">
        <v>669</v>
      </c>
      <c r="P896" s="49" t="s">
        <v>23</v>
      </c>
      <c r="Q896" s="49" t="s">
        <v>33</v>
      </c>
      <c r="R896" s="49" t="s">
        <v>113</v>
      </c>
      <c r="S896" s="49">
        <v>5</v>
      </c>
      <c r="T896" s="49">
        <v>11</v>
      </c>
      <c r="U896" s="63">
        <v>47</v>
      </c>
      <c r="V896" s="63">
        <v>517</v>
      </c>
    </row>
    <row r="897" spans="1:22" x14ac:dyDescent="0.25">
      <c r="A897" s="49" t="s">
        <v>706</v>
      </c>
      <c r="B897" s="49" t="s">
        <v>29</v>
      </c>
      <c r="C897" s="49" t="s">
        <v>177</v>
      </c>
      <c r="D897" s="49" t="s">
        <v>89</v>
      </c>
      <c r="E897" s="49" t="s">
        <v>169</v>
      </c>
      <c r="F897" s="49">
        <v>2016</v>
      </c>
      <c r="G897" s="50">
        <v>43210.375</v>
      </c>
      <c r="H897" s="50">
        <v>43215.75</v>
      </c>
      <c r="I897" s="54">
        <v>43210</v>
      </c>
      <c r="J897" s="54">
        <v>43215</v>
      </c>
      <c r="K897" s="51" t="s">
        <v>525</v>
      </c>
      <c r="L897" s="51">
        <v>0.75</v>
      </c>
      <c r="M897" s="51" t="s">
        <v>540</v>
      </c>
      <c r="N897" s="51" t="s">
        <v>530</v>
      </c>
      <c r="O897" s="51" t="s">
        <v>669</v>
      </c>
      <c r="P897" s="49" t="s">
        <v>23</v>
      </c>
      <c r="Q897" s="49" t="s">
        <v>12</v>
      </c>
      <c r="R897" s="49" t="s">
        <v>113</v>
      </c>
      <c r="S897" s="49">
        <v>3</v>
      </c>
      <c r="T897" s="49">
        <v>10</v>
      </c>
      <c r="U897" s="63">
        <v>61</v>
      </c>
      <c r="V897" s="63">
        <v>610</v>
      </c>
    </row>
    <row r="898" spans="1:22" x14ac:dyDescent="0.25">
      <c r="A898" s="49" t="s">
        <v>707</v>
      </c>
      <c r="B898" s="49" t="s">
        <v>7</v>
      </c>
      <c r="C898" s="49" t="s">
        <v>175</v>
      </c>
      <c r="D898" s="49" t="s">
        <v>83</v>
      </c>
      <c r="E898" s="49" t="s">
        <v>174</v>
      </c>
      <c r="F898" s="49">
        <v>2016</v>
      </c>
      <c r="G898" s="50">
        <v>43210.375</v>
      </c>
      <c r="H898" s="50">
        <v>43215.75</v>
      </c>
      <c r="I898" s="54">
        <v>43210</v>
      </c>
      <c r="J898" s="54">
        <v>43215</v>
      </c>
      <c r="K898" s="51" t="s">
        <v>525</v>
      </c>
      <c r="L898" s="51">
        <v>0.75</v>
      </c>
      <c r="M898" s="51" t="s">
        <v>540</v>
      </c>
      <c r="N898" s="51" t="s">
        <v>530</v>
      </c>
      <c r="O898" s="51" t="s">
        <v>669</v>
      </c>
      <c r="P898" s="49" t="s">
        <v>9</v>
      </c>
      <c r="Q898" s="49" t="s">
        <v>28</v>
      </c>
      <c r="R898" s="49" t="s">
        <v>109</v>
      </c>
      <c r="S898" s="49">
        <v>2</v>
      </c>
      <c r="T898" s="49">
        <v>8</v>
      </c>
      <c r="U898" s="63">
        <v>62</v>
      </c>
      <c r="V898" s="63">
        <v>496</v>
      </c>
    </row>
    <row r="899" spans="1:22" x14ac:dyDescent="0.25">
      <c r="A899" s="49" t="s">
        <v>708</v>
      </c>
      <c r="B899" s="49" t="s">
        <v>19</v>
      </c>
      <c r="C899" s="49" t="s">
        <v>176</v>
      </c>
      <c r="D899" s="49" t="s">
        <v>86</v>
      </c>
      <c r="E899" s="49" t="s">
        <v>169</v>
      </c>
      <c r="F899" s="49">
        <v>2016</v>
      </c>
      <c r="G899" s="50">
        <v>43212.791666666664</v>
      </c>
      <c r="H899" s="50">
        <v>43223.958333333336</v>
      </c>
      <c r="I899" s="54">
        <v>43212</v>
      </c>
      <c r="J899" s="54">
        <v>43223</v>
      </c>
      <c r="K899" s="51" t="s">
        <v>526</v>
      </c>
      <c r="L899" s="51">
        <v>0.95833333333333337</v>
      </c>
      <c r="M899" s="51" t="s">
        <v>541</v>
      </c>
      <c r="N899" s="51" t="s">
        <v>530</v>
      </c>
      <c r="O899" s="51" t="s">
        <v>669</v>
      </c>
      <c r="P899" s="49" t="s">
        <v>9</v>
      </c>
      <c r="Q899" s="49" t="s">
        <v>33</v>
      </c>
      <c r="R899" s="49" t="s">
        <v>113</v>
      </c>
      <c r="S899" s="49">
        <v>5</v>
      </c>
      <c r="T899" s="49">
        <v>10</v>
      </c>
      <c r="U899" s="63">
        <v>47</v>
      </c>
      <c r="V899" s="63">
        <v>470</v>
      </c>
    </row>
    <row r="900" spans="1:22" x14ac:dyDescent="0.25">
      <c r="A900" s="49" t="s">
        <v>709</v>
      </c>
      <c r="B900" s="49" t="s">
        <v>7</v>
      </c>
      <c r="C900" s="49" t="s">
        <v>175</v>
      </c>
      <c r="D900" s="49" t="s">
        <v>84</v>
      </c>
      <c r="E900" s="49" t="s">
        <v>172</v>
      </c>
      <c r="F900" s="49">
        <v>2016</v>
      </c>
      <c r="G900" s="50">
        <v>43212.791666666664</v>
      </c>
      <c r="H900" s="50">
        <v>43223.958333333336</v>
      </c>
      <c r="I900" s="54">
        <v>43212</v>
      </c>
      <c r="J900" s="54">
        <v>43223</v>
      </c>
      <c r="K900" s="51" t="s">
        <v>526</v>
      </c>
      <c r="L900" s="51">
        <v>0.95833333333333337</v>
      </c>
      <c r="M900" s="51" t="s">
        <v>541</v>
      </c>
      <c r="N900" s="51" t="s">
        <v>530</v>
      </c>
      <c r="O900" s="51" t="s">
        <v>669</v>
      </c>
      <c r="P900" s="49" t="s">
        <v>23</v>
      </c>
      <c r="Q900" s="49" t="s">
        <v>24</v>
      </c>
      <c r="R900" s="49" t="s">
        <v>113</v>
      </c>
      <c r="S900" s="49">
        <v>4</v>
      </c>
      <c r="T900" s="49">
        <v>11</v>
      </c>
      <c r="U900" s="63">
        <v>51</v>
      </c>
      <c r="V900" s="63">
        <v>561</v>
      </c>
    </row>
    <row r="901" spans="1:22" x14ac:dyDescent="0.25">
      <c r="A901" s="49" t="s">
        <v>710</v>
      </c>
      <c r="B901" s="49" t="s">
        <v>22</v>
      </c>
      <c r="C901" s="49" t="s">
        <v>176</v>
      </c>
      <c r="D901" s="49" t="s">
        <v>83</v>
      </c>
      <c r="E901" s="49" t="s">
        <v>174</v>
      </c>
      <c r="F901" s="49">
        <v>2016</v>
      </c>
      <c r="G901" s="50">
        <v>43213.791666666664</v>
      </c>
      <c r="H901" s="50">
        <v>43226.958333333336</v>
      </c>
      <c r="I901" s="54">
        <v>43213</v>
      </c>
      <c r="J901" s="54">
        <v>43226</v>
      </c>
      <c r="K901" s="51" t="s">
        <v>526</v>
      </c>
      <c r="L901" s="51">
        <v>0.95833333333333337</v>
      </c>
      <c r="M901" s="51" t="s">
        <v>541</v>
      </c>
      <c r="N901" s="51" t="s">
        <v>530</v>
      </c>
      <c r="O901" s="51" t="s">
        <v>669</v>
      </c>
      <c r="P901" s="49" t="s">
        <v>9</v>
      </c>
      <c r="Q901" s="49" t="s">
        <v>16</v>
      </c>
      <c r="R901" s="49" t="s">
        <v>109</v>
      </c>
      <c r="S901" s="49">
        <v>2</v>
      </c>
      <c r="T901" s="49">
        <v>8</v>
      </c>
      <c r="U901" s="63">
        <v>62</v>
      </c>
      <c r="V901" s="63">
        <v>496</v>
      </c>
    </row>
    <row r="902" spans="1:22" x14ac:dyDescent="0.25">
      <c r="A902" s="49" t="s">
        <v>711</v>
      </c>
      <c r="B902" s="49" t="s">
        <v>29</v>
      </c>
      <c r="C902" s="49" t="s">
        <v>177</v>
      </c>
      <c r="D902" s="49" t="s">
        <v>84</v>
      </c>
      <c r="E902" s="49" t="s">
        <v>172</v>
      </c>
      <c r="F902" s="49">
        <v>2016</v>
      </c>
      <c r="G902" s="50">
        <v>43213.791666666664</v>
      </c>
      <c r="H902" s="50">
        <v>43226.958333333336</v>
      </c>
      <c r="I902" s="54">
        <v>43213</v>
      </c>
      <c r="J902" s="54">
        <v>43226</v>
      </c>
      <c r="K902" s="51" t="s">
        <v>526</v>
      </c>
      <c r="L902" s="51">
        <v>0.95833333333333337</v>
      </c>
      <c r="M902" s="51" t="s">
        <v>541</v>
      </c>
      <c r="N902" s="51" t="s">
        <v>530</v>
      </c>
      <c r="O902" s="51" t="s">
        <v>669</v>
      </c>
      <c r="P902" s="49" t="s">
        <v>23</v>
      </c>
      <c r="Q902" s="49" t="s">
        <v>44</v>
      </c>
      <c r="R902" s="49" t="s">
        <v>113</v>
      </c>
      <c r="S902" s="49">
        <v>2</v>
      </c>
      <c r="T902" s="49">
        <v>8</v>
      </c>
      <c r="U902" s="63">
        <v>51</v>
      </c>
      <c r="V902" s="63">
        <v>408</v>
      </c>
    </row>
    <row r="903" spans="1:22" x14ac:dyDescent="0.25">
      <c r="A903" s="49" t="s">
        <v>712</v>
      </c>
      <c r="B903" s="49" t="s">
        <v>45</v>
      </c>
      <c r="C903" s="49" t="s">
        <v>177</v>
      </c>
      <c r="D903" s="49" t="s">
        <v>80</v>
      </c>
      <c r="E903" s="49" t="s">
        <v>173</v>
      </c>
      <c r="F903" s="49">
        <v>2016</v>
      </c>
      <c r="G903" s="50">
        <v>43213.791666666664</v>
      </c>
      <c r="H903" s="50">
        <v>43226.958333333336</v>
      </c>
      <c r="I903" s="54">
        <v>43213</v>
      </c>
      <c r="J903" s="54">
        <v>43226</v>
      </c>
      <c r="K903" s="51" t="s">
        <v>526</v>
      </c>
      <c r="L903" s="51">
        <v>0.95833333333333337</v>
      </c>
      <c r="M903" s="51" t="s">
        <v>541</v>
      </c>
      <c r="N903" s="51" t="s">
        <v>530</v>
      </c>
      <c r="O903" s="51" t="s">
        <v>669</v>
      </c>
      <c r="P903" s="49" t="s">
        <v>9</v>
      </c>
      <c r="Q903" s="49" t="s">
        <v>190</v>
      </c>
      <c r="R903" s="49" t="s">
        <v>109</v>
      </c>
      <c r="S903" s="49">
        <v>4</v>
      </c>
      <c r="T903" s="49">
        <v>9</v>
      </c>
      <c r="U903" s="63">
        <v>31</v>
      </c>
      <c r="V903" s="63">
        <v>279</v>
      </c>
    </row>
    <row r="904" spans="1:22" x14ac:dyDescent="0.25">
      <c r="A904" s="49" t="s">
        <v>713</v>
      </c>
      <c r="B904" s="49" t="s">
        <v>11</v>
      </c>
      <c r="C904" s="49" t="s">
        <v>175</v>
      </c>
      <c r="D904" s="49" t="s">
        <v>78</v>
      </c>
      <c r="E904" s="49" t="s">
        <v>172</v>
      </c>
      <c r="F904" s="49">
        <v>2016</v>
      </c>
      <c r="G904" s="50">
        <v>43214.583333333336</v>
      </c>
      <c r="H904" s="50">
        <v>43227.75</v>
      </c>
      <c r="I904" s="54">
        <v>43214</v>
      </c>
      <c r="J904" s="54">
        <v>43227</v>
      </c>
      <c r="K904" s="51" t="s">
        <v>527</v>
      </c>
      <c r="L904" s="51">
        <v>0.75</v>
      </c>
      <c r="M904" s="51" t="s">
        <v>542</v>
      </c>
      <c r="N904" s="51" t="s">
        <v>530</v>
      </c>
      <c r="O904" s="51" t="s">
        <v>669</v>
      </c>
      <c r="P904" s="49" t="s">
        <v>9</v>
      </c>
      <c r="Q904" s="49" t="s">
        <v>190</v>
      </c>
      <c r="R904" s="49" t="s">
        <v>109</v>
      </c>
      <c r="S904" s="49">
        <v>2</v>
      </c>
      <c r="T904" s="49">
        <v>8</v>
      </c>
      <c r="U904" s="63">
        <v>61</v>
      </c>
      <c r="V904" s="63">
        <v>488</v>
      </c>
    </row>
    <row r="905" spans="1:22" x14ac:dyDescent="0.25">
      <c r="A905" s="49" t="s">
        <v>714</v>
      </c>
      <c r="B905" s="49" t="s">
        <v>14</v>
      </c>
      <c r="C905" s="49" t="s">
        <v>175</v>
      </c>
      <c r="D905" s="49" t="s">
        <v>84</v>
      </c>
      <c r="E905" s="49" t="s">
        <v>172</v>
      </c>
      <c r="F905" s="49">
        <v>2016</v>
      </c>
      <c r="G905" s="50">
        <v>43215.375</v>
      </c>
      <c r="H905" s="50">
        <v>43221.75</v>
      </c>
      <c r="I905" s="54">
        <v>43215</v>
      </c>
      <c r="J905" s="54">
        <v>43221</v>
      </c>
      <c r="K905" s="51" t="s">
        <v>525</v>
      </c>
      <c r="L905" s="51">
        <v>0.75</v>
      </c>
      <c r="M905" s="51" t="s">
        <v>540</v>
      </c>
      <c r="N905" s="51" t="s">
        <v>530</v>
      </c>
      <c r="O905" s="51" t="s">
        <v>669</v>
      </c>
      <c r="P905" s="49" t="s">
        <v>23</v>
      </c>
      <c r="Q905" s="49" t="s">
        <v>35</v>
      </c>
      <c r="R905" s="49" t="s">
        <v>109</v>
      </c>
      <c r="S905" s="49">
        <v>3</v>
      </c>
      <c r="T905" s="49">
        <v>11</v>
      </c>
      <c r="U905" s="63">
        <v>51</v>
      </c>
      <c r="V905" s="63">
        <v>561</v>
      </c>
    </row>
    <row r="906" spans="1:22" x14ac:dyDescent="0.25">
      <c r="A906" s="49" t="s">
        <v>715</v>
      </c>
      <c r="B906" s="49" t="s">
        <v>29</v>
      </c>
      <c r="C906" s="49" t="s">
        <v>177</v>
      </c>
      <c r="D906" s="49" t="s">
        <v>77</v>
      </c>
      <c r="E906" s="49" t="s">
        <v>172</v>
      </c>
      <c r="F906" s="49">
        <v>2016</v>
      </c>
      <c r="G906" s="50">
        <v>43216.333333333336</v>
      </c>
      <c r="H906" s="50">
        <v>43229.5</v>
      </c>
      <c r="I906" s="54">
        <v>43216</v>
      </c>
      <c r="J906" s="54">
        <v>43229</v>
      </c>
      <c r="K906" s="51" t="s">
        <v>522</v>
      </c>
      <c r="L906" s="51">
        <v>0.5</v>
      </c>
      <c r="M906" s="51" t="s">
        <v>539</v>
      </c>
      <c r="N906" s="51" t="s">
        <v>530</v>
      </c>
      <c r="O906" s="51" t="s">
        <v>669</v>
      </c>
      <c r="P906" s="49" t="s">
        <v>9</v>
      </c>
      <c r="Q906" s="49" t="s">
        <v>44</v>
      </c>
      <c r="R906" s="49" t="s">
        <v>113</v>
      </c>
      <c r="S906" s="49">
        <v>4</v>
      </c>
      <c r="T906" s="49">
        <v>11</v>
      </c>
      <c r="U906" s="63">
        <v>33</v>
      </c>
      <c r="V906" s="63">
        <v>363</v>
      </c>
    </row>
    <row r="907" spans="1:22" x14ac:dyDescent="0.25">
      <c r="A907" s="49" t="s">
        <v>716</v>
      </c>
      <c r="B907" s="49" t="s">
        <v>17</v>
      </c>
      <c r="C907" s="49" t="s">
        <v>176</v>
      </c>
      <c r="D907" s="49" t="s">
        <v>84</v>
      </c>
      <c r="E907" s="49" t="s">
        <v>172</v>
      </c>
      <c r="F907" s="49">
        <v>2016</v>
      </c>
      <c r="G907" s="50">
        <v>43217.375</v>
      </c>
      <c r="H907" s="50">
        <v>43222.75</v>
      </c>
      <c r="I907" s="54">
        <v>43217</v>
      </c>
      <c r="J907" s="54">
        <v>43222</v>
      </c>
      <c r="K907" s="51" t="s">
        <v>525</v>
      </c>
      <c r="L907" s="51">
        <v>0.75</v>
      </c>
      <c r="M907" s="51" t="s">
        <v>540</v>
      </c>
      <c r="N907" s="51" t="s">
        <v>530</v>
      </c>
      <c r="O907" s="51" t="s">
        <v>669</v>
      </c>
      <c r="P907" s="49" t="s">
        <v>23</v>
      </c>
      <c r="Q907" s="49" t="s">
        <v>18</v>
      </c>
      <c r="R907" s="49" t="s">
        <v>113</v>
      </c>
      <c r="S907" s="49">
        <v>3</v>
      </c>
      <c r="T907" s="49">
        <v>8</v>
      </c>
      <c r="U907" s="63">
        <v>51</v>
      </c>
      <c r="V907" s="63">
        <v>408</v>
      </c>
    </row>
    <row r="908" spans="1:22" x14ac:dyDescent="0.25">
      <c r="A908" s="49" t="s">
        <v>717</v>
      </c>
      <c r="B908" s="49" t="s">
        <v>45</v>
      </c>
      <c r="C908" s="49" t="s">
        <v>177</v>
      </c>
      <c r="D908" s="49" t="s">
        <v>78</v>
      </c>
      <c r="E908" s="49" t="s">
        <v>172</v>
      </c>
      <c r="F908" s="49">
        <v>2016</v>
      </c>
      <c r="G908" s="50">
        <v>43217.375</v>
      </c>
      <c r="H908" s="50">
        <v>43222.75</v>
      </c>
      <c r="I908" s="54">
        <v>43217</v>
      </c>
      <c r="J908" s="54">
        <v>43222</v>
      </c>
      <c r="K908" s="51" t="s">
        <v>525</v>
      </c>
      <c r="L908" s="51">
        <v>0.75</v>
      </c>
      <c r="M908" s="51" t="s">
        <v>540</v>
      </c>
      <c r="N908" s="51" t="s">
        <v>530</v>
      </c>
      <c r="O908" s="51" t="s">
        <v>669</v>
      </c>
      <c r="P908" s="49" t="s">
        <v>9</v>
      </c>
      <c r="Q908" s="49" t="s">
        <v>22</v>
      </c>
      <c r="R908" s="49" t="s">
        <v>109</v>
      </c>
      <c r="S908" s="49">
        <v>2</v>
      </c>
      <c r="T908" s="49">
        <v>12</v>
      </c>
      <c r="U908" s="63">
        <v>61</v>
      </c>
      <c r="V908" s="63">
        <v>732</v>
      </c>
    </row>
    <row r="909" spans="1:22" x14ac:dyDescent="0.25">
      <c r="A909" s="49" t="s">
        <v>718</v>
      </c>
      <c r="B909" s="49" t="s">
        <v>45</v>
      </c>
      <c r="C909" s="49" t="s">
        <v>177</v>
      </c>
      <c r="D909" s="49" t="s">
        <v>81</v>
      </c>
      <c r="E909" s="49" t="s">
        <v>172</v>
      </c>
      <c r="F909" s="49">
        <v>2016</v>
      </c>
      <c r="G909" s="50">
        <v>43217.375</v>
      </c>
      <c r="H909" s="50">
        <v>43222.75</v>
      </c>
      <c r="I909" s="54">
        <v>43217</v>
      </c>
      <c r="J909" s="54">
        <v>43222</v>
      </c>
      <c r="K909" s="51" t="s">
        <v>525</v>
      </c>
      <c r="L909" s="51">
        <v>0.75</v>
      </c>
      <c r="M909" s="51" t="s">
        <v>540</v>
      </c>
      <c r="N909" s="51" t="s">
        <v>530</v>
      </c>
      <c r="O909" s="51" t="s">
        <v>669</v>
      </c>
      <c r="P909" s="49" t="s">
        <v>9</v>
      </c>
      <c r="Q909" s="49" t="s">
        <v>31</v>
      </c>
      <c r="R909" s="49" t="s">
        <v>113</v>
      </c>
      <c r="S909" s="49">
        <v>3</v>
      </c>
      <c r="T909" s="49">
        <v>12</v>
      </c>
      <c r="U909" s="63">
        <v>42</v>
      </c>
      <c r="V909" s="63">
        <v>504</v>
      </c>
    </row>
    <row r="910" spans="1:22" x14ac:dyDescent="0.25">
      <c r="A910" s="49" t="s">
        <v>719</v>
      </c>
      <c r="B910" s="49" t="s">
        <v>7</v>
      </c>
      <c r="C910" s="49" t="s">
        <v>175</v>
      </c>
      <c r="D910" s="49" t="s">
        <v>76</v>
      </c>
      <c r="E910" s="49" t="s">
        <v>174</v>
      </c>
      <c r="F910" s="49">
        <v>2016</v>
      </c>
      <c r="G910" s="50">
        <v>43219.791666666664</v>
      </c>
      <c r="H910" s="50">
        <v>43230.958333333336</v>
      </c>
      <c r="I910" s="54">
        <v>43219</v>
      </c>
      <c r="J910" s="54">
        <v>43230</v>
      </c>
      <c r="K910" s="51" t="s">
        <v>526</v>
      </c>
      <c r="L910" s="51">
        <v>0.95833333333333337</v>
      </c>
      <c r="M910" s="51" t="s">
        <v>541</v>
      </c>
      <c r="N910" s="51" t="s">
        <v>530</v>
      </c>
      <c r="O910" s="51" t="s">
        <v>669</v>
      </c>
      <c r="P910" s="49" t="s">
        <v>9</v>
      </c>
      <c r="Q910" s="49" t="s">
        <v>22</v>
      </c>
      <c r="R910" s="49" t="s">
        <v>109</v>
      </c>
      <c r="S910" s="49">
        <v>2</v>
      </c>
      <c r="T910" s="49">
        <v>10</v>
      </c>
      <c r="U910" s="63">
        <v>52</v>
      </c>
      <c r="V910" s="63">
        <v>520</v>
      </c>
    </row>
    <row r="911" spans="1:22" x14ac:dyDescent="0.25">
      <c r="A911" s="49" t="s">
        <v>720</v>
      </c>
      <c r="B911" s="49" t="s">
        <v>17</v>
      </c>
      <c r="C911" s="49" t="s">
        <v>176</v>
      </c>
      <c r="D911" s="49" t="s">
        <v>88</v>
      </c>
      <c r="E911" s="49" t="s">
        <v>170</v>
      </c>
      <c r="F911" s="49">
        <v>2016</v>
      </c>
      <c r="G911" s="50">
        <v>43220.791666666664</v>
      </c>
      <c r="H911" s="50">
        <v>43233.958333333336</v>
      </c>
      <c r="I911" s="54">
        <v>43220</v>
      </c>
      <c r="J911" s="54">
        <v>43233</v>
      </c>
      <c r="K911" s="51" t="s">
        <v>526</v>
      </c>
      <c r="L911" s="51">
        <v>0.95833333333333337</v>
      </c>
      <c r="M911" s="51" t="s">
        <v>541</v>
      </c>
      <c r="N911" s="51" t="s">
        <v>530</v>
      </c>
      <c r="O911" s="51" t="s">
        <v>669</v>
      </c>
      <c r="P911" s="49" t="s">
        <v>9</v>
      </c>
      <c r="Q911" s="49" t="s">
        <v>38</v>
      </c>
      <c r="R911" s="49" t="s">
        <v>113</v>
      </c>
      <c r="S911" s="49">
        <v>3</v>
      </c>
      <c r="T911" s="49">
        <v>11</v>
      </c>
      <c r="U911" s="63">
        <v>41</v>
      </c>
      <c r="V911" s="63">
        <v>451</v>
      </c>
    </row>
    <row r="912" spans="1:22" x14ac:dyDescent="0.25">
      <c r="A912" s="49" t="s">
        <v>721</v>
      </c>
      <c r="B912" s="49" t="s">
        <v>39</v>
      </c>
      <c r="C912" s="49" t="s">
        <v>177</v>
      </c>
      <c r="D912" s="49" t="s">
        <v>83</v>
      </c>
      <c r="E912" s="49" t="s">
        <v>174</v>
      </c>
      <c r="F912" s="49">
        <v>2016</v>
      </c>
      <c r="G912" s="50">
        <v>43220.791666666664</v>
      </c>
      <c r="H912" s="50">
        <v>43233.958333333336</v>
      </c>
      <c r="I912" s="54">
        <v>43220</v>
      </c>
      <c r="J912" s="54">
        <v>43233</v>
      </c>
      <c r="K912" s="51" t="s">
        <v>526</v>
      </c>
      <c r="L912" s="51">
        <v>0.95833333333333337</v>
      </c>
      <c r="M912" s="51" t="s">
        <v>541</v>
      </c>
      <c r="N912" s="51" t="s">
        <v>530</v>
      </c>
      <c r="O912" s="51" t="s">
        <v>669</v>
      </c>
      <c r="P912" s="49" t="s">
        <v>9</v>
      </c>
      <c r="Q912" s="49" t="s">
        <v>33</v>
      </c>
      <c r="R912" s="49" t="s">
        <v>113</v>
      </c>
      <c r="S912" s="49">
        <v>2</v>
      </c>
      <c r="T912" s="49">
        <v>12</v>
      </c>
      <c r="U912" s="63">
        <v>62</v>
      </c>
      <c r="V912" s="63">
        <v>744</v>
      </c>
    </row>
    <row r="913" spans="1:22" x14ac:dyDescent="0.25">
      <c r="A913" s="49" t="s">
        <v>722</v>
      </c>
      <c r="B913" s="49" t="s">
        <v>14</v>
      </c>
      <c r="C913" s="49" t="s">
        <v>175</v>
      </c>
      <c r="D913" s="49" t="s">
        <v>79</v>
      </c>
      <c r="E913" s="49" t="s">
        <v>168</v>
      </c>
      <c r="F913" s="49">
        <v>2016</v>
      </c>
      <c r="G913" s="50">
        <v>43220.791666666664</v>
      </c>
      <c r="H913" s="50">
        <v>43233.958333333336</v>
      </c>
      <c r="I913" s="54">
        <v>43220</v>
      </c>
      <c r="J913" s="54">
        <v>43233</v>
      </c>
      <c r="K913" s="51" t="s">
        <v>526</v>
      </c>
      <c r="L913" s="51">
        <v>0.95833333333333337</v>
      </c>
      <c r="M913" s="51" t="s">
        <v>541</v>
      </c>
      <c r="N913" s="51" t="s">
        <v>530</v>
      </c>
      <c r="O913" s="51" t="s">
        <v>669</v>
      </c>
      <c r="P913" s="49" t="s">
        <v>23</v>
      </c>
      <c r="Q913" s="49" t="s">
        <v>26</v>
      </c>
      <c r="R913" s="49" t="s">
        <v>113</v>
      </c>
      <c r="S913" s="49">
        <v>3</v>
      </c>
      <c r="T913" s="49">
        <v>12</v>
      </c>
      <c r="U913" s="63">
        <v>47</v>
      </c>
      <c r="V913" s="63">
        <v>564</v>
      </c>
    </row>
    <row r="914" spans="1:22" x14ac:dyDescent="0.25">
      <c r="A914" s="49" t="s">
        <v>723</v>
      </c>
      <c r="B914" s="49" t="s">
        <v>7</v>
      </c>
      <c r="C914" s="49" t="s">
        <v>175</v>
      </c>
      <c r="D914" s="49" t="s">
        <v>76</v>
      </c>
      <c r="E914" s="49" t="s">
        <v>174</v>
      </c>
      <c r="F914" s="49">
        <v>2016</v>
      </c>
      <c r="G914" s="50">
        <v>43221.583333333336</v>
      </c>
      <c r="H914" s="50">
        <v>43234.75</v>
      </c>
      <c r="I914" s="54">
        <v>43221</v>
      </c>
      <c r="J914" s="54">
        <v>43234</v>
      </c>
      <c r="K914" s="51" t="s">
        <v>527</v>
      </c>
      <c r="L914" s="51">
        <v>0.75</v>
      </c>
      <c r="M914" s="51" t="s">
        <v>542</v>
      </c>
      <c r="N914" s="51" t="s">
        <v>531</v>
      </c>
      <c r="O914" s="51" t="s">
        <v>669</v>
      </c>
      <c r="P914" s="49" t="s">
        <v>9</v>
      </c>
      <c r="Q914" s="49" t="s">
        <v>190</v>
      </c>
      <c r="R914" s="49" t="s">
        <v>109</v>
      </c>
      <c r="S914" s="49">
        <v>5</v>
      </c>
      <c r="T914" s="49">
        <v>11</v>
      </c>
      <c r="U914" s="63">
        <v>53</v>
      </c>
      <c r="V914" s="63">
        <v>583</v>
      </c>
    </row>
    <row r="915" spans="1:22" x14ac:dyDescent="0.25">
      <c r="A915" s="49" t="s">
        <v>724</v>
      </c>
      <c r="B915" s="49" t="s">
        <v>11</v>
      </c>
      <c r="C915" s="49" t="s">
        <v>175</v>
      </c>
      <c r="D915" s="49" t="s">
        <v>76</v>
      </c>
      <c r="E915" s="49" t="s">
        <v>174</v>
      </c>
      <c r="F915" s="49">
        <v>2016</v>
      </c>
      <c r="G915" s="50">
        <v>43222.375</v>
      </c>
      <c r="H915" s="50">
        <v>43228.75</v>
      </c>
      <c r="I915" s="54">
        <v>43222</v>
      </c>
      <c r="J915" s="54">
        <v>43228</v>
      </c>
      <c r="K915" s="51" t="s">
        <v>525</v>
      </c>
      <c r="L915" s="51">
        <v>0.75</v>
      </c>
      <c r="M915" s="51" t="s">
        <v>540</v>
      </c>
      <c r="N915" s="51" t="s">
        <v>531</v>
      </c>
      <c r="O915" s="51" t="s">
        <v>669</v>
      </c>
      <c r="P915" s="49" t="s">
        <v>9</v>
      </c>
      <c r="Q915" s="49" t="s">
        <v>12</v>
      </c>
      <c r="R915" s="49" t="s">
        <v>113</v>
      </c>
      <c r="S915" s="49">
        <v>2</v>
      </c>
      <c r="T915" s="49">
        <v>11</v>
      </c>
      <c r="U915" s="63">
        <v>53</v>
      </c>
      <c r="V915" s="63">
        <v>583</v>
      </c>
    </row>
    <row r="916" spans="1:22" x14ac:dyDescent="0.25">
      <c r="A916" s="49" t="s">
        <v>725</v>
      </c>
      <c r="B916" s="49" t="s">
        <v>14</v>
      </c>
      <c r="C916" s="49" t="s">
        <v>175</v>
      </c>
      <c r="D916" s="49" t="s">
        <v>77</v>
      </c>
      <c r="E916" s="49" t="s">
        <v>172</v>
      </c>
      <c r="F916" s="49">
        <v>2016</v>
      </c>
      <c r="G916" s="50">
        <v>43223.333333333336</v>
      </c>
      <c r="H916" s="50">
        <v>43236.5</v>
      </c>
      <c r="I916" s="54">
        <v>43223</v>
      </c>
      <c r="J916" s="54">
        <v>43236</v>
      </c>
      <c r="K916" s="51" t="s">
        <v>522</v>
      </c>
      <c r="L916" s="51">
        <v>0.5</v>
      </c>
      <c r="M916" s="51" t="s">
        <v>539</v>
      </c>
      <c r="N916" s="51" t="s">
        <v>531</v>
      </c>
      <c r="O916" s="51" t="s">
        <v>669</v>
      </c>
      <c r="P916" s="49" t="s">
        <v>9</v>
      </c>
      <c r="Q916" s="49" t="s">
        <v>16</v>
      </c>
      <c r="R916" s="49" t="s">
        <v>109</v>
      </c>
      <c r="S916" s="49">
        <v>5</v>
      </c>
      <c r="T916" s="49">
        <v>10</v>
      </c>
      <c r="U916" s="63">
        <v>35</v>
      </c>
      <c r="V916" s="63">
        <v>350</v>
      </c>
    </row>
    <row r="917" spans="1:22" x14ac:dyDescent="0.25">
      <c r="A917" s="49" t="s">
        <v>726</v>
      </c>
      <c r="B917" s="49" t="s">
        <v>17</v>
      </c>
      <c r="C917" s="49" t="s">
        <v>176</v>
      </c>
      <c r="D917" s="49" t="s">
        <v>76</v>
      </c>
      <c r="E917" s="49" t="s">
        <v>174</v>
      </c>
      <c r="F917" s="49">
        <v>2016</v>
      </c>
      <c r="G917" s="50">
        <v>43224.375</v>
      </c>
      <c r="H917" s="50">
        <v>43229.75</v>
      </c>
      <c r="I917" s="54">
        <v>43224</v>
      </c>
      <c r="J917" s="54">
        <v>43229</v>
      </c>
      <c r="K917" s="51" t="s">
        <v>525</v>
      </c>
      <c r="L917" s="51">
        <v>0.75</v>
      </c>
      <c r="M917" s="51" t="s">
        <v>540</v>
      </c>
      <c r="N917" s="51" t="s">
        <v>531</v>
      </c>
      <c r="O917" s="51" t="s">
        <v>669</v>
      </c>
      <c r="P917" s="49" t="s">
        <v>9</v>
      </c>
      <c r="Q917" s="49" t="s">
        <v>18</v>
      </c>
      <c r="R917" s="49" t="s">
        <v>113</v>
      </c>
      <c r="S917" s="49">
        <v>5</v>
      </c>
      <c r="T917" s="49">
        <v>9</v>
      </c>
      <c r="U917" s="63">
        <v>53</v>
      </c>
      <c r="V917" s="63">
        <v>477</v>
      </c>
    </row>
    <row r="918" spans="1:22" x14ac:dyDescent="0.25">
      <c r="A918" s="49" t="s">
        <v>727</v>
      </c>
      <c r="B918" s="49" t="s">
        <v>19</v>
      </c>
      <c r="C918" s="49" t="s">
        <v>176</v>
      </c>
      <c r="D918" s="49" t="s">
        <v>78</v>
      </c>
      <c r="E918" s="49" t="s">
        <v>172</v>
      </c>
      <c r="F918" s="49">
        <v>2016</v>
      </c>
      <c r="G918" s="50">
        <v>43226.791666666664</v>
      </c>
      <c r="H918" s="50">
        <v>43237.958333333336</v>
      </c>
      <c r="I918" s="54">
        <v>43226</v>
      </c>
      <c r="J918" s="54">
        <v>43237</v>
      </c>
      <c r="K918" s="51" t="s">
        <v>526</v>
      </c>
      <c r="L918" s="51">
        <v>0.95833333333333337</v>
      </c>
      <c r="M918" s="51" t="s">
        <v>541</v>
      </c>
      <c r="N918" s="51" t="s">
        <v>531</v>
      </c>
      <c r="O918" s="51" t="s">
        <v>669</v>
      </c>
      <c r="P918" s="49" t="s">
        <v>9</v>
      </c>
      <c r="Q918" s="49" t="s">
        <v>21</v>
      </c>
      <c r="R918" s="49" t="s">
        <v>113</v>
      </c>
      <c r="S918" s="49">
        <v>3</v>
      </c>
      <c r="T918" s="49">
        <v>8</v>
      </c>
      <c r="U918" s="63">
        <v>62</v>
      </c>
      <c r="V918" s="63">
        <v>496</v>
      </c>
    </row>
    <row r="919" spans="1:22" x14ac:dyDescent="0.25">
      <c r="A919" s="49" t="s">
        <v>728</v>
      </c>
      <c r="B919" s="49" t="s">
        <v>22</v>
      </c>
      <c r="C919" s="49" t="s">
        <v>176</v>
      </c>
      <c r="D919" s="49" t="s">
        <v>76</v>
      </c>
      <c r="E919" s="49" t="s">
        <v>174</v>
      </c>
      <c r="F919" s="49">
        <v>2016</v>
      </c>
      <c r="G919" s="50">
        <v>43226.791666666664</v>
      </c>
      <c r="H919" s="50">
        <v>43237.958333333336</v>
      </c>
      <c r="I919" s="54">
        <v>43226</v>
      </c>
      <c r="J919" s="54">
        <v>43237</v>
      </c>
      <c r="K919" s="51" t="s">
        <v>526</v>
      </c>
      <c r="L919" s="51">
        <v>0.95833333333333337</v>
      </c>
      <c r="M919" s="51" t="s">
        <v>541</v>
      </c>
      <c r="N919" s="51" t="s">
        <v>531</v>
      </c>
      <c r="O919" s="51" t="s">
        <v>669</v>
      </c>
      <c r="P919" s="49" t="s">
        <v>23</v>
      </c>
      <c r="Q919" s="49" t="s">
        <v>24</v>
      </c>
      <c r="R919" s="49" t="s">
        <v>113</v>
      </c>
      <c r="S919" s="49">
        <v>3</v>
      </c>
      <c r="T919" s="49">
        <v>8</v>
      </c>
      <c r="U919" s="63">
        <v>53</v>
      </c>
      <c r="V919" s="63">
        <v>424</v>
      </c>
    </row>
    <row r="920" spans="1:22" x14ac:dyDescent="0.25">
      <c r="A920" s="49" t="s">
        <v>729</v>
      </c>
      <c r="B920" s="49" t="s">
        <v>7</v>
      </c>
      <c r="C920" s="49" t="s">
        <v>175</v>
      </c>
      <c r="D920" s="49" t="s">
        <v>79</v>
      </c>
      <c r="E920" s="49" t="s">
        <v>168</v>
      </c>
      <c r="F920" s="49">
        <v>2016</v>
      </c>
      <c r="G920" s="50">
        <v>43227.791666666664</v>
      </c>
      <c r="H920" s="50">
        <v>43240.958333333336</v>
      </c>
      <c r="I920" s="54">
        <v>43227</v>
      </c>
      <c r="J920" s="54">
        <v>43240</v>
      </c>
      <c r="K920" s="51" t="s">
        <v>526</v>
      </c>
      <c r="L920" s="51">
        <v>0.95833333333333337</v>
      </c>
      <c r="M920" s="51" t="s">
        <v>541</v>
      </c>
      <c r="N920" s="51" t="s">
        <v>531</v>
      </c>
      <c r="O920" s="51" t="s">
        <v>669</v>
      </c>
      <c r="P920" s="49" t="s">
        <v>9</v>
      </c>
      <c r="Q920" s="49" t="s">
        <v>26</v>
      </c>
      <c r="R920" s="49" t="s">
        <v>113</v>
      </c>
      <c r="S920" s="49">
        <v>2</v>
      </c>
      <c r="T920" s="49">
        <v>11</v>
      </c>
      <c r="U920" s="63">
        <v>48</v>
      </c>
      <c r="V920" s="63">
        <v>528</v>
      </c>
    </row>
    <row r="921" spans="1:22" x14ac:dyDescent="0.25">
      <c r="A921" s="49" t="s">
        <v>730</v>
      </c>
      <c r="B921" s="49" t="s">
        <v>17</v>
      </c>
      <c r="C921" s="49" t="s">
        <v>176</v>
      </c>
      <c r="D921" s="49" t="s">
        <v>80</v>
      </c>
      <c r="E921" s="49" t="s">
        <v>173</v>
      </c>
      <c r="F921" s="49">
        <v>2016</v>
      </c>
      <c r="G921" s="50">
        <v>43228.583333333336</v>
      </c>
      <c r="H921" s="50">
        <v>43241.75</v>
      </c>
      <c r="I921" s="54">
        <v>43228</v>
      </c>
      <c r="J921" s="54">
        <v>43241</v>
      </c>
      <c r="K921" s="51" t="s">
        <v>527</v>
      </c>
      <c r="L921" s="51">
        <v>0.75</v>
      </c>
      <c r="M921" s="51" t="s">
        <v>542</v>
      </c>
      <c r="N921" s="51" t="s">
        <v>531</v>
      </c>
      <c r="O921" s="51" t="s">
        <v>669</v>
      </c>
      <c r="P921" s="49" t="s">
        <v>23</v>
      </c>
      <c r="Q921" s="49" t="s">
        <v>28</v>
      </c>
      <c r="R921" s="49" t="s">
        <v>109</v>
      </c>
      <c r="S921" s="49">
        <v>5</v>
      </c>
      <c r="T921" s="49">
        <v>10</v>
      </c>
      <c r="U921" s="63">
        <v>32</v>
      </c>
      <c r="V921" s="63">
        <v>320</v>
      </c>
    </row>
    <row r="922" spans="1:22" x14ac:dyDescent="0.25">
      <c r="A922" s="49" t="s">
        <v>731</v>
      </c>
      <c r="B922" s="49" t="s">
        <v>29</v>
      </c>
      <c r="C922" s="49" t="s">
        <v>177</v>
      </c>
      <c r="D922" s="49" t="s">
        <v>78</v>
      </c>
      <c r="E922" s="49" t="s">
        <v>172</v>
      </c>
      <c r="F922" s="49">
        <v>2016</v>
      </c>
      <c r="G922" s="50">
        <v>43229.375</v>
      </c>
      <c r="H922" s="50">
        <v>43235.75</v>
      </c>
      <c r="I922" s="54">
        <v>43229</v>
      </c>
      <c r="J922" s="54">
        <v>43235</v>
      </c>
      <c r="K922" s="51" t="s">
        <v>525</v>
      </c>
      <c r="L922" s="51">
        <v>0.75</v>
      </c>
      <c r="M922" s="51" t="s">
        <v>540</v>
      </c>
      <c r="N922" s="51" t="s">
        <v>531</v>
      </c>
      <c r="O922" s="51" t="s">
        <v>669</v>
      </c>
      <c r="P922" s="49" t="s">
        <v>9</v>
      </c>
      <c r="Q922" s="49" t="s">
        <v>21</v>
      </c>
      <c r="R922" s="49" t="s">
        <v>113</v>
      </c>
      <c r="S922" s="49">
        <v>3</v>
      </c>
      <c r="T922" s="49">
        <v>11</v>
      </c>
      <c r="U922" s="63">
        <v>62</v>
      </c>
      <c r="V922" s="63">
        <v>682</v>
      </c>
    </row>
    <row r="923" spans="1:22" x14ac:dyDescent="0.25">
      <c r="A923" s="49" t="s">
        <v>732</v>
      </c>
      <c r="B923" s="49" t="s">
        <v>7</v>
      </c>
      <c r="C923" s="49" t="s">
        <v>175</v>
      </c>
      <c r="D923" s="49" t="s">
        <v>81</v>
      </c>
      <c r="E923" s="49" t="s">
        <v>172</v>
      </c>
      <c r="F923" s="49">
        <v>2016</v>
      </c>
      <c r="G923" s="50">
        <v>43230.333333333336</v>
      </c>
      <c r="H923" s="50">
        <v>43243.5</v>
      </c>
      <c r="I923" s="54">
        <v>43230</v>
      </c>
      <c r="J923" s="54">
        <v>43243</v>
      </c>
      <c r="K923" s="51" t="s">
        <v>522</v>
      </c>
      <c r="L923" s="51">
        <v>0.5</v>
      </c>
      <c r="M923" s="51" t="s">
        <v>539</v>
      </c>
      <c r="N923" s="51" t="s">
        <v>531</v>
      </c>
      <c r="O923" s="51" t="s">
        <v>669</v>
      </c>
      <c r="P923" s="49" t="s">
        <v>9</v>
      </c>
      <c r="Q923" s="49" t="s">
        <v>31</v>
      </c>
      <c r="R923" s="49" t="s">
        <v>113</v>
      </c>
      <c r="S923" s="49">
        <v>3</v>
      </c>
      <c r="T923" s="49">
        <v>10</v>
      </c>
      <c r="U923" s="63">
        <v>43</v>
      </c>
      <c r="V923" s="63">
        <v>430</v>
      </c>
    </row>
    <row r="924" spans="1:22" x14ac:dyDescent="0.25">
      <c r="A924" s="49" t="s">
        <v>733</v>
      </c>
      <c r="B924" s="49" t="s">
        <v>11</v>
      </c>
      <c r="C924" s="49" t="s">
        <v>175</v>
      </c>
      <c r="D924" s="49" t="s">
        <v>82</v>
      </c>
      <c r="E924" s="49" t="s">
        <v>172</v>
      </c>
      <c r="F924" s="49">
        <v>2016</v>
      </c>
      <c r="G924" s="50">
        <v>43231.375</v>
      </c>
      <c r="H924" s="50">
        <v>43236.75</v>
      </c>
      <c r="I924" s="54">
        <v>43231</v>
      </c>
      <c r="J924" s="54">
        <v>43236</v>
      </c>
      <c r="K924" s="51" t="s">
        <v>525</v>
      </c>
      <c r="L924" s="51">
        <v>0.75</v>
      </c>
      <c r="M924" s="51" t="s">
        <v>540</v>
      </c>
      <c r="N924" s="51" t="s">
        <v>531</v>
      </c>
      <c r="O924" s="51" t="s">
        <v>669</v>
      </c>
      <c r="P924" s="49" t="s">
        <v>23</v>
      </c>
      <c r="Q924" s="49" t="s">
        <v>22</v>
      </c>
      <c r="R924" s="49" t="s">
        <v>109</v>
      </c>
      <c r="S924" s="49">
        <v>2</v>
      </c>
      <c r="T924" s="49">
        <v>10</v>
      </c>
      <c r="U924" s="63">
        <v>75</v>
      </c>
      <c r="V924" s="63">
        <v>750</v>
      </c>
    </row>
    <row r="925" spans="1:22" x14ac:dyDescent="0.25">
      <c r="A925" s="49" t="s">
        <v>734</v>
      </c>
      <c r="B925" s="49" t="s">
        <v>7</v>
      </c>
      <c r="C925" s="49" t="s">
        <v>175</v>
      </c>
      <c r="D925" s="49" t="s">
        <v>76</v>
      </c>
      <c r="E925" s="49" t="s">
        <v>174</v>
      </c>
      <c r="F925" s="49">
        <v>2016</v>
      </c>
      <c r="G925" s="50">
        <v>43233.791666666664</v>
      </c>
      <c r="H925" s="50">
        <v>43244.958333333336</v>
      </c>
      <c r="I925" s="54">
        <v>43233</v>
      </c>
      <c r="J925" s="54">
        <v>43244</v>
      </c>
      <c r="K925" s="51" t="s">
        <v>526</v>
      </c>
      <c r="L925" s="51">
        <v>0.95833333333333337</v>
      </c>
      <c r="M925" s="51" t="s">
        <v>541</v>
      </c>
      <c r="N925" s="51" t="s">
        <v>531</v>
      </c>
      <c r="O925" s="51" t="s">
        <v>669</v>
      </c>
      <c r="P925" s="49" t="s">
        <v>9</v>
      </c>
      <c r="Q925" s="49" t="s">
        <v>33</v>
      </c>
      <c r="R925" s="49" t="s">
        <v>113</v>
      </c>
      <c r="S925" s="49">
        <v>3</v>
      </c>
      <c r="T925" s="49">
        <v>9</v>
      </c>
      <c r="U925" s="63">
        <v>53</v>
      </c>
      <c r="V925" s="63">
        <v>477</v>
      </c>
    </row>
    <row r="926" spans="1:22" x14ac:dyDescent="0.25">
      <c r="A926" s="49" t="s">
        <v>735</v>
      </c>
      <c r="B926" s="49" t="s">
        <v>22</v>
      </c>
      <c r="C926" s="49" t="s">
        <v>176</v>
      </c>
      <c r="D926" s="49" t="s">
        <v>83</v>
      </c>
      <c r="E926" s="49" t="s">
        <v>174</v>
      </c>
      <c r="F926" s="49">
        <v>2016</v>
      </c>
      <c r="G926" s="50">
        <v>43233.791666666664</v>
      </c>
      <c r="H926" s="50">
        <v>43244.958333333336</v>
      </c>
      <c r="I926" s="54">
        <v>43233</v>
      </c>
      <c r="J926" s="54">
        <v>43244</v>
      </c>
      <c r="K926" s="51" t="s">
        <v>526</v>
      </c>
      <c r="L926" s="51">
        <v>0.95833333333333337</v>
      </c>
      <c r="M926" s="51" t="s">
        <v>541</v>
      </c>
      <c r="N926" s="51" t="s">
        <v>531</v>
      </c>
      <c r="O926" s="51" t="s">
        <v>669</v>
      </c>
      <c r="P926" s="49" t="s">
        <v>23</v>
      </c>
      <c r="Q926" s="49" t="s">
        <v>35</v>
      </c>
      <c r="R926" s="49" t="s">
        <v>109</v>
      </c>
      <c r="S926" s="49">
        <v>3</v>
      </c>
      <c r="T926" s="49">
        <v>8</v>
      </c>
      <c r="U926" s="63">
        <v>63</v>
      </c>
      <c r="V926" s="63">
        <v>504</v>
      </c>
    </row>
    <row r="927" spans="1:22" x14ac:dyDescent="0.25">
      <c r="A927" s="49" t="s">
        <v>736</v>
      </c>
      <c r="B927" s="49" t="s">
        <v>14</v>
      </c>
      <c r="C927" s="49" t="s">
        <v>175</v>
      </c>
      <c r="D927" s="49" t="s">
        <v>79</v>
      </c>
      <c r="E927" s="49" t="s">
        <v>168</v>
      </c>
      <c r="F927" s="49">
        <v>2016</v>
      </c>
      <c r="G927" s="50">
        <v>43234.791666666664</v>
      </c>
      <c r="H927" s="50">
        <v>43247.958333333336</v>
      </c>
      <c r="I927" s="54">
        <v>43234</v>
      </c>
      <c r="J927" s="54">
        <v>43247</v>
      </c>
      <c r="K927" s="51" t="s">
        <v>526</v>
      </c>
      <c r="L927" s="51">
        <v>0.95833333333333337</v>
      </c>
      <c r="M927" s="51" t="s">
        <v>541</v>
      </c>
      <c r="N927" s="51" t="s">
        <v>531</v>
      </c>
      <c r="O927" s="51" t="s">
        <v>669</v>
      </c>
      <c r="P927" s="49" t="s">
        <v>23</v>
      </c>
      <c r="Q927" s="49" t="s">
        <v>28</v>
      </c>
      <c r="R927" s="49" t="s">
        <v>109</v>
      </c>
      <c r="S927" s="49">
        <v>2</v>
      </c>
      <c r="T927" s="49">
        <v>11</v>
      </c>
      <c r="U927" s="63">
        <v>48</v>
      </c>
      <c r="V927" s="63">
        <v>528</v>
      </c>
    </row>
    <row r="928" spans="1:22" x14ac:dyDescent="0.25">
      <c r="A928" s="49" t="s">
        <v>737</v>
      </c>
      <c r="B928" s="49" t="s">
        <v>14</v>
      </c>
      <c r="C928" s="49" t="s">
        <v>175</v>
      </c>
      <c r="D928" s="49" t="s">
        <v>80</v>
      </c>
      <c r="E928" s="49" t="s">
        <v>173</v>
      </c>
      <c r="F928" s="49">
        <v>2016</v>
      </c>
      <c r="G928" s="50">
        <v>43235.583333333336</v>
      </c>
      <c r="H928" s="50">
        <v>43248.75</v>
      </c>
      <c r="I928" s="54">
        <v>43235</v>
      </c>
      <c r="J928" s="54">
        <v>43248</v>
      </c>
      <c r="K928" s="51" t="s">
        <v>527</v>
      </c>
      <c r="L928" s="51">
        <v>0.75</v>
      </c>
      <c r="M928" s="51" t="s">
        <v>542</v>
      </c>
      <c r="N928" s="51" t="s">
        <v>531</v>
      </c>
      <c r="O928" s="51" t="s">
        <v>669</v>
      </c>
      <c r="P928" s="49" t="s">
        <v>23</v>
      </c>
      <c r="Q928" s="49" t="s">
        <v>190</v>
      </c>
      <c r="R928" s="49" t="s">
        <v>109</v>
      </c>
      <c r="S928" s="49">
        <v>3</v>
      </c>
      <c r="T928" s="49">
        <v>10</v>
      </c>
      <c r="U928" s="63">
        <v>32</v>
      </c>
      <c r="V928" s="63">
        <v>320</v>
      </c>
    </row>
    <row r="929" spans="1:22" x14ac:dyDescent="0.25">
      <c r="A929" s="49" t="s">
        <v>738</v>
      </c>
      <c r="B929" s="49" t="s">
        <v>22</v>
      </c>
      <c r="C929" s="49" t="s">
        <v>176</v>
      </c>
      <c r="D929" s="49" t="s">
        <v>84</v>
      </c>
      <c r="E929" s="49" t="s">
        <v>172</v>
      </c>
      <c r="F929" s="49">
        <v>2016</v>
      </c>
      <c r="G929" s="50">
        <v>43236.375</v>
      </c>
      <c r="H929" s="50">
        <v>43242.75</v>
      </c>
      <c r="I929" s="54">
        <v>43236</v>
      </c>
      <c r="J929" s="54">
        <v>43242</v>
      </c>
      <c r="K929" s="51" t="s">
        <v>525</v>
      </c>
      <c r="L929" s="51">
        <v>0.75</v>
      </c>
      <c r="M929" s="51" t="s">
        <v>540</v>
      </c>
      <c r="N929" s="51" t="s">
        <v>531</v>
      </c>
      <c r="O929" s="51" t="s">
        <v>669</v>
      </c>
      <c r="P929" s="49" t="s">
        <v>23</v>
      </c>
      <c r="Q929" s="49" t="s">
        <v>35</v>
      </c>
      <c r="R929" s="49" t="s">
        <v>109</v>
      </c>
      <c r="S929" s="49">
        <v>3</v>
      </c>
      <c r="T929" s="49">
        <v>9</v>
      </c>
      <c r="U929" s="63">
        <v>52</v>
      </c>
      <c r="V929" s="63">
        <v>468</v>
      </c>
    </row>
    <row r="930" spans="1:22" x14ac:dyDescent="0.25">
      <c r="A930" s="49" t="s">
        <v>739</v>
      </c>
      <c r="B930" s="49" t="s">
        <v>29</v>
      </c>
      <c r="C930" s="49" t="s">
        <v>177</v>
      </c>
      <c r="D930" s="49" t="s">
        <v>79</v>
      </c>
      <c r="E930" s="49" t="s">
        <v>168</v>
      </c>
      <c r="F930" s="49">
        <v>2016</v>
      </c>
      <c r="G930" s="50">
        <v>43237.333333333336</v>
      </c>
      <c r="H930" s="50">
        <v>43250.5</v>
      </c>
      <c r="I930" s="54">
        <v>43237</v>
      </c>
      <c r="J930" s="54">
        <v>43250</v>
      </c>
      <c r="K930" s="51" t="s">
        <v>522</v>
      </c>
      <c r="L930" s="51">
        <v>0.5</v>
      </c>
      <c r="M930" s="51" t="s">
        <v>539</v>
      </c>
      <c r="N930" s="51" t="s">
        <v>531</v>
      </c>
      <c r="O930" s="51" t="s">
        <v>669</v>
      </c>
      <c r="P930" s="49" t="s">
        <v>9</v>
      </c>
      <c r="Q930" s="49" t="s">
        <v>37</v>
      </c>
      <c r="R930" s="49" t="s">
        <v>113</v>
      </c>
      <c r="S930" s="49">
        <v>4</v>
      </c>
      <c r="T930" s="49">
        <v>10</v>
      </c>
      <c r="U930" s="63">
        <v>48</v>
      </c>
      <c r="V930" s="63">
        <v>480</v>
      </c>
    </row>
    <row r="931" spans="1:22" x14ac:dyDescent="0.25">
      <c r="A931" s="49" t="s">
        <v>740</v>
      </c>
      <c r="B931" s="49" t="s">
        <v>29</v>
      </c>
      <c r="C931" s="49" t="s">
        <v>177</v>
      </c>
      <c r="D931" s="49" t="s">
        <v>82</v>
      </c>
      <c r="E931" s="49" t="s">
        <v>172</v>
      </c>
      <c r="F931" s="49">
        <v>2016</v>
      </c>
      <c r="G931" s="50">
        <v>43238.375</v>
      </c>
      <c r="H931" s="50">
        <v>43243.75</v>
      </c>
      <c r="I931" s="54">
        <v>43238</v>
      </c>
      <c r="J931" s="54">
        <v>43243</v>
      </c>
      <c r="K931" s="51" t="s">
        <v>525</v>
      </c>
      <c r="L931" s="51">
        <v>0.75</v>
      </c>
      <c r="M931" s="51" t="s">
        <v>540</v>
      </c>
      <c r="N931" s="51" t="s">
        <v>531</v>
      </c>
      <c r="O931" s="51" t="s">
        <v>669</v>
      </c>
      <c r="P931" s="49" t="s">
        <v>23</v>
      </c>
      <c r="Q931" s="49" t="s">
        <v>190</v>
      </c>
      <c r="R931" s="49" t="s">
        <v>109</v>
      </c>
      <c r="S931" s="49">
        <v>2</v>
      </c>
      <c r="T931" s="49">
        <v>11</v>
      </c>
      <c r="U931" s="63">
        <v>75</v>
      </c>
      <c r="V931" s="63">
        <v>825</v>
      </c>
    </row>
    <row r="932" spans="1:22" x14ac:dyDescent="0.25">
      <c r="A932" s="49" t="s">
        <v>741</v>
      </c>
      <c r="B932" s="49" t="s">
        <v>19</v>
      </c>
      <c r="C932" s="49" t="s">
        <v>176</v>
      </c>
      <c r="D932" s="49" t="s">
        <v>82</v>
      </c>
      <c r="E932" s="49" t="s">
        <v>172</v>
      </c>
      <c r="F932" s="49">
        <v>2016</v>
      </c>
      <c r="G932" s="50">
        <v>43240.791666666664</v>
      </c>
      <c r="H932" s="50">
        <v>43251.958333333336</v>
      </c>
      <c r="I932" s="54">
        <v>43240</v>
      </c>
      <c r="J932" s="54">
        <v>43251</v>
      </c>
      <c r="K932" s="51" t="s">
        <v>526</v>
      </c>
      <c r="L932" s="51">
        <v>0.95833333333333337</v>
      </c>
      <c r="M932" s="51" t="s">
        <v>541</v>
      </c>
      <c r="N932" s="51" t="s">
        <v>531</v>
      </c>
      <c r="O932" s="51" t="s">
        <v>669</v>
      </c>
      <c r="P932" s="49" t="s">
        <v>23</v>
      </c>
      <c r="Q932" s="49" t="s">
        <v>38</v>
      </c>
      <c r="R932" s="49" t="s">
        <v>113</v>
      </c>
      <c r="S932" s="49">
        <v>4</v>
      </c>
      <c r="T932" s="49">
        <v>11</v>
      </c>
      <c r="U932" s="63">
        <v>75</v>
      </c>
      <c r="V932" s="63">
        <v>825</v>
      </c>
    </row>
    <row r="933" spans="1:22" x14ac:dyDescent="0.25">
      <c r="A933" s="49" t="s">
        <v>742</v>
      </c>
      <c r="B933" s="49" t="s">
        <v>39</v>
      </c>
      <c r="C933" s="49" t="s">
        <v>177</v>
      </c>
      <c r="D933" s="49" t="s">
        <v>85</v>
      </c>
      <c r="E933" s="49" t="s">
        <v>170</v>
      </c>
      <c r="F933" s="49">
        <v>2016</v>
      </c>
      <c r="G933" s="50">
        <v>43240.791666666664</v>
      </c>
      <c r="H933" s="50">
        <v>43251.958333333336</v>
      </c>
      <c r="I933" s="54">
        <v>43240</v>
      </c>
      <c r="J933" s="54">
        <v>43251</v>
      </c>
      <c r="K933" s="51" t="s">
        <v>526</v>
      </c>
      <c r="L933" s="51">
        <v>0.95833333333333337</v>
      </c>
      <c r="M933" s="51" t="s">
        <v>541</v>
      </c>
      <c r="N933" s="51" t="s">
        <v>531</v>
      </c>
      <c r="O933" s="51" t="s">
        <v>669</v>
      </c>
      <c r="P933" s="49" t="s">
        <v>9</v>
      </c>
      <c r="Q933" s="49" t="s">
        <v>41</v>
      </c>
      <c r="R933" s="49" t="s">
        <v>113</v>
      </c>
      <c r="S933" s="49">
        <v>4</v>
      </c>
      <c r="T933" s="49">
        <v>12</v>
      </c>
      <c r="U933" s="63">
        <v>48</v>
      </c>
      <c r="V933" s="63">
        <v>576</v>
      </c>
    </row>
    <row r="934" spans="1:22" x14ac:dyDescent="0.25">
      <c r="A934" s="49" t="s">
        <v>743</v>
      </c>
      <c r="B934" s="49" t="s">
        <v>11</v>
      </c>
      <c r="C934" s="49" t="s">
        <v>175</v>
      </c>
      <c r="D934" s="49" t="s">
        <v>78</v>
      </c>
      <c r="E934" s="49" t="s">
        <v>172</v>
      </c>
      <c r="F934" s="49">
        <v>2016</v>
      </c>
      <c r="G934" s="50">
        <v>43241.791666666664</v>
      </c>
      <c r="H934" s="50">
        <v>43254.958333333336</v>
      </c>
      <c r="I934" s="54">
        <v>43241</v>
      </c>
      <c r="J934" s="54">
        <v>43254</v>
      </c>
      <c r="K934" s="51" t="s">
        <v>526</v>
      </c>
      <c r="L934" s="51">
        <v>0.95833333333333337</v>
      </c>
      <c r="M934" s="51" t="s">
        <v>541</v>
      </c>
      <c r="N934" s="51" t="s">
        <v>531</v>
      </c>
      <c r="O934" s="51" t="s">
        <v>669</v>
      </c>
      <c r="P934" s="49" t="s">
        <v>9</v>
      </c>
      <c r="Q934" s="49" t="s">
        <v>16</v>
      </c>
      <c r="R934" s="49" t="s">
        <v>109</v>
      </c>
      <c r="S934" s="49">
        <v>5</v>
      </c>
      <c r="T934" s="49">
        <v>8</v>
      </c>
      <c r="U934" s="63">
        <v>62</v>
      </c>
      <c r="V934" s="63">
        <v>496</v>
      </c>
    </row>
    <row r="935" spans="1:22" x14ac:dyDescent="0.25">
      <c r="A935" s="49" t="s">
        <v>744</v>
      </c>
      <c r="B935" s="49" t="s">
        <v>17</v>
      </c>
      <c r="C935" s="49" t="s">
        <v>176</v>
      </c>
      <c r="D935" s="49" t="s">
        <v>86</v>
      </c>
      <c r="E935" s="49" t="s">
        <v>169</v>
      </c>
      <c r="F935" s="49">
        <v>2016</v>
      </c>
      <c r="G935" s="50">
        <v>43242.583333333336</v>
      </c>
      <c r="H935" s="50">
        <v>43255.75</v>
      </c>
      <c r="I935" s="54">
        <v>43242</v>
      </c>
      <c r="J935" s="54">
        <v>43255</v>
      </c>
      <c r="K935" s="51" t="s">
        <v>527</v>
      </c>
      <c r="L935" s="51">
        <v>0.75</v>
      </c>
      <c r="M935" s="51" t="s">
        <v>542</v>
      </c>
      <c r="N935" s="51" t="s">
        <v>531</v>
      </c>
      <c r="O935" s="51" t="s">
        <v>669</v>
      </c>
      <c r="P935" s="49" t="s">
        <v>23</v>
      </c>
      <c r="Q935" s="49" t="s">
        <v>21</v>
      </c>
      <c r="R935" s="49" t="s">
        <v>113</v>
      </c>
      <c r="S935" s="49">
        <v>3</v>
      </c>
      <c r="T935" s="49">
        <v>10</v>
      </c>
      <c r="U935" s="63">
        <v>48</v>
      </c>
      <c r="V935" s="63">
        <v>480</v>
      </c>
    </row>
    <row r="936" spans="1:22" x14ac:dyDescent="0.25">
      <c r="A936" s="49" t="s">
        <v>745</v>
      </c>
      <c r="B936" s="49" t="s">
        <v>39</v>
      </c>
      <c r="C936" s="49" t="s">
        <v>177</v>
      </c>
      <c r="D936" s="49" t="s">
        <v>82</v>
      </c>
      <c r="E936" s="49" t="s">
        <v>172</v>
      </c>
      <c r="F936" s="49">
        <v>2016</v>
      </c>
      <c r="G936" s="50">
        <v>43243.375</v>
      </c>
      <c r="H936" s="50">
        <v>43249.75</v>
      </c>
      <c r="I936" s="54">
        <v>43243</v>
      </c>
      <c r="J936" s="54">
        <v>43249</v>
      </c>
      <c r="K936" s="51" t="s">
        <v>525</v>
      </c>
      <c r="L936" s="51">
        <v>0.75</v>
      </c>
      <c r="M936" s="51" t="s">
        <v>540</v>
      </c>
      <c r="N936" s="51" t="s">
        <v>531</v>
      </c>
      <c r="O936" s="51" t="s">
        <v>669</v>
      </c>
      <c r="P936" s="49" t="s">
        <v>23</v>
      </c>
      <c r="Q936" s="49" t="s">
        <v>31</v>
      </c>
      <c r="R936" s="49" t="s">
        <v>113</v>
      </c>
      <c r="S936" s="49">
        <v>3</v>
      </c>
      <c r="T936" s="49">
        <v>11</v>
      </c>
      <c r="U936" s="63">
        <v>75</v>
      </c>
      <c r="V936" s="63">
        <v>825</v>
      </c>
    </row>
    <row r="937" spans="1:22" x14ac:dyDescent="0.25">
      <c r="A937" s="49" t="s">
        <v>746</v>
      </c>
      <c r="B937" s="49" t="s">
        <v>7</v>
      </c>
      <c r="C937" s="49" t="s">
        <v>175</v>
      </c>
      <c r="D937" s="49" t="s">
        <v>80</v>
      </c>
      <c r="E937" s="49" t="s">
        <v>173</v>
      </c>
      <c r="F937" s="49">
        <v>2016</v>
      </c>
      <c r="G937" s="50">
        <v>43244.333333333336</v>
      </c>
      <c r="H937" s="50">
        <v>43257.5</v>
      </c>
      <c r="I937" s="54">
        <v>43244</v>
      </c>
      <c r="J937" s="54">
        <v>43257</v>
      </c>
      <c r="K937" s="51" t="s">
        <v>522</v>
      </c>
      <c r="L937" s="51">
        <v>0.5</v>
      </c>
      <c r="M937" s="51" t="s">
        <v>539</v>
      </c>
      <c r="N937" s="51" t="s">
        <v>531</v>
      </c>
      <c r="O937" s="51" t="s">
        <v>669</v>
      </c>
      <c r="P937" s="49" t="s">
        <v>23</v>
      </c>
      <c r="Q937" s="49" t="s">
        <v>190</v>
      </c>
      <c r="R937" s="49" t="s">
        <v>109</v>
      </c>
      <c r="S937" s="49">
        <v>4</v>
      </c>
      <c r="T937" s="49">
        <v>8</v>
      </c>
      <c r="U937" s="63">
        <v>32</v>
      </c>
      <c r="V937" s="63">
        <v>256</v>
      </c>
    </row>
    <row r="938" spans="1:22" x14ac:dyDescent="0.25">
      <c r="A938" s="49" t="s">
        <v>747</v>
      </c>
      <c r="B938" s="49" t="s">
        <v>14</v>
      </c>
      <c r="C938" s="49" t="s">
        <v>175</v>
      </c>
      <c r="D938" s="49" t="s">
        <v>80</v>
      </c>
      <c r="E938" s="49" t="s">
        <v>173</v>
      </c>
      <c r="F938" s="49">
        <v>2016</v>
      </c>
      <c r="G938" s="50">
        <v>43245.375</v>
      </c>
      <c r="H938" s="50">
        <v>43250.75</v>
      </c>
      <c r="I938" s="54">
        <v>43245</v>
      </c>
      <c r="J938" s="54">
        <v>43250</v>
      </c>
      <c r="K938" s="51" t="s">
        <v>525</v>
      </c>
      <c r="L938" s="51">
        <v>0.75</v>
      </c>
      <c r="M938" s="51" t="s">
        <v>540</v>
      </c>
      <c r="N938" s="51" t="s">
        <v>531</v>
      </c>
      <c r="O938" s="51" t="s">
        <v>669</v>
      </c>
      <c r="P938" s="49" t="s">
        <v>23</v>
      </c>
      <c r="Q938" s="49" t="s">
        <v>31</v>
      </c>
      <c r="R938" s="49" t="s">
        <v>113</v>
      </c>
      <c r="S938" s="49">
        <v>2</v>
      </c>
      <c r="T938" s="49">
        <v>11</v>
      </c>
      <c r="U938" s="63">
        <v>32</v>
      </c>
      <c r="V938" s="63">
        <v>352</v>
      </c>
    </row>
    <row r="939" spans="1:22" x14ac:dyDescent="0.25">
      <c r="A939" s="49" t="s">
        <v>748</v>
      </c>
      <c r="B939" s="49" t="s">
        <v>7</v>
      </c>
      <c r="C939" s="49" t="s">
        <v>175</v>
      </c>
      <c r="D939" s="49" t="s">
        <v>82</v>
      </c>
      <c r="E939" s="49" t="s">
        <v>172</v>
      </c>
      <c r="F939" s="49">
        <v>2016</v>
      </c>
      <c r="G939" s="50">
        <v>43247.791666666664</v>
      </c>
      <c r="H939" s="50">
        <v>43258.958333333336</v>
      </c>
      <c r="I939" s="54">
        <v>43247</v>
      </c>
      <c r="J939" s="54">
        <v>43258</v>
      </c>
      <c r="K939" s="51" t="s">
        <v>526</v>
      </c>
      <c r="L939" s="51">
        <v>0.95833333333333337</v>
      </c>
      <c r="M939" s="51" t="s">
        <v>541</v>
      </c>
      <c r="N939" s="51" t="s">
        <v>531</v>
      </c>
      <c r="O939" s="51" t="s">
        <v>669</v>
      </c>
      <c r="P939" s="49" t="s">
        <v>23</v>
      </c>
      <c r="Q939" s="49" t="s">
        <v>44</v>
      </c>
      <c r="R939" s="49" t="s">
        <v>113</v>
      </c>
      <c r="S939" s="49">
        <v>2</v>
      </c>
      <c r="T939" s="49">
        <v>11</v>
      </c>
      <c r="U939" s="63">
        <v>75</v>
      </c>
      <c r="V939" s="63">
        <v>825</v>
      </c>
    </row>
    <row r="940" spans="1:22" x14ac:dyDescent="0.25">
      <c r="A940" s="49" t="s">
        <v>749</v>
      </c>
      <c r="B940" s="49" t="s">
        <v>11</v>
      </c>
      <c r="C940" s="49" t="s">
        <v>175</v>
      </c>
      <c r="D940" s="49" t="s">
        <v>84</v>
      </c>
      <c r="E940" s="49" t="s">
        <v>172</v>
      </c>
      <c r="F940" s="49">
        <v>2016</v>
      </c>
      <c r="G940" s="50">
        <v>43247.791666666664</v>
      </c>
      <c r="H940" s="50">
        <v>43258.958333333336</v>
      </c>
      <c r="I940" s="54">
        <v>43247</v>
      </c>
      <c r="J940" s="54">
        <v>43258</v>
      </c>
      <c r="K940" s="51" t="s">
        <v>526</v>
      </c>
      <c r="L940" s="51">
        <v>0.95833333333333337</v>
      </c>
      <c r="M940" s="51" t="s">
        <v>541</v>
      </c>
      <c r="N940" s="51" t="s">
        <v>531</v>
      </c>
      <c r="O940" s="51" t="s">
        <v>669</v>
      </c>
      <c r="P940" s="49" t="s">
        <v>23</v>
      </c>
      <c r="Q940" s="49" t="s">
        <v>44</v>
      </c>
      <c r="R940" s="49" t="s">
        <v>113</v>
      </c>
      <c r="S940" s="49">
        <v>3</v>
      </c>
      <c r="T940" s="49">
        <v>12</v>
      </c>
      <c r="U940" s="63">
        <v>52</v>
      </c>
      <c r="V940" s="63">
        <v>624</v>
      </c>
    </row>
    <row r="941" spans="1:22" x14ac:dyDescent="0.25">
      <c r="A941" s="49" t="s">
        <v>750</v>
      </c>
      <c r="B941" s="49" t="s">
        <v>7</v>
      </c>
      <c r="C941" s="49" t="s">
        <v>175</v>
      </c>
      <c r="D941" s="49" t="s">
        <v>86</v>
      </c>
      <c r="E941" s="49" t="s">
        <v>169</v>
      </c>
      <c r="F941" s="49">
        <v>2016</v>
      </c>
      <c r="G941" s="50">
        <v>43248.791666666664</v>
      </c>
      <c r="H941" s="50">
        <v>43261.958333333336</v>
      </c>
      <c r="I941" s="54">
        <v>43248</v>
      </c>
      <c r="J941" s="54">
        <v>43261</v>
      </c>
      <c r="K941" s="51" t="s">
        <v>526</v>
      </c>
      <c r="L941" s="51">
        <v>0.95833333333333337</v>
      </c>
      <c r="M941" s="51" t="s">
        <v>541</v>
      </c>
      <c r="N941" s="51" t="s">
        <v>531</v>
      </c>
      <c r="O941" s="51" t="s">
        <v>669</v>
      </c>
      <c r="P941" s="49" t="s">
        <v>9</v>
      </c>
      <c r="Q941" s="49" t="s">
        <v>190</v>
      </c>
      <c r="R941" s="49" t="s">
        <v>109</v>
      </c>
      <c r="S941" s="49">
        <v>3</v>
      </c>
      <c r="T941" s="49">
        <v>10</v>
      </c>
      <c r="U941" s="63">
        <v>48</v>
      </c>
      <c r="V941" s="63">
        <v>480</v>
      </c>
    </row>
    <row r="942" spans="1:22" x14ac:dyDescent="0.25">
      <c r="A942" s="49" t="s">
        <v>751</v>
      </c>
      <c r="B942" s="49" t="s">
        <v>22</v>
      </c>
      <c r="C942" s="49" t="s">
        <v>176</v>
      </c>
      <c r="D942" s="49" t="s">
        <v>80</v>
      </c>
      <c r="E942" s="49" t="s">
        <v>173</v>
      </c>
      <c r="F942" s="49">
        <v>2016</v>
      </c>
      <c r="G942" s="50">
        <v>43249.583333333336</v>
      </c>
      <c r="H942" s="50">
        <v>43262.75</v>
      </c>
      <c r="I942" s="54">
        <v>43249</v>
      </c>
      <c r="J942" s="54">
        <v>43262</v>
      </c>
      <c r="K942" s="51" t="s">
        <v>527</v>
      </c>
      <c r="L942" s="51">
        <v>0.75</v>
      </c>
      <c r="M942" s="51" t="s">
        <v>542</v>
      </c>
      <c r="N942" s="51" t="s">
        <v>531</v>
      </c>
      <c r="O942" s="51" t="s">
        <v>669</v>
      </c>
      <c r="P942" s="49" t="s">
        <v>23</v>
      </c>
      <c r="Q942" s="49" t="s">
        <v>44</v>
      </c>
      <c r="R942" s="49" t="s">
        <v>113</v>
      </c>
      <c r="S942" s="49">
        <v>3</v>
      </c>
      <c r="T942" s="49">
        <v>12</v>
      </c>
      <c r="U942" s="63">
        <v>32</v>
      </c>
      <c r="V942" s="63">
        <v>384</v>
      </c>
    </row>
    <row r="943" spans="1:22" x14ac:dyDescent="0.25">
      <c r="A943" s="49" t="s">
        <v>752</v>
      </c>
      <c r="B943" s="49" t="s">
        <v>7</v>
      </c>
      <c r="C943" s="49" t="s">
        <v>175</v>
      </c>
      <c r="D943" s="49" t="s">
        <v>82</v>
      </c>
      <c r="E943" s="49" t="s">
        <v>172</v>
      </c>
      <c r="F943" s="49">
        <v>2016</v>
      </c>
      <c r="G943" s="50">
        <v>43250.375</v>
      </c>
      <c r="H943" s="50">
        <v>43256.75</v>
      </c>
      <c r="I943" s="54">
        <v>43250</v>
      </c>
      <c r="J943" s="54">
        <v>43256</v>
      </c>
      <c r="K943" s="51" t="s">
        <v>525</v>
      </c>
      <c r="L943" s="51">
        <v>0.75</v>
      </c>
      <c r="M943" s="51" t="s">
        <v>540</v>
      </c>
      <c r="N943" s="51" t="s">
        <v>531</v>
      </c>
      <c r="O943" s="51" t="s">
        <v>669</v>
      </c>
      <c r="P943" s="49" t="s">
        <v>23</v>
      </c>
      <c r="Q943" s="49" t="s">
        <v>33</v>
      </c>
      <c r="R943" s="49" t="s">
        <v>113</v>
      </c>
      <c r="S943" s="49">
        <v>3</v>
      </c>
      <c r="T943" s="49">
        <v>10</v>
      </c>
      <c r="U943" s="63">
        <v>75</v>
      </c>
      <c r="V943" s="63">
        <v>750</v>
      </c>
    </row>
    <row r="944" spans="1:22" x14ac:dyDescent="0.25">
      <c r="A944" s="49" t="s">
        <v>753</v>
      </c>
      <c r="B944" s="49" t="s">
        <v>17</v>
      </c>
      <c r="C944" s="49" t="s">
        <v>176</v>
      </c>
      <c r="D944" s="49" t="s">
        <v>86</v>
      </c>
      <c r="E944" s="49" t="s">
        <v>169</v>
      </c>
      <c r="F944" s="49">
        <v>2016</v>
      </c>
      <c r="G944" s="50">
        <v>43251.333333333336</v>
      </c>
      <c r="H944" s="50">
        <v>43264.5</v>
      </c>
      <c r="I944" s="54">
        <v>43251</v>
      </c>
      <c r="J944" s="54">
        <v>43264</v>
      </c>
      <c r="K944" s="51" t="s">
        <v>522</v>
      </c>
      <c r="L944" s="51">
        <v>0.5</v>
      </c>
      <c r="M944" s="51" t="s">
        <v>539</v>
      </c>
      <c r="N944" s="51" t="s">
        <v>531</v>
      </c>
      <c r="O944" s="51" t="s">
        <v>669</v>
      </c>
      <c r="P944" s="49" t="s">
        <v>23</v>
      </c>
      <c r="Q944" s="49" t="s">
        <v>37</v>
      </c>
      <c r="R944" s="49" t="s">
        <v>113</v>
      </c>
      <c r="S944" s="49">
        <v>5</v>
      </c>
      <c r="T944" s="49">
        <v>11</v>
      </c>
      <c r="U944" s="63">
        <v>48</v>
      </c>
      <c r="V944" s="63">
        <v>528</v>
      </c>
    </row>
    <row r="945" spans="1:22" x14ac:dyDescent="0.25">
      <c r="A945" s="49" t="s">
        <v>754</v>
      </c>
      <c r="B945" s="49" t="s">
        <v>19</v>
      </c>
      <c r="C945" s="49" t="s">
        <v>176</v>
      </c>
      <c r="D945" s="49" t="s">
        <v>80</v>
      </c>
      <c r="E945" s="49" t="s">
        <v>173</v>
      </c>
      <c r="F945" s="49">
        <v>2016</v>
      </c>
      <c r="G945" s="50">
        <v>43252.375</v>
      </c>
      <c r="H945" s="50">
        <v>43257.75</v>
      </c>
      <c r="I945" s="54">
        <v>43252</v>
      </c>
      <c r="J945" s="54">
        <v>43257</v>
      </c>
      <c r="K945" s="51" t="s">
        <v>525</v>
      </c>
      <c r="L945" s="51">
        <v>0.75</v>
      </c>
      <c r="M945" s="51" t="s">
        <v>540</v>
      </c>
      <c r="N945" s="51" t="s">
        <v>532</v>
      </c>
      <c r="O945" s="51" t="s">
        <v>669</v>
      </c>
      <c r="P945" s="49" t="s">
        <v>9</v>
      </c>
      <c r="Q945" s="49" t="s">
        <v>21</v>
      </c>
      <c r="R945" s="49" t="s">
        <v>113</v>
      </c>
      <c r="S945" s="49">
        <v>4</v>
      </c>
      <c r="T945" s="49">
        <v>8</v>
      </c>
      <c r="U945" s="63">
        <v>32</v>
      </c>
      <c r="V945" s="63">
        <v>256</v>
      </c>
    </row>
    <row r="946" spans="1:22" x14ac:dyDescent="0.25">
      <c r="A946" s="49" t="s">
        <v>755</v>
      </c>
      <c r="B946" s="49" t="s">
        <v>45</v>
      </c>
      <c r="C946" s="49" t="s">
        <v>177</v>
      </c>
      <c r="D946" s="49" t="s">
        <v>76</v>
      </c>
      <c r="E946" s="49" t="s">
        <v>174</v>
      </c>
      <c r="F946" s="49">
        <v>2016</v>
      </c>
      <c r="G946" s="50">
        <v>43254.791666666664</v>
      </c>
      <c r="H946" s="50">
        <v>43265.958333333336</v>
      </c>
      <c r="I946" s="54">
        <v>43254</v>
      </c>
      <c r="J946" s="54">
        <v>43265</v>
      </c>
      <c r="K946" s="51" t="s">
        <v>526</v>
      </c>
      <c r="L946" s="51">
        <v>0.95833333333333337</v>
      </c>
      <c r="M946" s="51" t="s">
        <v>541</v>
      </c>
      <c r="N946" s="51" t="s">
        <v>532</v>
      </c>
      <c r="O946" s="51" t="s">
        <v>669</v>
      </c>
      <c r="P946" s="49" t="s">
        <v>23</v>
      </c>
      <c r="Q946" s="49" t="s">
        <v>37</v>
      </c>
      <c r="R946" s="49" t="s">
        <v>113</v>
      </c>
      <c r="S946" s="49">
        <v>3</v>
      </c>
      <c r="T946" s="49">
        <v>9</v>
      </c>
      <c r="U946" s="63">
        <v>53</v>
      </c>
      <c r="V946" s="63">
        <v>477</v>
      </c>
    </row>
    <row r="947" spans="1:22" x14ac:dyDescent="0.25">
      <c r="A947" s="49" t="s">
        <v>756</v>
      </c>
      <c r="B947" s="49" t="s">
        <v>29</v>
      </c>
      <c r="C947" s="49" t="s">
        <v>177</v>
      </c>
      <c r="D947" s="49" t="s">
        <v>82</v>
      </c>
      <c r="E947" s="49" t="s">
        <v>172</v>
      </c>
      <c r="F947" s="49">
        <v>2016</v>
      </c>
      <c r="G947" s="50">
        <v>43254.791666666664</v>
      </c>
      <c r="H947" s="50">
        <v>43265.958333333336</v>
      </c>
      <c r="I947" s="54">
        <v>43254</v>
      </c>
      <c r="J947" s="54">
        <v>43265</v>
      </c>
      <c r="K947" s="51" t="s">
        <v>526</v>
      </c>
      <c r="L947" s="51">
        <v>0.95833333333333337</v>
      </c>
      <c r="M947" s="51" t="s">
        <v>541</v>
      </c>
      <c r="N947" s="51" t="s">
        <v>532</v>
      </c>
      <c r="O947" s="51" t="s">
        <v>669</v>
      </c>
      <c r="P947" s="49" t="s">
        <v>23</v>
      </c>
      <c r="Q947" s="49" t="s">
        <v>37</v>
      </c>
      <c r="R947" s="49" t="s">
        <v>113</v>
      </c>
      <c r="S947" s="49">
        <v>5</v>
      </c>
      <c r="T947" s="49">
        <v>8</v>
      </c>
      <c r="U947" s="63">
        <v>75</v>
      </c>
      <c r="V947" s="63">
        <v>600</v>
      </c>
    </row>
    <row r="948" spans="1:22" x14ac:dyDescent="0.25">
      <c r="A948" s="49" t="s">
        <v>757</v>
      </c>
      <c r="B948" s="49" t="s">
        <v>29</v>
      </c>
      <c r="C948" s="49" t="s">
        <v>177</v>
      </c>
      <c r="D948" s="49" t="s">
        <v>78</v>
      </c>
      <c r="E948" s="49" t="s">
        <v>172</v>
      </c>
      <c r="F948" s="49">
        <v>2016</v>
      </c>
      <c r="G948" s="50">
        <v>43255.791666666664</v>
      </c>
      <c r="H948" s="50">
        <v>43268.958333333336</v>
      </c>
      <c r="I948" s="54">
        <v>43255</v>
      </c>
      <c r="J948" s="54">
        <v>43268</v>
      </c>
      <c r="K948" s="51" t="s">
        <v>526</v>
      </c>
      <c r="L948" s="51">
        <v>0.95833333333333337</v>
      </c>
      <c r="M948" s="51" t="s">
        <v>541</v>
      </c>
      <c r="N948" s="51" t="s">
        <v>532</v>
      </c>
      <c r="O948" s="51" t="s">
        <v>669</v>
      </c>
      <c r="P948" s="49" t="s">
        <v>9</v>
      </c>
      <c r="Q948" s="49" t="s">
        <v>28</v>
      </c>
      <c r="R948" s="49" t="s">
        <v>109</v>
      </c>
      <c r="S948" s="49">
        <v>5</v>
      </c>
      <c r="T948" s="49">
        <v>10</v>
      </c>
      <c r="U948" s="63">
        <v>62</v>
      </c>
      <c r="V948" s="63">
        <v>620</v>
      </c>
    </row>
    <row r="949" spans="1:22" x14ac:dyDescent="0.25">
      <c r="A949" s="49" t="s">
        <v>758</v>
      </c>
      <c r="B949" s="49" t="s">
        <v>7</v>
      </c>
      <c r="C949" s="49" t="s">
        <v>175</v>
      </c>
      <c r="D949" s="49" t="s">
        <v>83</v>
      </c>
      <c r="E949" s="49" t="s">
        <v>174</v>
      </c>
      <c r="F949" s="49">
        <v>2016</v>
      </c>
      <c r="G949" s="50">
        <v>43256.583333333336</v>
      </c>
      <c r="H949" s="50">
        <v>43269.75</v>
      </c>
      <c r="I949" s="54">
        <v>43256</v>
      </c>
      <c r="J949" s="54">
        <v>43269</v>
      </c>
      <c r="K949" s="51" t="s">
        <v>527</v>
      </c>
      <c r="L949" s="51">
        <v>0.75</v>
      </c>
      <c r="M949" s="51" t="s">
        <v>542</v>
      </c>
      <c r="N949" s="51" t="s">
        <v>532</v>
      </c>
      <c r="O949" s="51" t="s">
        <v>669</v>
      </c>
      <c r="P949" s="49" t="s">
        <v>9</v>
      </c>
      <c r="Q949" s="49" t="s">
        <v>16</v>
      </c>
      <c r="R949" s="49" t="s">
        <v>109</v>
      </c>
      <c r="S949" s="49">
        <v>3</v>
      </c>
      <c r="T949" s="49">
        <v>11</v>
      </c>
      <c r="U949" s="63">
        <v>63</v>
      </c>
      <c r="V949" s="63">
        <v>693</v>
      </c>
    </row>
    <row r="950" spans="1:22" x14ac:dyDescent="0.25">
      <c r="A950" s="49" t="s">
        <v>759</v>
      </c>
      <c r="B950" s="49" t="s">
        <v>45</v>
      </c>
      <c r="C950" s="49" t="s">
        <v>177</v>
      </c>
      <c r="D950" s="49" t="s">
        <v>81</v>
      </c>
      <c r="E950" s="49" t="s">
        <v>172</v>
      </c>
      <c r="F950" s="49">
        <v>2016</v>
      </c>
      <c r="G950" s="50">
        <v>43257.375</v>
      </c>
      <c r="H950" s="50">
        <v>43263.75</v>
      </c>
      <c r="I950" s="54">
        <v>43257</v>
      </c>
      <c r="J950" s="54">
        <v>43263</v>
      </c>
      <c r="K950" s="51" t="s">
        <v>525</v>
      </c>
      <c r="L950" s="51">
        <v>0.75</v>
      </c>
      <c r="M950" s="51" t="s">
        <v>540</v>
      </c>
      <c r="N950" s="51" t="s">
        <v>532</v>
      </c>
      <c r="O950" s="51" t="s">
        <v>669</v>
      </c>
      <c r="P950" s="49" t="s">
        <v>23</v>
      </c>
      <c r="Q950" s="49" t="s">
        <v>41</v>
      </c>
      <c r="R950" s="49" t="s">
        <v>113</v>
      </c>
      <c r="S950" s="49">
        <v>5</v>
      </c>
      <c r="T950" s="49">
        <v>8</v>
      </c>
      <c r="U950" s="63">
        <v>42</v>
      </c>
      <c r="V950" s="63">
        <v>336</v>
      </c>
    </row>
    <row r="951" spans="1:22" x14ac:dyDescent="0.25">
      <c r="A951" s="49" t="s">
        <v>760</v>
      </c>
      <c r="B951" s="49" t="s">
        <v>7</v>
      </c>
      <c r="C951" s="49" t="s">
        <v>175</v>
      </c>
      <c r="D951" s="49" t="s">
        <v>78</v>
      </c>
      <c r="E951" s="49" t="s">
        <v>172</v>
      </c>
      <c r="F951" s="49">
        <v>2016</v>
      </c>
      <c r="G951" s="50">
        <v>43258.333333333336</v>
      </c>
      <c r="H951" s="50">
        <v>43271.5</v>
      </c>
      <c r="I951" s="54">
        <v>43258</v>
      </c>
      <c r="J951" s="54">
        <v>43271</v>
      </c>
      <c r="K951" s="51" t="s">
        <v>522</v>
      </c>
      <c r="L951" s="51">
        <v>0.5</v>
      </c>
      <c r="M951" s="51" t="s">
        <v>539</v>
      </c>
      <c r="N951" s="51" t="s">
        <v>532</v>
      </c>
      <c r="O951" s="51" t="s">
        <v>669</v>
      </c>
      <c r="P951" s="49" t="s">
        <v>23</v>
      </c>
      <c r="Q951" s="49" t="s">
        <v>16</v>
      </c>
      <c r="R951" s="49" t="s">
        <v>109</v>
      </c>
      <c r="S951" s="49">
        <v>4</v>
      </c>
      <c r="T951" s="49">
        <v>8</v>
      </c>
      <c r="U951" s="63">
        <v>62</v>
      </c>
      <c r="V951" s="63">
        <v>496</v>
      </c>
    </row>
    <row r="952" spans="1:22" x14ac:dyDescent="0.25">
      <c r="A952" s="49" t="s">
        <v>761</v>
      </c>
      <c r="B952" s="49" t="s">
        <v>11</v>
      </c>
      <c r="C952" s="49" t="s">
        <v>175</v>
      </c>
      <c r="D952" s="49" t="s">
        <v>81</v>
      </c>
      <c r="E952" s="49" t="s">
        <v>172</v>
      </c>
      <c r="F952" s="49">
        <v>2016</v>
      </c>
      <c r="G952" s="50">
        <v>43259.375</v>
      </c>
      <c r="H952" s="50">
        <v>43264.75</v>
      </c>
      <c r="I952" s="54">
        <v>43259</v>
      </c>
      <c r="J952" s="54">
        <v>43264</v>
      </c>
      <c r="K952" s="51" t="s">
        <v>525</v>
      </c>
      <c r="L952" s="51">
        <v>0.75</v>
      </c>
      <c r="M952" s="51" t="s">
        <v>540</v>
      </c>
      <c r="N952" s="51" t="s">
        <v>532</v>
      </c>
      <c r="O952" s="51" t="s">
        <v>669</v>
      </c>
      <c r="P952" s="49" t="s">
        <v>9</v>
      </c>
      <c r="Q952" s="49" t="s">
        <v>16</v>
      </c>
      <c r="R952" s="49" t="s">
        <v>109</v>
      </c>
      <c r="S952" s="49">
        <v>2</v>
      </c>
      <c r="T952" s="49">
        <v>9</v>
      </c>
      <c r="U952" s="63">
        <v>43</v>
      </c>
      <c r="V952" s="63">
        <v>387</v>
      </c>
    </row>
    <row r="953" spans="1:22" x14ac:dyDescent="0.25">
      <c r="A953" s="49" t="s">
        <v>762</v>
      </c>
      <c r="B953" s="49" t="s">
        <v>22</v>
      </c>
      <c r="C953" s="49" t="s">
        <v>176</v>
      </c>
      <c r="D953" s="49" t="s">
        <v>80</v>
      </c>
      <c r="E953" s="49" t="s">
        <v>173</v>
      </c>
      <c r="F953" s="49">
        <v>2016</v>
      </c>
      <c r="G953" s="50">
        <v>43261.791666666664</v>
      </c>
      <c r="H953" s="50">
        <v>43272.958333333336</v>
      </c>
      <c r="I953" s="54">
        <v>43261</v>
      </c>
      <c r="J953" s="54">
        <v>43272</v>
      </c>
      <c r="K953" s="51" t="s">
        <v>526</v>
      </c>
      <c r="L953" s="51">
        <v>0.95833333333333337</v>
      </c>
      <c r="M953" s="51" t="s">
        <v>541</v>
      </c>
      <c r="N953" s="51" t="s">
        <v>532</v>
      </c>
      <c r="O953" s="51" t="s">
        <v>669</v>
      </c>
      <c r="P953" s="49" t="s">
        <v>23</v>
      </c>
      <c r="Q953" s="49" t="s">
        <v>190</v>
      </c>
      <c r="R953" s="49" t="s">
        <v>109</v>
      </c>
      <c r="S953" s="49">
        <v>4</v>
      </c>
      <c r="T953" s="49">
        <v>11</v>
      </c>
      <c r="U953" s="63">
        <v>32</v>
      </c>
      <c r="V953" s="63">
        <v>352</v>
      </c>
    </row>
    <row r="954" spans="1:22" x14ac:dyDescent="0.25">
      <c r="A954" s="49" t="s">
        <v>763</v>
      </c>
      <c r="B954" s="49" t="s">
        <v>29</v>
      </c>
      <c r="C954" s="49" t="s">
        <v>177</v>
      </c>
      <c r="D954" s="49" t="s">
        <v>77</v>
      </c>
      <c r="E954" s="49" t="s">
        <v>172</v>
      </c>
      <c r="F954" s="49">
        <v>2016</v>
      </c>
      <c r="G954" s="50">
        <v>43261.791666666664</v>
      </c>
      <c r="H954" s="50">
        <v>43272.958333333336</v>
      </c>
      <c r="I954" s="54">
        <v>43261</v>
      </c>
      <c r="J954" s="54">
        <v>43272</v>
      </c>
      <c r="K954" s="51" t="s">
        <v>526</v>
      </c>
      <c r="L954" s="51">
        <v>0.95833333333333337</v>
      </c>
      <c r="M954" s="51" t="s">
        <v>541</v>
      </c>
      <c r="N954" s="51" t="s">
        <v>532</v>
      </c>
      <c r="O954" s="51" t="s">
        <v>669</v>
      </c>
      <c r="P954" s="49" t="s">
        <v>23</v>
      </c>
      <c r="Q954" s="49" t="s">
        <v>31</v>
      </c>
      <c r="R954" s="49" t="s">
        <v>113</v>
      </c>
      <c r="S954" s="49">
        <v>5</v>
      </c>
      <c r="T954" s="49">
        <v>11</v>
      </c>
      <c r="U954" s="63">
        <v>35</v>
      </c>
      <c r="V954" s="63">
        <v>385</v>
      </c>
    </row>
    <row r="955" spans="1:22" x14ac:dyDescent="0.25">
      <c r="A955" s="49" t="s">
        <v>764</v>
      </c>
      <c r="B955" s="49" t="s">
        <v>22</v>
      </c>
      <c r="C955" s="49" t="s">
        <v>176</v>
      </c>
      <c r="D955" s="49" t="s">
        <v>76</v>
      </c>
      <c r="E955" s="49" t="s">
        <v>174</v>
      </c>
      <c r="F955" s="49">
        <v>2016</v>
      </c>
      <c r="G955" s="50">
        <v>43262.791666666664</v>
      </c>
      <c r="H955" s="50">
        <v>43275.958333333336</v>
      </c>
      <c r="I955" s="54">
        <v>43262</v>
      </c>
      <c r="J955" s="54">
        <v>43275</v>
      </c>
      <c r="K955" s="51" t="s">
        <v>526</v>
      </c>
      <c r="L955" s="51">
        <v>0.95833333333333337</v>
      </c>
      <c r="M955" s="51" t="s">
        <v>541</v>
      </c>
      <c r="N955" s="51" t="s">
        <v>532</v>
      </c>
      <c r="O955" s="51" t="s">
        <v>669</v>
      </c>
      <c r="P955" s="49" t="s">
        <v>9</v>
      </c>
      <c r="Q955" s="49" t="s">
        <v>21</v>
      </c>
      <c r="R955" s="49" t="s">
        <v>113</v>
      </c>
      <c r="S955" s="49">
        <v>3</v>
      </c>
      <c r="T955" s="49">
        <v>12</v>
      </c>
      <c r="U955" s="63">
        <v>53</v>
      </c>
      <c r="V955" s="63">
        <v>636</v>
      </c>
    </row>
    <row r="956" spans="1:22" x14ac:dyDescent="0.25">
      <c r="A956" s="49" t="s">
        <v>765</v>
      </c>
      <c r="B956" s="49" t="s">
        <v>19</v>
      </c>
      <c r="C956" s="49" t="s">
        <v>176</v>
      </c>
      <c r="D956" s="49" t="s">
        <v>81</v>
      </c>
      <c r="E956" s="49" t="s">
        <v>172</v>
      </c>
      <c r="F956" s="49">
        <v>2016</v>
      </c>
      <c r="G956" s="50">
        <v>43263.583333333336</v>
      </c>
      <c r="H956" s="50">
        <v>43276.75</v>
      </c>
      <c r="I956" s="54">
        <v>43263</v>
      </c>
      <c r="J956" s="54">
        <v>43276</v>
      </c>
      <c r="K956" s="51" t="s">
        <v>527</v>
      </c>
      <c r="L956" s="51">
        <v>0.75</v>
      </c>
      <c r="M956" s="51" t="s">
        <v>542</v>
      </c>
      <c r="N956" s="51" t="s">
        <v>532</v>
      </c>
      <c r="O956" s="51" t="s">
        <v>669</v>
      </c>
      <c r="P956" s="49" t="s">
        <v>9</v>
      </c>
      <c r="Q956" s="49" t="s">
        <v>38</v>
      </c>
      <c r="R956" s="49" t="s">
        <v>113</v>
      </c>
      <c r="S956" s="49">
        <v>5</v>
      </c>
      <c r="T956" s="49">
        <v>11</v>
      </c>
      <c r="U956" s="63">
        <v>43</v>
      </c>
      <c r="V956" s="63">
        <v>473</v>
      </c>
    </row>
    <row r="957" spans="1:22" x14ac:dyDescent="0.25">
      <c r="A957" s="49" t="s">
        <v>766</v>
      </c>
      <c r="B957" s="49" t="s">
        <v>22</v>
      </c>
      <c r="C957" s="49" t="s">
        <v>176</v>
      </c>
      <c r="D957" s="49" t="s">
        <v>88</v>
      </c>
      <c r="E957" s="49" t="s">
        <v>170</v>
      </c>
      <c r="F957" s="49">
        <v>2016</v>
      </c>
      <c r="G957" s="50">
        <v>43264.375</v>
      </c>
      <c r="H957" s="50">
        <v>43270.75</v>
      </c>
      <c r="I957" s="54">
        <v>43264</v>
      </c>
      <c r="J957" s="54">
        <v>43270</v>
      </c>
      <c r="K957" s="51" t="s">
        <v>525</v>
      </c>
      <c r="L957" s="51">
        <v>0.75</v>
      </c>
      <c r="M957" s="51" t="s">
        <v>540</v>
      </c>
      <c r="N957" s="51" t="s">
        <v>532</v>
      </c>
      <c r="O957" s="51" t="s">
        <v>669</v>
      </c>
      <c r="P957" s="49" t="s">
        <v>23</v>
      </c>
      <c r="Q957" s="49" t="s">
        <v>18</v>
      </c>
      <c r="R957" s="49" t="s">
        <v>113</v>
      </c>
      <c r="S957" s="49">
        <v>4</v>
      </c>
      <c r="T957" s="49">
        <v>12</v>
      </c>
      <c r="U957" s="63">
        <v>42</v>
      </c>
      <c r="V957" s="63">
        <v>504</v>
      </c>
    </row>
    <row r="958" spans="1:22" x14ac:dyDescent="0.25">
      <c r="A958" s="49" t="s">
        <v>767</v>
      </c>
      <c r="B958" s="49" t="s">
        <v>17</v>
      </c>
      <c r="C958" s="49" t="s">
        <v>176</v>
      </c>
      <c r="D958" s="49" t="s">
        <v>88</v>
      </c>
      <c r="E958" s="49" t="s">
        <v>170</v>
      </c>
      <c r="F958" s="49">
        <v>2016</v>
      </c>
      <c r="G958" s="50">
        <v>43265.333333333336</v>
      </c>
      <c r="H958" s="50">
        <v>43278.5</v>
      </c>
      <c r="I958" s="54">
        <v>43265</v>
      </c>
      <c r="J958" s="54">
        <v>43278</v>
      </c>
      <c r="K958" s="51" t="s">
        <v>522</v>
      </c>
      <c r="L958" s="51">
        <v>0.5</v>
      </c>
      <c r="M958" s="51" t="s">
        <v>539</v>
      </c>
      <c r="N958" s="51" t="s">
        <v>532</v>
      </c>
      <c r="O958" s="51" t="s">
        <v>669</v>
      </c>
      <c r="P958" s="49" t="s">
        <v>9</v>
      </c>
      <c r="Q958" s="49" t="s">
        <v>38</v>
      </c>
      <c r="R958" s="49" t="s">
        <v>113</v>
      </c>
      <c r="S958" s="49">
        <v>5</v>
      </c>
      <c r="T958" s="49">
        <v>12</v>
      </c>
      <c r="U958" s="63">
        <v>42</v>
      </c>
      <c r="V958" s="63">
        <v>504</v>
      </c>
    </row>
    <row r="959" spans="1:22" x14ac:dyDescent="0.25">
      <c r="A959" s="49" t="s">
        <v>768</v>
      </c>
      <c r="B959" s="49" t="s">
        <v>7</v>
      </c>
      <c r="C959" s="49" t="s">
        <v>175</v>
      </c>
      <c r="D959" s="49" t="s">
        <v>86</v>
      </c>
      <c r="E959" s="49" t="s">
        <v>169</v>
      </c>
      <c r="F959" s="49">
        <v>2016</v>
      </c>
      <c r="G959" s="50">
        <v>43266.375</v>
      </c>
      <c r="H959" s="50">
        <v>43271.75</v>
      </c>
      <c r="I959" s="54">
        <v>43266</v>
      </c>
      <c r="J959" s="54">
        <v>43271</v>
      </c>
      <c r="K959" s="51" t="s">
        <v>525</v>
      </c>
      <c r="L959" s="51">
        <v>0.75</v>
      </c>
      <c r="M959" s="51" t="s">
        <v>540</v>
      </c>
      <c r="N959" s="51" t="s">
        <v>532</v>
      </c>
      <c r="O959" s="51" t="s">
        <v>669</v>
      </c>
      <c r="P959" s="49" t="s">
        <v>9</v>
      </c>
      <c r="Q959" s="49" t="s">
        <v>38</v>
      </c>
      <c r="R959" s="49" t="s">
        <v>113</v>
      </c>
      <c r="S959" s="49">
        <v>5</v>
      </c>
      <c r="T959" s="49">
        <v>8</v>
      </c>
      <c r="U959" s="63">
        <v>48</v>
      </c>
      <c r="V959" s="63">
        <v>384</v>
      </c>
    </row>
    <row r="960" spans="1:22" x14ac:dyDescent="0.25">
      <c r="A960" s="49" t="s">
        <v>769</v>
      </c>
      <c r="B960" s="49" t="s">
        <v>17</v>
      </c>
      <c r="C960" s="49" t="s">
        <v>176</v>
      </c>
      <c r="D960" s="49" t="s">
        <v>79</v>
      </c>
      <c r="E960" s="49" t="s">
        <v>168</v>
      </c>
      <c r="F960" s="49">
        <v>2016</v>
      </c>
      <c r="G960" s="50">
        <v>43268.791666666664</v>
      </c>
      <c r="H960" s="50">
        <v>43279.958333333336</v>
      </c>
      <c r="I960" s="54">
        <v>43268</v>
      </c>
      <c r="J960" s="54">
        <v>43279</v>
      </c>
      <c r="K960" s="51" t="s">
        <v>526</v>
      </c>
      <c r="L960" s="51">
        <v>0.95833333333333337</v>
      </c>
      <c r="M960" s="51" t="s">
        <v>541</v>
      </c>
      <c r="N960" s="51" t="s">
        <v>532</v>
      </c>
      <c r="O960" s="51" t="s">
        <v>669</v>
      </c>
      <c r="P960" s="49" t="s">
        <v>23</v>
      </c>
      <c r="Q960" s="49" t="s">
        <v>28</v>
      </c>
      <c r="R960" s="49" t="s">
        <v>109</v>
      </c>
      <c r="S960" s="49">
        <v>5</v>
      </c>
      <c r="T960" s="49">
        <v>8</v>
      </c>
      <c r="U960" s="63">
        <v>48</v>
      </c>
      <c r="V960" s="63">
        <v>384</v>
      </c>
    </row>
    <row r="961" spans="1:22" x14ac:dyDescent="0.25">
      <c r="A961" s="49" t="s">
        <v>770</v>
      </c>
      <c r="B961" s="49" t="s">
        <v>29</v>
      </c>
      <c r="C961" s="49" t="s">
        <v>177</v>
      </c>
      <c r="D961" s="49" t="s">
        <v>76</v>
      </c>
      <c r="E961" s="49" t="s">
        <v>174</v>
      </c>
      <c r="F961" s="49">
        <v>2016</v>
      </c>
      <c r="G961" s="50">
        <v>43268.791666666664</v>
      </c>
      <c r="H961" s="50">
        <v>43279.958333333336</v>
      </c>
      <c r="I961" s="54">
        <v>43268</v>
      </c>
      <c r="J961" s="54">
        <v>43279</v>
      </c>
      <c r="K961" s="51" t="s">
        <v>526</v>
      </c>
      <c r="L961" s="51">
        <v>0.95833333333333337</v>
      </c>
      <c r="M961" s="51" t="s">
        <v>541</v>
      </c>
      <c r="N961" s="51" t="s">
        <v>532</v>
      </c>
      <c r="O961" s="51" t="s">
        <v>669</v>
      </c>
      <c r="P961" s="49" t="s">
        <v>9</v>
      </c>
      <c r="Q961" s="49" t="s">
        <v>18</v>
      </c>
      <c r="R961" s="49" t="s">
        <v>113</v>
      </c>
      <c r="S961" s="49">
        <v>4</v>
      </c>
      <c r="T961" s="49">
        <v>9</v>
      </c>
      <c r="U961" s="63">
        <v>53</v>
      </c>
      <c r="V961" s="63">
        <v>477</v>
      </c>
    </row>
    <row r="962" spans="1:22" x14ac:dyDescent="0.25">
      <c r="A962" s="49" t="s">
        <v>771</v>
      </c>
      <c r="B962" s="49" t="s">
        <v>45</v>
      </c>
      <c r="C962" s="49" t="s">
        <v>177</v>
      </c>
      <c r="D962" s="49" t="s">
        <v>80</v>
      </c>
      <c r="E962" s="49" t="s">
        <v>173</v>
      </c>
      <c r="F962" s="49">
        <v>2016</v>
      </c>
      <c r="G962" s="50">
        <v>43269.791666666664</v>
      </c>
      <c r="H962" s="50">
        <v>43282.958333333336</v>
      </c>
      <c r="I962" s="54">
        <v>43269</v>
      </c>
      <c r="J962" s="54">
        <v>43282</v>
      </c>
      <c r="K962" s="51" t="s">
        <v>526</v>
      </c>
      <c r="L962" s="51">
        <v>0.95833333333333337</v>
      </c>
      <c r="M962" s="51" t="s">
        <v>541</v>
      </c>
      <c r="N962" s="51" t="s">
        <v>532</v>
      </c>
      <c r="O962" s="51" t="s">
        <v>669</v>
      </c>
      <c r="P962" s="49" t="s">
        <v>23</v>
      </c>
      <c r="Q962" s="49" t="s">
        <v>12</v>
      </c>
      <c r="R962" s="49" t="s">
        <v>113</v>
      </c>
      <c r="S962" s="49">
        <v>2</v>
      </c>
      <c r="T962" s="49">
        <v>8</v>
      </c>
      <c r="U962" s="63">
        <v>32</v>
      </c>
      <c r="V962" s="63">
        <v>256</v>
      </c>
    </row>
    <row r="963" spans="1:22" x14ac:dyDescent="0.25">
      <c r="A963" s="49" t="s">
        <v>772</v>
      </c>
      <c r="B963" s="49" t="s">
        <v>45</v>
      </c>
      <c r="C963" s="49" t="s">
        <v>177</v>
      </c>
      <c r="D963" s="49" t="s">
        <v>80</v>
      </c>
      <c r="E963" s="49" t="s">
        <v>173</v>
      </c>
      <c r="F963" s="49">
        <v>2016</v>
      </c>
      <c r="G963" s="50">
        <v>43270.583333333336</v>
      </c>
      <c r="H963" s="50">
        <v>43283.75</v>
      </c>
      <c r="I963" s="54">
        <v>43270</v>
      </c>
      <c r="J963" s="54">
        <v>43283</v>
      </c>
      <c r="K963" s="51" t="s">
        <v>527</v>
      </c>
      <c r="L963" s="51">
        <v>0.75</v>
      </c>
      <c r="M963" s="51" t="s">
        <v>542</v>
      </c>
      <c r="N963" s="51" t="s">
        <v>532</v>
      </c>
      <c r="O963" s="51" t="s">
        <v>669</v>
      </c>
      <c r="P963" s="49" t="s">
        <v>23</v>
      </c>
      <c r="Q963" s="49" t="s">
        <v>16</v>
      </c>
      <c r="R963" s="49" t="s">
        <v>109</v>
      </c>
      <c r="S963" s="49">
        <v>4</v>
      </c>
      <c r="T963" s="49">
        <v>11</v>
      </c>
      <c r="U963" s="63">
        <v>32</v>
      </c>
      <c r="V963" s="63">
        <v>352</v>
      </c>
    </row>
    <row r="964" spans="1:22" x14ac:dyDescent="0.25">
      <c r="A964" s="49" t="s">
        <v>773</v>
      </c>
      <c r="B964" s="49" t="s">
        <v>7</v>
      </c>
      <c r="C964" s="49" t="s">
        <v>175</v>
      </c>
      <c r="D964" s="49" t="s">
        <v>77</v>
      </c>
      <c r="E964" s="49" t="s">
        <v>172</v>
      </c>
      <c r="F964" s="49">
        <v>2016</v>
      </c>
      <c r="G964" s="50">
        <v>43271.375</v>
      </c>
      <c r="H964" s="50">
        <v>43277.75</v>
      </c>
      <c r="I964" s="54">
        <v>43271</v>
      </c>
      <c r="J964" s="54">
        <v>43277</v>
      </c>
      <c r="K964" s="51" t="s">
        <v>525</v>
      </c>
      <c r="L964" s="51">
        <v>0.75</v>
      </c>
      <c r="M964" s="51" t="s">
        <v>540</v>
      </c>
      <c r="N964" s="51" t="s">
        <v>532</v>
      </c>
      <c r="O964" s="51" t="s">
        <v>669</v>
      </c>
      <c r="P964" s="49" t="s">
        <v>9</v>
      </c>
      <c r="Q964" s="49" t="s">
        <v>18</v>
      </c>
      <c r="R964" s="49" t="s">
        <v>113</v>
      </c>
      <c r="S964" s="49">
        <v>2</v>
      </c>
      <c r="T964" s="49">
        <v>12</v>
      </c>
      <c r="U964" s="63">
        <v>35</v>
      </c>
      <c r="V964" s="63">
        <v>420</v>
      </c>
    </row>
    <row r="965" spans="1:22" x14ac:dyDescent="0.25">
      <c r="A965" s="49" t="s">
        <v>774</v>
      </c>
      <c r="B965" s="49" t="s">
        <v>7</v>
      </c>
      <c r="C965" s="49" t="s">
        <v>175</v>
      </c>
      <c r="D965" s="49" t="s">
        <v>83</v>
      </c>
      <c r="E965" s="49" t="s">
        <v>174</v>
      </c>
      <c r="F965" s="49">
        <v>2016</v>
      </c>
      <c r="G965" s="50">
        <v>43272.333333333336</v>
      </c>
      <c r="H965" s="50">
        <v>43285.5</v>
      </c>
      <c r="I965" s="54">
        <v>43272</v>
      </c>
      <c r="J965" s="54">
        <v>43285</v>
      </c>
      <c r="K965" s="51" t="s">
        <v>522</v>
      </c>
      <c r="L965" s="51">
        <v>0.5</v>
      </c>
      <c r="M965" s="51" t="s">
        <v>539</v>
      </c>
      <c r="N965" s="51" t="s">
        <v>532</v>
      </c>
      <c r="O965" s="51" t="s">
        <v>669</v>
      </c>
      <c r="P965" s="49" t="s">
        <v>9</v>
      </c>
      <c r="Q965" s="49" t="s">
        <v>41</v>
      </c>
      <c r="R965" s="49" t="s">
        <v>113</v>
      </c>
      <c r="S965" s="49">
        <v>3</v>
      </c>
      <c r="T965" s="49">
        <v>9</v>
      </c>
      <c r="U965" s="63">
        <v>63</v>
      </c>
      <c r="V965" s="63">
        <v>567</v>
      </c>
    </row>
    <row r="966" spans="1:22" x14ac:dyDescent="0.25">
      <c r="A966" s="49" t="s">
        <v>775</v>
      </c>
      <c r="B966" s="49" t="s">
        <v>22</v>
      </c>
      <c r="C966" s="49" t="s">
        <v>176</v>
      </c>
      <c r="D966" s="49" t="s">
        <v>83</v>
      </c>
      <c r="E966" s="49" t="s">
        <v>174</v>
      </c>
      <c r="F966" s="49">
        <v>2016</v>
      </c>
      <c r="G966" s="50">
        <v>43273.375</v>
      </c>
      <c r="H966" s="50">
        <v>43278.75</v>
      </c>
      <c r="I966" s="54">
        <v>43273</v>
      </c>
      <c r="J966" s="54">
        <v>43278</v>
      </c>
      <c r="K966" s="51" t="s">
        <v>525</v>
      </c>
      <c r="L966" s="51">
        <v>0.75</v>
      </c>
      <c r="M966" s="51" t="s">
        <v>540</v>
      </c>
      <c r="N966" s="51" t="s">
        <v>532</v>
      </c>
      <c r="O966" s="51" t="s">
        <v>669</v>
      </c>
      <c r="P966" s="49" t="s">
        <v>9</v>
      </c>
      <c r="Q966" s="49" t="s">
        <v>190</v>
      </c>
      <c r="R966" s="49" t="s">
        <v>109</v>
      </c>
      <c r="S966" s="49">
        <v>5</v>
      </c>
      <c r="T966" s="49">
        <v>8</v>
      </c>
      <c r="U966" s="63">
        <v>63</v>
      </c>
      <c r="V966" s="63">
        <v>504</v>
      </c>
    </row>
    <row r="967" spans="1:22" x14ac:dyDescent="0.25">
      <c r="A967" s="49" t="s">
        <v>776</v>
      </c>
      <c r="B967" s="49" t="s">
        <v>45</v>
      </c>
      <c r="C967" s="49" t="s">
        <v>177</v>
      </c>
      <c r="D967" s="49" t="s">
        <v>77</v>
      </c>
      <c r="E967" s="49" t="s">
        <v>172</v>
      </c>
      <c r="F967" s="49">
        <v>2016</v>
      </c>
      <c r="G967" s="50">
        <v>43275.791666666664</v>
      </c>
      <c r="H967" s="50">
        <v>43286.958333333336</v>
      </c>
      <c r="I967" s="54">
        <v>43275</v>
      </c>
      <c r="J967" s="54">
        <v>43286</v>
      </c>
      <c r="K967" s="51" t="s">
        <v>526</v>
      </c>
      <c r="L967" s="51">
        <v>0.95833333333333337</v>
      </c>
      <c r="M967" s="51" t="s">
        <v>541</v>
      </c>
      <c r="N967" s="51" t="s">
        <v>532</v>
      </c>
      <c r="O967" s="51" t="s">
        <v>669</v>
      </c>
      <c r="P967" s="49" t="s">
        <v>23</v>
      </c>
      <c r="Q967" s="49" t="s">
        <v>18</v>
      </c>
      <c r="R967" s="49" t="s">
        <v>113</v>
      </c>
      <c r="S967" s="49">
        <v>2</v>
      </c>
      <c r="T967" s="49">
        <v>9</v>
      </c>
      <c r="U967" s="63">
        <v>35</v>
      </c>
      <c r="V967" s="63">
        <v>315</v>
      </c>
    </row>
    <row r="968" spans="1:22" x14ac:dyDescent="0.25">
      <c r="A968" s="49" t="s">
        <v>777</v>
      </c>
      <c r="B968" s="49" t="s">
        <v>39</v>
      </c>
      <c r="C968" s="49" t="s">
        <v>177</v>
      </c>
      <c r="D968" s="49" t="s">
        <v>88</v>
      </c>
      <c r="E968" s="49" t="s">
        <v>170</v>
      </c>
      <c r="F968" s="49">
        <v>2016</v>
      </c>
      <c r="G968" s="50">
        <v>43275.791666666664</v>
      </c>
      <c r="H968" s="50">
        <v>43286.958333333336</v>
      </c>
      <c r="I968" s="54">
        <v>43275</v>
      </c>
      <c r="J968" s="54">
        <v>43286</v>
      </c>
      <c r="K968" s="51" t="s">
        <v>526</v>
      </c>
      <c r="L968" s="51">
        <v>0.95833333333333337</v>
      </c>
      <c r="M968" s="51" t="s">
        <v>541</v>
      </c>
      <c r="N968" s="51" t="s">
        <v>532</v>
      </c>
      <c r="O968" s="51" t="s">
        <v>669</v>
      </c>
      <c r="P968" s="49" t="s">
        <v>9</v>
      </c>
      <c r="Q968" s="49" t="s">
        <v>38</v>
      </c>
      <c r="R968" s="49" t="s">
        <v>113</v>
      </c>
      <c r="S968" s="49">
        <v>3</v>
      </c>
      <c r="T968" s="49">
        <v>12</v>
      </c>
      <c r="U968" s="63">
        <v>42</v>
      </c>
      <c r="V968" s="63">
        <v>504</v>
      </c>
    </row>
    <row r="969" spans="1:22" x14ac:dyDescent="0.25">
      <c r="A969" s="49" t="s">
        <v>778</v>
      </c>
      <c r="B969" s="49" t="s">
        <v>39</v>
      </c>
      <c r="C969" s="49" t="s">
        <v>177</v>
      </c>
      <c r="D969" s="49" t="s">
        <v>80</v>
      </c>
      <c r="E969" s="49" t="s">
        <v>173</v>
      </c>
      <c r="F969" s="49">
        <v>2016</v>
      </c>
      <c r="G969" s="50">
        <v>43276.791666666664</v>
      </c>
      <c r="H969" s="50">
        <v>43289.958333333336</v>
      </c>
      <c r="I969" s="54">
        <v>43276</v>
      </c>
      <c r="J969" s="54">
        <v>43289</v>
      </c>
      <c r="K969" s="51" t="s">
        <v>526</v>
      </c>
      <c r="L969" s="51">
        <v>0.95833333333333337</v>
      </c>
      <c r="M969" s="51" t="s">
        <v>541</v>
      </c>
      <c r="N969" s="51" t="s">
        <v>532</v>
      </c>
      <c r="O969" s="51" t="s">
        <v>669</v>
      </c>
      <c r="P969" s="49" t="s">
        <v>23</v>
      </c>
      <c r="Q969" s="49" t="s">
        <v>21</v>
      </c>
      <c r="R969" s="49" t="s">
        <v>113</v>
      </c>
      <c r="S969" s="49">
        <v>4</v>
      </c>
      <c r="T969" s="49">
        <v>11</v>
      </c>
      <c r="U969" s="63">
        <v>32</v>
      </c>
      <c r="V969" s="63">
        <v>352</v>
      </c>
    </row>
    <row r="970" spans="1:22" x14ac:dyDescent="0.25">
      <c r="A970" s="49" t="s">
        <v>779</v>
      </c>
      <c r="B970" s="49" t="s">
        <v>39</v>
      </c>
      <c r="C970" s="49" t="s">
        <v>177</v>
      </c>
      <c r="D970" s="49" t="s">
        <v>76</v>
      </c>
      <c r="E970" s="49" t="s">
        <v>174</v>
      </c>
      <c r="F970" s="49">
        <v>2016</v>
      </c>
      <c r="G970" s="50">
        <v>43277.583333333336</v>
      </c>
      <c r="H970" s="50">
        <v>43290.75</v>
      </c>
      <c r="I970" s="54">
        <v>43277</v>
      </c>
      <c r="J970" s="54">
        <v>43290</v>
      </c>
      <c r="K970" s="51" t="s">
        <v>527</v>
      </c>
      <c r="L970" s="51">
        <v>0.75</v>
      </c>
      <c r="M970" s="51" t="s">
        <v>542</v>
      </c>
      <c r="N970" s="51" t="s">
        <v>532</v>
      </c>
      <c r="O970" s="51" t="s">
        <v>669</v>
      </c>
      <c r="P970" s="49" t="s">
        <v>9</v>
      </c>
      <c r="Q970" s="49" t="s">
        <v>28</v>
      </c>
      <c r="R970" s="49" t="s">
        <v>109</v>
      </c>
      <c r="S970" s="49">
        <v>3</v>
      </c>
      <c r="T970" s="49">
        <v>12</v>
      </c>
      <c r="U970" s="63">
        <v>53</v>
      </c>
      <c r="V970" s="63">
        <v>636</v>
      </c>
    </row>
    <row r="971" spans="1:22" x14ac:dyDescent="0.25">
      <c r="A971" s="49" t="s">
        <v>780</v>
      </c>
      <c r="B971" s="49" t="s">
        <v>19</v>
      </c>
      <c r="C971" s="49" t="s">
        <v>176</v>
      </c>
      <c r="D971" s="49" t="s">
        <v>81</v>
      </c>
      <c r="E971" s="49" t="s">
        <v>172</v>
      </c>
      <c r="F971" s="49">
        <v>2016</v>
      </c>
      <c r="G971" s="50">
        <v>43278.375</v>
      </c>
      <c r="H971" s="50">
        <v>43284.75</v>
      </c>
      <c r="I971" s="54">
        <v>43278</v>
      </c>
      <c r="J971" s="54">
        <v>43284</v>
      </c>
      <c r="K971" s="51" t="s">
        <v>525</v>
      </c>
      <c r="L971" s="51">
        <v>0.75</v>
      </c>
      <c r="M971" s="51" t="s">
        <v>540</v>
      </c>
      <c r="N971" s="51" t="s">
        <v>532</v>
      </c>
      <c r="O971" s="51" t="s">
        <v>669</v>
      </c>
      <c r="P971" s="49" t="s">
        <v>23</v>
      </c>
      <c r="Q971" s="49" t="s">
        <v>190</v>
      </c>
      <c r="R971" s="49" t="s">
        <v>109</v>
      </c>
      <c r="S971" s="49">
        <v>4</v>
      </c>
      <c r="T971" s="49">
        <v>9</v>
      </c>
      <c r="U971" s="63">
        <v>43</v>
      </c>
      <c r="V971" s="63">
        <v>387</v>
      </c>
    </row>
    <row r="972" spans="1:22" x14ac:dyDescent="0.25">
      <c r="A972" s="49" t="s">
        <v>781</v>
      </c>
      <c r="B972" s="49" t="s">
        <v>14</v>
      </c>
      <c r="C972" s="49" t="s">
        <v>175</v>
      </c>
      <c r="D972" s="49" t="s">
        <v>85</v>
      </c>
      <c r="E972" s="49" t="s">
        <v>170</v>
      </c>
      <c r="F972" s="49">
        <v>2016</v>
      </c>
      <c r="G972" s="50">
        <v>43279.333333333336</v>
      </c>
      <c r="H972" s="50">
        <v>43292.5</v>
      </c>
      <c r="I972" s="54">
        <v>43279</v>
      </c>
      <c r="J972" s="54">
        <v>43292</v>
      </c>
      <c r="K972" s="51" t="s">
        <v>522</v>
      </c>
      <c r="L972" s="51">
        <v>0.5</v>
      </c>
      <c r="M972" s="51" t="s">
        <v>539</v>
      </c>
      <c r="N972" s="51" t="s">
        <v>532</v>
      </c>
      <c r="O972" s="51" t="s">
        <v>669</v>
      </c>
      <c r="P972" s="49" t="s">
        <v>9</v>
      </c>
      <c r="Q972" s="49" t="s">
        <v>38</v>
      </c>
      <c r="R972" s="49" t="s">
        <v>113</v>
      </c>
      <c r="S972" s="49">
        <v>2</v>
      </c>
      <c r="T972" s="49">
        <v>12</v>
      </c>
      <c r="U972" s="63">
        <v>48</v>
      </c>
      <c r="V972" s="63">
        <v>576</v>
      </c>
    </row>
    <row r="973" spans="1:22" x14ac:dyDescent="0.25">
      <c r="A973" s="49" t="s">
        <v>782</v>
      </c>
      <c r="B973" s="49" t="s">
        <v>7</v>
      </c>
      <c r="C973" s="49" t="s">
        <v>175</v>
      </c>
      <c r="D973" s="49" t="s">
        <v>80</v>
      </c>
      <c r="E973" s="49" t="s">
        <v>173</v>
      </c>
      <c r="F973" s="49">
        <v>2016</v>
      </c>
      <c r="G973" s="50">
        <v>43280.375</v>
      </c>
      <c r="H973" s="50">
        <v>43285.75</v>
      </c>
      <c r="I973" s="54">
        <v>43280</v>
      </c>
      <c r="J973" s="54">
        <v>43285</v>
      </c>
      <c r="K973" s="51" t="s">
        <v>525</v>
      </c>
      <c r="L973" s="51">
        <v>0.75</v>
      </c>
      <c r="M973" s="51" t="s">
        <v>540</v>
      </c>
      <c r="N973" s="51" t="s">
        <v>532</v>
      </c>
      <c r="O973" s="51" t="s">
        <v>669</v>
      </c>
      <c r="P973" s="49" t="s">
        <v>9</v>
      </c>
      <c r="Q973" s="49" t="s">
        <v>190</v>
      </c>
      <c r="R973" s="49" t="s">
        <v>109</v>
      </c>
      <c r="S973" s="49">
        <v>5</v>
      </c>
      <c r="T973" s="49">
        <v>12</v>
      </c>
      <c r="U973" s="63">
        <v>32</v>
      </c>
      <c r="V973" s="63">
        <v>384</v>
      </c>
    </row>
    <row r="974" spans="1:22" x14ac:dyDescent="0.25">
      <c r="A974" s="49" t="s">
        <v>784</v>
      </c>
      <c r="B974" s="49" t="s">
        <v>14</v>
      </c>
      <c r="C974" s="49" t="s">
        <v>175</v>
      </c>
      <c r="D974" s="49" t="s">
        <v>79</v>
      </c>
      <c r="E974" s="49" t="s">
        <v>168</v>
      </c>
      <c r="F974" s="49">
        <v>2016</v>
      </c>
      <c r="G974" s="50">
        <v>43282.791666666664</v>
      </c>
      <c r="H974" s="50">
        <v>43293.958333333336</v>
      </c>
      <c r="I974" s="54">
        <v>43282</v>
      </c>
      <c r="J974" s="54">
        <v>43293</v>
      </c>
      <c r="K974" s="51" t="s">
        <v>526</v>
      </c>
      <c r="L974" s="51">
        <v>0.95833333333333337</v>
      </c>
      <c r="M974" s="51" t="s">
        <v>541</v>
      </c>
      <c r="N974" s="51" t="s">
        <v>533</v>
      </c>
      <c r="O974" s="51" t="s">
        <v>669</v>
      </c>
      <c r="P974" s="49" t="s">
        <v>23</v>
      </c>
      <c r="Q974" s="49" t="s">
        <v>16</v>
      </c>
      <c r="R974" s="49" t="s">
        <v>109</v>
      </c>
      <c r="S974" s="49">
        <v>5</v>
      </c>
      <c r="T974" s="49">
        <v>8</v>
      </c>
      <c r="U974" s="63">
        <v>48</v>
      </c>
      <c r="V974" s="63">
        <v>384</v>
      </c>
    </row>
    <row r="975" spans="1:22" x14ac:dyDescent="0.25">
      <c r="A975" s="49" t="s">
        <v>785</v>
      </c>
      <c r="B975" s="49" t="s">
        <v>11</v>
      </c>
      <c r="C975" s="49" t="s">
        <v>175</v>
      </c>
      <c r="D975" s="49" t="s">
        <v>83</v>
      </c>
      <c r="E975" s="49" t="s">
        <v>174</v>
      </c>
      <c r="F975" s="49">
        <v>2016</v>
      </c>
      <c r="G975" s="50">
        <v>43283.791666666664</v>
      </c>
      <c r="H975" s="50">
        <v>43296.958333333336</v>
      </c>
      <c r="I975" s="54">
        <v>43283</v>
      </c>
      <c r="J975" s="54">
        <v>43296</v>
      </c>
      <c r="K975" s="51" t="s">
        <v>526</v>
      </c>
      <c r="L975" s="51">
        <v>0.95833333333333337</v>
      </c>
      <c r="M975" s="51" t="s">
        <v>541</v>
      </c>
      <c r="N975" s="51" t="s">
        <v>533</v>
      </c>
      <c r="O975" s="51" t="s">
        <v>669</v>
      </c>
      <c r="P975" s="49" t="s">
        <v>9</v>
      </c>
      <c r="Q975" s="49" t="s">
        <v>37</v>
      </c>
      <c r="R975" s="49" t="s">
        <v>113</v>
      </c>
      <c r="S975" s="49">
        <v>3</v>
      </c>
      <c r="T975" s="49">
        <v>8</v>
      </c>
      <c r="U975" s="63">
        <v>63</v>
      </c>
      <c r="V975" s="63">
        <v>504</v>
      </c>
    </row>
    <row r="976" spans="1:22" x14ac:dyDescent="0.25">
      <c r="A976" s="49" t="s">
        <v>786</v>
      </c>
      <c r="B976" s="49" t="s">
        <v>11</v>
      </c>
      <c r="C976" s="49" t="s">
        <v>175</v>
      </c>
      <c r="D976" s="49" t="s">
        <v>80</v>
      </c>
      <c r="E976" s="49" t="s">
        <v>173</v>
      </c>
      <c r="F976" s="49">
        <v>2016</v>
      </c>
      <c r="G976" s="50">
        <v>43284.583333333336</v>
      </c>
      <c r="H976" s="50">
        <v>43297.75</v>
      </c>
      <c r="I976" s="54">
        <v>43284</v>
      </c>
      <c r="J976" s="54">
        <v>43297</v>
      </c>
      <c r="K976" s="51" t="s">
        <v>527</v>
      </c>
      <c r="L976" s="51">
        <v>0.75</v>
      </c>
      <c r="M976" s="51" t="s">
        <v>542</v>
      </c>
      <c r="N976" s="51" t="s">
        <v>533</v>
      </c>
      <c r="O976" s="51" t="s">
        <v>669</v>
      </c>
      <c r="P976" s="49" t="s">
        <v>23</v>
      </c>
      <c r="Q976" s="49" t="s">
        <v>22</v>
      </c>
      <c r="R976" s="49" t="s">
        <v>109</v>
      </c>
      <c r="S976" s="49">
        <v>3</v>
      </c>
      <c r="T976" s="49">
        <v>10</v>
      </c>
      <c r="U976" s="63">
        <v>32</v>
      </c>
      <c r="V976" s="63">
        <v>320</v>
      </c>
    </row>
    <row r="977" spans="1:22" x14ac:dyDescent="0.25">
      <c r="A977" s="49" t="s">
        <v>787</v>
      </c>
      <c r="B977" s="49" t="s">
        <v>45</v>
      </c>
      <c r="C977" s="49" t="s">
        <v>177</v>
      </c>
      <c r="D977" s="49" t="s">
        <v>81</v>
      </c>
      <c r="E977" s="49" t="s">
        <v>172</v>
      </c>
      <c r="F977" s="49">
        <v>2016</v>
      </c>
      <c r="G977" s="50">
        <v>43285.375</v>
      </c>
      <c r="H977" s="50">
        <v>43291.75</v>
      </c>
      <c r="I977" s="54">
        <v>43285</v>
      </c>
      <c r="J977" s="54">
        <v>43291</v>
      </c>
      <c r="K977" s="51" t="s">
        <v>525</v>
      </c>
      <c r="L977" s="51">
        <v>0.75</v>
      </c>
      <c r="M977" s="51" t="s">
        <v>540</v>
      </c>
      <c r="N977" s="51" t="s">
        <v>533</v>
      </c>
      <c r="O977" s="51" t="s">
        <v>669</v>
      </c>
      <c r="P977" s="49" t="s">
        <v>9</v>
      </c>
      <c r="Q977" s="49" t="s">
        <v>16</v>
      </c>
      <c r="R977" s="49" t="s">
        <v>109</v>
      </c>
      <c r="S977" s="49">
        <v>3</v>
      </c>
      <c r="T977" s="49">
        <v>10</v>
      </c>
      <c r="U977" s="63">
        <v>43</v>
      </c>
      <c r="V977" s="63">
        <v>430</v>
      </c>
    </row>
    <row r="978" spans="1:22" x14ac:dyDescent="0.25">
      <c r="A978" s="49" t="s">
        <v>788</v>
      </c>
      <c r="B978" s="49" t="s">
        <v>7</v>
      </c>
      <c r="C978" s="49" t="s">
        <v>175</v>
      </c>
      <c r="D978" s="49" t="s">
        <v>80</v>
      </c>
      <c r="E978" s="49" t="s">
        <v>173</v>
      </c>
      <c r="F978" s="49">
        <v>2016</v>
      </c>
      <c r="G978" s="50">
        <v>43286.333333333336</v>
      </c>
      <c r="H978" s="50">
        <v>43299.5</v>
      </c>
      <c r="I978" s="54">
        <v>43286</v>
      </c>
      <c r="J978" s="54">
        <v>43299</v>
      </c>
      <c r="K978" s="51" t="s">
        <v>522</v>
      </c>
      <c r="L978" s="51">
        <v>0.5</v>
      </c>
      <c r="M978" s="51" t="s">
        <v>539</v>
      </c>
      <c r="N978" s="51" t="s">
        <v>533</v>
      </c>
      <c r="O978" s="51" t="s">
        <v>669</v>
      </c>
      <c r="P978" s="49" t="s">
        <v>23</v>
      </c>
      <c r="Q978" s="49" t="s">
        <v>16</v>
      </c>
      <c r="R978" s="49" t="s">
        <v>109</v>
      </c>
      <c r="S978" s="49">
        <v>5</v>
      </c>
      <c r="T978" s="49">
        <v>11</v>
      </c>
      <c r="U978" s="63">
        <v>32</v>
      </c>
      <c r="V978" s="63">
        <v>352</v>
      </c>
    </row>
    <row r="979" spans="1:22" x14ac:dyDescent="0.25">
      <c r="A979" s="49" t="s">
        <v>789</v>
      </c>
      <c r="B979" s="49" t="s">
        <v>11</v>
      </c>
      <c r="C979" s="49" t="s">
        <v>175</v>
      </c>
      <c r="D979" s="49" t="s">
        <v>80</v>
      </c>
      <c r="E979" s="49" t="s">
        <v>173</v>
      </c>
      <c r="F979" s="49">
        <v>2016</v>
      </c>
      <c r="G979" s="50">
        <v>43287.375</v>
      </c>
      <c r="H979" s="50">
        <v>43292.75</v>
      </c>
      <c r="I979" s="54">
        <v>43287</v>
      </c>
      <c r="J979" s="54">
        <v>43292</v>
      </c>
      <c r="K979" s="51" t="s">
        <v>525</v>
      </c>
      <c r="L979" s="51">
        <v>0.75</v>
      </c>
      <c r="M979" s="51" t="s">
        <v>540</v>
      </c>
      <c r="N979" s="51" t="s">
        <v>533</v>
      </c>
      <c r="O979" s="51" t="s">
        <v>669</v>
      </c>
      <c r="P979" s="49" t="s">
        <v>9</v>
      </c>
      <c r="Q979" s="49" t="s">
        <v>22</v>
      </c>
      <c r="R979" s="49" t="s">
        <v>109</v>
      </c>
      <c r="S979" s="49">
        <v>3</v>
      </c>
      <c r="T979" s="49">
        <v>8</v>
      </c>
      <c r="U979" s="63">
        <v>32</v>
      </c>
      <c r="V979" s="63">
        <v>256</v>
      </c>
    </row>
    <row r="980" spans="1:22" x14ac:dyDescent="0.25">
      <c r="A980" s="49" t="s">
        <v>790</v>
      </c>
      <c r="B980" s="49" t="s">
        <v>19</v>
      </c>
      <c r="C980" s="49" t="s">
        <v>176</v>
      </c>
      <c r="D980" s="49" t="s">
        <v>80</v>
      </c>
      <c r="E980" s="49" t="s">
        <v>173</v>
      </c>
      <c r="F980" s="49">
        <v>2016</v>
      </c>
      <c r="G980" s="50">
        <v>43289.791666666664</v>
      </c>
      <c r="H980" s="50">
        <v>43300.958333333336</v>
      </c>
      <c r="I980" s="54">
        <v>43289</v>
      </c>
      <c r="J980" s="54">
        <v>43300</v>
      </c>
      <c r="K980" s="51" t="s">
        <v>526</v>
      </c>
      <c r="L980" s="51">
        <v>0.95833333333333337</v>
      </c>
      <c r="M980" s="51" t="s">
        <v>541</v>
      </c>
      <c r="N980" s="51" t="s">
        <v>533</v>
      </c>
      <c r="O980" s="51" t="s">
        <v>669</v>
      </c>
      <c r="P980" s="49" t="s">
        <v>23</v>
      </c>
      <c r="Q980" s="49" t="s">
        <v>44</v>
      </c>
      <c r="R980" s="49" t="s">
        <v>113</v>
      </c>
      <c r="S980" s="49">
        <v>5</v>
      </c>
      <c r="T980" s="49">
        <v>9</v>
      </c>
      <c r="U980" s="63">
        <v>32</v>
      </c>
      <c r="V980" s="63">
        <v>288</v>
      </c>
    </row>
    <row r="981" spans="1:22" x14ac:dyDescent="0.25">
      <c r="A981" s="49" t="s">
        <v>791</v>
      </c>
      <c r="B981" s="49" t="s">
        <v>19</v>
      </c>
      <c r="C981" s="49" t="s">
        <v>176</v>
      </c>
      <c r="D981" s="49" t="s">
        <v>80</v>
      </c>
      <c r="E981" s="49" t="s">
        <v>173</v>
      </c>
      <c r="F981" s="49">
        <v>2016</v>
      </c>
      <c r="G981" s="50">
        <v>43289.791666666664</v>
      </c>
      <c r="H981" s="50">
        <v>43300.958333333336</v>
      </c>
      <c r="I981" s="54">
        <v>43289</v>
      </c>
      <c r="J981" s="54">
        <v>43300</v>
      </c>
      <c r="K981" s="51" t="s">
        <v>526</v>
      </c>
      <c r="L981" s="51">
        <v>0.95833333333333337</v>
      </c>
      <c r="M981" s="51" t="s">
        <v>541</v>
      </c>
      <c r="N981" s="51" t="s">
        <v>533</v>
      </c>
      <c r="O981" s="51" t="s">
        <v>669</v>
      </c>
      <c r="P981" s="49" t="s">
        <v>23</v>
      </c>
      <c r="Q981" s="49" t="s">
        <v>18</v>
      </c>
      <c r="R981" s="49" t="s">
        <v>113</v>
      </c>
      <c r="S981" s="49">
        <v>5</v>
      </c>
      <c r="T981" s="49">
        <v>10</v>
      </c>
      <c r="U981" s="63">
        <v>32</v>
      </c>
      <c r="V981" s="63">
        <v>320</v>
      </c>
    </row>
    <row r="982" spans="1:22" x14ac:dyDescent="0.25">
      <c r="A982" s="49" t="s">
        <v>792</v>
      </c>
      <c r="B982" s="49" t="s">
        <v>11</v>
      </c>
      <c r="C982" s="49" t="s">
        <v>175</v>
      </c>
      <c r="D982" s="49" t="s">
        <v>85</v>
      </c>
      <c r="E982" s="49" t="s">
        <v>170</v>
      </c>
      <c r="F982" s="49">
        <v>2016</v>
      </c>
      <c r="G982" s="50">
        <v>43290.791666666664</v>
      </c>
      <c r="H982" s="50">
        <v>43303.958333333336</v>
      </c>
      <c r="I982" s="54">
        <v>43290</v>
      </c>
      <c r="J982" s="54">
        <v>43303</v>
      </c>
      <c r="K982" s="51" t="s">
        <v>526</v>
      </c>
      <c r="L982" s="51">
        <v>0.95833333333333337</v>
      </c>
      <c r="M982" s="51" t="s">
        <v>541</v>
      </c>
      <c r="N982" s="51" t="s">
        <v>533</v>
      </c>
      <c r="O982" s="51" t="s">
        <v>669</v>
      </c>
      <c r="P982" s="49" t="s">
        <v>23</v>
      </c>
      <c r="Q982" s="49" t="s">
        <v>33</v>
      </c>
      <c r="R982" s="49" t="s">
        <v>113</v>
      </c>
      <c r="S982" s="49">
        <v>2</v>
      </c>
      <c r="T982" s="49">
        <v>9</v>
      </c>
      <c r="U982" s="63">
        <v>48</v>
      </c>
      <c r="V982" s="63">
        <v>432</v>
      </c>
    </row>
    <row r="983" spans="1:22" x14ac:dyDescent="0.25">
      <c r="A983" s="49" t="s">
        <v>793</v>
      </c>
      <c r="B983" s="49" t="s">
        <v>14</v>
      </c>
      <c r="C983" s="49" t="s">
        <v>175</v>
      </c>
      <c r="D983" s="49" t="s">
        <v>85</v>
      </c>
      <c r="E983" s="49" t="s">
        <v>170</v>
      </c>
      <c r="F983" s="49">
        <v>2016</v>
      </c>
      <c r="G983" s="50">
        <v>43291.583333333336</v>
      </c>
      <c r="H983" s="50">
        <v>43304.75</v>
      </c>
      <c r="I983" s="54">
        <v>43291</v>
      </c>
      <c r="J983" s="54">
        <v>43304</v>
      </c>
      <c r="K983" s="51" t="s">
        <v>527</v>
      </c>
      <c r="L983" s="51">
        <v>0.75</v>
      </c>
      <c r="M983" s="51" t="s">
        <v>542</v>
      </c>
      <c r="N983" s="51" t="s">
        <v>533</v>
      </c>
      <c r="O983" s="51" t="s">
        <v>669</v>
      </c>
      <c r="P983" s="49" t="s">
        <v>23</v>
      </c>
      <c r="Q983" s="49" t="s">
        <v>16</v>
      </c>
      <c r="R983" s="49" t="s">
        <v>109</v>
      </c>
      <c r="S983" s="49">
        <v>5</v>
      </c>
      <c r="T983" s="49">
        <v>12</v>
      </c>
      <c r="U983" s="63">
        <v>48</v>
      </c>
      <c r="V983" s="63">
        <v>576</v>
      </c>
    </row>
    <row r="984" spans="1:22" x14ac:dyDescent="0.25">
      <c r="A984" s="49" t="s">
        <v>794</v>
      </c>
      <c r="B984" s="49" t="s">
        <v>14</v>
      </c>
      <c r="C984" s="49" t="s">
        <v>175</v>
      </c>
      <c r="D984" s="49" t="s">
        <v>85</v>
      </c>
      <c r="E984" s="49" t="s">
        <v>170</v>
      </c>
      <c r="F984" s="49">
        <v>2016</v>
      </c>
      <c r="G984" s="50">
        <v>43292.375</v>
      </c>
      <c r="H984" s="50">
        <v>43298.75</v>
      </c>
      <c r="I984" s="54">
        <v>43292</v>
      </c>
      <c r="J984" s="54">
        <v>43298</v>
      </c>
      <c r="K984" s="51" t="s">
        <v>525</v>
      </c>
      <c r="L984" s="51">
        <v>0.75</v>
      </c>
      <c r="M984" s="51" t="s">
        <v>540</v>
      </c>
      <c r="N984" s="51" t="s">
        <v>533</v>
      </c>
      <c r="O984" s="51" t="s">
        <v>669</v>
      </c>
      <c r="P984" s="49" t="s">
        <v>23</v>
      </c>
      <c r="Q984" s="49" t="s">
        <v>41</v>
      </c>
      <c r="R984" s="49" t="s">
        <v>113</v>
      </c>
      <c r="S984" s="49">
        <v>5</v>
      </c>
      <c r="T984" s="49">
        <v>10</v>
      </c>
      <c r="U984" s="63">
        <v>48</v>
      </c>
      <c r="V984" s="63">
        <v>480</v>
      </c>
    </row>
    <row r="985" spans="1:22" x14ac:dyDescent="0.25">
      <c r="A985" s="49" t="s">
        <v>795</v>
      </c>
      <c r="B985" s="49" t="s">
        <v>39</v>
      </c>
      <c r="C985" s="49" t="s">
        <v>177</v>
      </c>
      <c r="D985" s="49" t="s">
        <v>77</v>
      </c>
      <c r="E985" s="49" t="s">
        <v>172</v>
      </c>
      <c r="F985" s="49">
        <v>2016</v>
      </c>
      <c r="G985" s="50">
        <v>43293.333333333336</v>
      </c>
      <c r="H985" s="50">
        <v>43306.5</v>
      </c>
      <c r="I985" s="54">
        <v>43293</v>
      </c>
      <c r="J985" s="54">
        <v>43306</v>
      </c>
      <c r="K985" s="51" t="s">
        <v>522</v>
      </c>
      <c r="L985" s="51">
        <v>0.5</v>
      </c>
      <c r="M985" s="51" t="s">
        <v>539</v>
      </c>
      <c r="N985" s="51" t="s">
        <v>533</v>
      </c>
      <c r="O985" s="51" t="s">
        <v>669</v>
      </c>
      <c r="P985" s="49" t="s">
        <v>23</v>
      </c>
      <c r="Q985" s="49" t="s">
        <v>41</v>
      </c>
      <c r="R985" s="49" t="s">
        <v>113</v>
      </c>
      <c r="S985" s="49">
        <v>5</v>
      </c>
      <c r="T985" s="49">
        <v>12</v>
      </c>
      <c r="U985" s="63">
        <v>35</v>
      </c>
      <c r="V985" s="63">
        <v>420</v>
      </c>
    </row>
    <row r="986" spans="1:22" x14ac:dyDescent="0.25">
      <c r="A986" s="49" t="s">
        <v>796</v>
      </c>
      <c r="B986" s="49" t="s">
        <v>14</v>
      </c>
      <c r="C986" s="49" t="s">
        <v>175</v>
      </c>
      <c r="D986" s="49" t="s">
        <v>82</v>
      </c>
      <c r="E986" s="49" t="s">
        <v>172</v>
      </c>
      <c r="F986" s="49">
        <v>2016</v>
      </c>
      <c r="G986" s="50">
        <v>43294.375</v>
      </c>
      <c r="H986" s="50">
        <v>43299.75</v>
      </c>
      <c r="I986" s="54">
        <v>43294</v>
      </c>
      <c r="J986" s="54">
        <v>43299</v>
      </c>
      <c r="K986" s="51" t="s">
        <v>525</v>
      </c>
      <c r="L986" s="51">
        <v>0.75</v>
      </c>
      <c r="M986" s="51" t="s">
        <v>540</v>
      </c>
      <c r="N986" s="51" t="s">
        <v>533</v>
      </c>
      <c r="O986" s="51" t="s">
        <v>669</v>
      </c>
      <c r="P986" s="49" t="s">
        <v>23</v>
      </c>
      <c r="Q986" s="49" t="s">
        <v>33</v>
      </c>
      <c r="R986" s="49" t="s">
        <v>113</v>
      </c>
      <c r="S986" s="49">
        <v>2</v>
      </c>
      <c r="T986" s="49">
        <v>11</v>
      </c>
      <c r="U986" s="63">
        <v>75</v>
      </c>
      <c r="V986" s="63">
        <v>825</v>
      </c>
    </row>
    <row r="987" spans="1:22" x14ac:dyDescent="0.25">
      <c r="A987" s="49" t="s">
        <v>797</v>
      </c>
      <c r="B987" s="49" t="s">
        <v>14</v>
      </c>
      <c r="C987" s="49" t="s">
        <v>175</v>
      </c>
      <c r="D987" s="49" t="s">
        <v>88</v>
      </c>
      <c r="E987" s="49" t="s">
        <v>170</v>
      </c>
      <c r="F987" s="49">
        <v>2016</v>
      </c>
      <c r="G987" s="50">
        <v>43296.791666666664</v>
      </c>
      <c r="H987" s="50">
        <v>43307.958333333336</v>
      </c>
      <c r="I987" s="54">
        <v>43296</v>
      </c>
      <c r="J987" s="54">
        <v>43307</v>
      </c>
      <c r="K987" s="51" t="s">
        <v>526</v>
      </c>
      <c r="L987" s="51">
        <v>0.95833333333333337</v>
      </c>
      <c r="M987" s="51" t="s">
        <v>541</v>
      </c>
      <c r="N987" s="51" t="s">
        <v>533</v>
      </c>
      <c r="O987" s="51" t="s">
        <v>669</v>
      </c>
      <c r="P987" s="49" t="s">
        <v>9</v>
      </c>
      <c r="Q987" s="49" t="s">
        <v>18</v>
      </c>
      <c r="R987" s="49" t="s">
        <v>113</v>
      </c>
      <c r="S987" s="49">
        <v>3</v>
      </c>
      <c r="T987" s="49">
        <v>10</v>
      </c>
      <c r="U987" s="63">
        <v>42</v>
      </c>
      <c r="V987" s="63">
        <v>420</v>
      </c>
    </row>
    <row r="988" spans="1:22" x14ac:dyDescent="0.25">
      <c r="A988" s="49" t="s">
        <v>798</v>
      </c>
      <c r="B988" s="49" t="s">
        <v>29</v>
      </c>
      <c r="C988" s="49" t="s">
        <v>177</v>
      </c>
      <c r="D988" s="49" t="s">
        <v>80</v>
      </c>
      <c r="E988" s="49" t="s">
        <v>173</v>
      </c>
      <c r="F988" s="49">
        <v>2016</v>
      </c>
      <c r="G988" s="50">
        <v>43296.791666666664</v>
      </c>
      <c r="H988" s="50">
        <v>43307.958333333336</v>
      </c>
      <c r="I988" s="54">
        <v>43296</v>
      </c>
      <c r="J988" s="54">
        <v>43307</v>
      </c>
      <c r="K988" s="51" t="s">
        <v>526</v>
      </c>
      <c r="L988" s="51">
        <v>0.95833333333333337</v>
      </c>
      <c r="M988" s="51" t="s">
        <v>541</v>
      </c>
      <c r="N988" s="51" t="s">
        <v>533</v>
      </c>
      <c r="O988" s="51" t="s">
        <v>669</v>
      </c>
      <c r="P988" s="49" t="s">
        <v>23</v>
      </c>
      <c r="Q988" s="49" t="s">
        <v>16</v>
      </c>
      <c r="R988" s="49" t="s">
        <v>109</v>
      </c>
      <c r="S988" s="49">
        <v>3</v>
      </c>
      <c r="T988" s="49">
        <v>11</v>
      </c>
      <c r="U988" s="63">
        <v>32</v>
      </c>
      <c r="V988" s="63">
        <v>352</v>
      </c>
    </row>
    <row r="989" spans="1:22" x14ac:dyDescent="0.25">
      <c r="A989" s="49" t="s">
        <v>799</v>
      </c>
      <c r="B989" s="49" t="s">
        <v>7</v>
      </c>
      <c r="C989" s="49" t="s">
        <v>175</v>
      </c>
      <c r="D989" s="49" t="s">
        <v>79</v>
      </c>
      <c r="E989" s="49" t="s">
        <v>168</v>
      </c>
      <c r="F989" s="49">
        <v>2016</v>
      </c>
      <c r="G989" s="50">
        <v>43297.791666666664</v>
      </c>
      <c r="H989" s="50">
        <v>43310.958333333336</v>
      </c>
      <c r="I989" s="54">
        <v>43297</v>
      </c>
      <c r="J989" s="54">
        <v>43310</v>
      </c>
      <c r="K989" s="51" t="s">
        <v>526</v>
      </c>
      <c r="L989" s="51">
        <v>0.95833333333333337</v>
      </c>
      <c r="M989" s="51" t="s">
        <v>541</v>
      </c>
      <c r="N989" s="51" t="s">
        <v>533</v>
      </c>
      <c r="O989" s="51" t="s">
        <v>669</v>
      </c>
      <c r="P989" s="49" t="s">
        <v>23</v>
      </c>
      <c r="Q989" s="49" t="s">
        <v>21</v>
      </c>
      <c r="R989" s="49" t="s">
        <v>113</v>
      </c>
      <c r="S989" s="49">
        <v>4</v>
      </c>
      <c r="T989" s="49">
        <v>8</v>
      </c>
      <c r="U989" s="63">
        <v>48</v>
      </c>
      <c r="V989" s="63">
        <v>384</v>
      </c>
    </row>
    <row r="990" spans="1:22" x14ac:dyDescent="0.25">
      <c r="A990" s="49" t="s">
        <v>800</v>
      </c>
      <c r="B990" s="49" t="s">
        <v>45</v>
      </c>
      <c r="C990" s="49" t="s">
        <v>177</v>
      </c>
      <c r="D990" s="49" t="s">
        <v>82</v>
      </c>
      <c r="E990" s="49" t="s">
        <v>172</v>
      </c>
      <c r="F990" s="49">
        <v>2016</v>
      </c>
      <c r="G990" s="50">
        <v>43298.583333333336</v>
      </c>
      <c r="H990" s="50">
        <v>43311.75</v>
      </c>
      <c r="I990" s="54">
        <v>43298</v>
      </c>
      <c r="J990" s="54">
        <v>43311</v>
      </c>
      <c r="K990" s="51" t="s">
        <v>527</v>
      </c>
      <c r="L990" s="51">
        <v>0.75</v>
      </c>
      <c r="M990" s="51" t="s">
        <v>542</v>
      </c>
      <c r="N990" s="51" t="s">
        <v>533</v>
      </c>
      <c r="O990" s="51" t="s">
        <v>669</v>
      </c>
      <c r="P990" s="49" t="s">
        <v>23</v>
      </c>
      <c r="Q990" s="49" t="s">
        <v>12</v>
      </c>
      <c r="R990" s="49" t="s">
        <v>113</v>
      </c>
      <c r="S990" s="49">
        <v>5</v>
      </c>
      <c r="T990" s="49">
        <v>10</v>
      </c>
      <c r="U990" s="63">
        <v>75</v>
      </c>
      <c r="V990" s="63">
        <v>750</v>
      </c>
    </row>
    <row r="991" spans="1:22" x14ac:dyDescent="0.25">
      <c r="A991" s="49" t="s">
        <v>801</v>
      </c>
      <c r="B991" s="49" t="s">
        <v>39</v>
      </c>
      <c r="C991" s="49" t="s">
        <v>177</v>
      </c>
      <c r="D991" s="49" t="s">
        <v>89</v>
      </c>
      <c r="E991" s="49" t="s">
        <v>169</v>
      </c>
      <c r="F991" s="49">
        <v>2016</v>
      </c>
      <c r="G991" s="50">
        <v>43299.375</v>
      </c>
      <c r="H991" s="50">
        <v>43305.75</v>
      </c>
      <c r="I991" s="54">
        <v>43299</v>
      </c>
      <c r="J991" s="54">
        <v>43305</v>
      </c>
      <c r="K991" s="51" t="s">
        <v>525</v>
      </c>
      <c r="L991" s="51">
        <v>0.75</v>
      </c>
      <c r="M991" s="51" t="s">
        <v>540</v>
      </c>
      <c r="N991" s="51" t="s">
        <v>533</v>
      </c>
      <c r="O991" s="51" t="s">
        <v>669</v>
      </c>
      <c r="P991" s="49" t="s">
        <v>23</v>
      </c>
      <c r="Q991" s="49" t="s">
        <v>16</v>
      </c>
      <c r="R991" s="49" t="s">
        <v>109</v>
      </c>
      <c r="S991" s="49">
        <v>5</v>
      </c>
      <c r="T991" s="49">
        <v>11</v>
      </c>
      <c r="U991" s="63">
        <v>62</v>
      </c>
      <c r="V991" s="63">
        <v>682</v>
      </c>
    </row>
    <row r="992" spans="1:22" x14ac:dyDescent="0.25">
      <c r="A992" s="49" t="s">
        <v>802</v>
      </c>
      <c r="B992" s="49" t="s">
        <v>17</v>
      </c>
      <c r="C992" s="49" t="s">
        <v>176</v>
      </c>
      <c r="D992" s="49" t="s">
        <v>77</v>
      </c>
      <c r="E992" s="49" t="s">
        <v>172</v>
      </c>
      <c r="F992" s="49">
        <v>2016</v>
      </c>
      <c r="G992" s="50">
        <v>43300.333333333336</v>
      </c>
      <c r="H992" s="50">
        <v>43313.5</v>
      </c>
      <c r="I992" s="54">
        <v>43300</v>
      </c>
      <c r="J992" s="54">
        <v>43313</v>
      </c>
      <c r="K992" s="51" t="s">
        <v>522</v>
      </c>
      <c r="L992" s="51">
        <v>0.5</v>
      </c>
      <c r="M992" s="51" t="s">
        <v>539</v>
      </c>
      <c r="N992" s="51" t="s">
        <v>533</v>
      </c>
      <c r="O992" s="51" t="s">
        <v>669</v>
      </c>
      <c r="P992" s="49" t="s">
        <v>9</v>
      </c>
      <c r="Q992" s="49" t="s">
        <v>38</v>
      </c>
      <c r="R992" s="49" t="s">
        <v>113</v>
      </c>
      <c r="S992" s="49">
        <v>4</v>
      </c>
      <c r="T992" s="49">
        <v>9</v>
      </c>
      <c r="U992" s="63">
        <v>35</v>
      </c>
      <c r="V992" s="63">
        <v>315</v>
      </c>
    </row>
    <row r="993" spans="1:22" x14ac:dyDescent="0.25">
      <c r="A993" s="49" t="s">
        <v>803</v>
      </c>
      <c r="B993" s="49" t="s">
        <v>7</v>
      </c>
      <c r="C993" s="49" t="s">
        <v>175</v>
      </c>
      <c r="D993" s="49" t="s">
        <v>84</v>
      </c>
      <c r="E993" s="49" t="s">
        <v>172</v>
      </c>
      <c r="F993" s="49">
        <v>2016</v>
      </c>
      <c r="G993" s="50">
        <v>43301.375</v>
      </c>
      <c r="H993" s="50">
        <v>43306.75</v>
      </c>
      <c r="I993" s="54">
        <v>43301</v>
      </c>
      <c r="J993" s="54">
        <v>43306</v>
      </c>
      <c r="K993" s="51" t="s">
        <v>525</v>
      </c>
      <c r="L993" s="51">
        <v>0.75</v>
      </c>
      <c r="M993" s="51" t="s">
        <v>540</v>
      </c>
      <c r="N993" s="51" t="s">
        <v>533</v>
      </c>
      <c r="O993" s="51" t="s">
        <v>669</v>
      </c>
      <c r="P993" s="49" t="s">
        <v>23</v>
      </c>
      <c r="Q993" s="49" t="s">
        <v>33</v>
      </c>
      <c r="R993" s="49" t="s">
        <v>113</v>
      </c>
      <c r="S993" s="49">
        <v>5</v>
      </c>
      <c r="T993" s="49">
        <v>12</v>
      </c>
      <c r="U993" s="63">
        <v>52</v>
      </c>
      <c r="V993" s="63">
        <v>624</v>
      </c>
    </row>
    <row r="994" spans="1:22" x14ac:dyDescent="0.25">
      <c r="A994" s="49" t="s">
        <v>804</v>
      </c>
      <c r="B994" s="49" t="s">
        <v>45</v>
      </c>
      <c r="C994" s="49" t="s">
        <v>177</v>
      </c>
      <c r="D994" s="49" t="s">
        <v>85</v>
      </c>
      <c r="E994" s="49" t="s">
        <v>170</v>
      </c>
      <c r="F994" s="49">
        <v>2016</v>
      </c>
      <c r="G994" s="50">
        <v>43303.791666666664</v>
      </c>
      <c r="H994" s="50">
        <v>43314.958333333336</v>
      </c>
      <c r="I994" s="54">
        <v>43303</v>
      </c>
      <c r="J994" s="54">
        <v>43314</v>
      </c>
      <c r="K994" s="51" t="s">
        <v>526</v>
      </c>
      <c r="L994" s="51">
        <v>0.95833333333333337</v>
      </c>
      <c r="M994" s="51" t="s">
        <v>541</v>
      </c>
      <c r="N994" s="51" t="s">
        <v>533</v>
      </c>
      <c r="O994" s="51" t="s">
        <v>669</v>
      </c>
      <c r="P994" s="49" t="s">
        <v>9</v>
      </c>
      <c r="Q994" s="49" t="s">
        <v>38</v>
      </c>
      <c r="R994" s="49" t="s">
        <v>113</v>
      </c>
      <c r="S994" s="49">
        <v>3</v>
      </c>
      <c r="T994" s="49">
        <v>8</v>
      </c>
      <c r="U994" s="63">
        <v>48</v>
      </c>
      <c r="V994" s="63">
        <v>384</v>
      </c>
    </row>
    <row r="995" spans="1:22" x14ac:dyDescent="0.25">
      <c r="A995" s="49" t="s">
        <v>805</v>
      </c>
      <c r="B995" s="49" t="s">
        <v>29</v>
      </c>
      <c r="C995" s="49" t="s">
        <v>177</v>
      </c>
      <c r="D995" s="49" t="s">
        <v>84</v>
      </c>
      <c r="E995" s="49" t="s">
        <v>172</v>
      </c>
      <c r="F995" s="49">
        <v>2016</v>
      </c>
      <c r="G995" s="50">
        <v>43303.791666666664</v>
      </c>
      <c r="H995" s="50">
        <v>43314.958333333336</v>
      </c>
      <c r="I995" s="54">
        <v>43303</v>
      </c>
      <c r="J995" s="54">
        <v>43314</v>
      </c>
      <c r="K995" s="51" t="s">
        <v>526</v>
      </c>
      <c r="L995" s="51">
        <v>0.95833333333333337</v>
      </c>
      <c r="M995" s="51" t="s">
        <v>541</v>
      </c>
      <c r="N995" s="51" t="s">
        <v>533</v>
      </c>
      <c r="O995" s="51" t="s">
        <v>669</v>
      </c>
      <c r="P995" s="49" t="s">
        <v>23</v>
      </c>
      <c r="Q995" s="49" t="s">
        <v>16</v>
      </c>
      <c r="R995" s="49" t="s">
        <v>109</v>
      </c>
      <c r="S995" s="49">
        <v>5</v>
      </c>
      <c r="T995" s="49">
        <v>12</v>
      </c>
      <c r="U995" s="63">
        <v>52</v>
      </c>
      <c r="V995" s="63">
        <v>624</v>
      </c>
    </row>
    <row r="996" spans="1:22" x14ac:dyDescent="0.25">
      <c r="A996" s="49" t="s">
        <v>806</v>
      </c>
      <c r="B996" s="49" t="s">
        <v>45</v>
      </c>
      <c r="C996" s="49" t="s">
        <v>177</v>
      </c>
      <c r="D996" s="49" t="s">
        <v>77</v>
      </c>
      <c r="E996" s="49" t="s">
        <v>172</v>
      </c>
      <c r="F996" s="49">
        <v>2016</v>
      </c>
      <c r="G996" s="50">
        <v>43304.791666666664</v>
      </c>
      <c r="H996" s="50">
        <v>43317.958333333336</v>
      </c>
      <c r="I996" s="54">
        <v>43304</v>
      </c>
      <c r="J996" s="54">
        <v>43317</v>
      </c>
      <c r="K996" s="51" t="s">
        <v>526</v>
      </c>
      <c r="L996" s="51">
        <v>0.95833333333333337</v>
      </c>
      <c r="M996" s="51" t="s">
        <v>541</v>
      </c>
      <c r="N996" s="51" t="s">
        <v>533</v>
      </c>
      <c r="O996" s="51" t="s">
        <v>669</v>
      </c>
      <c r="P996" s="49" t="s">
        <v>9</v>
      </c>
      <c r="Q996" s="49" t="s">
        <v>31</v>
      </c>
      <c r="R996" s="49" t="s">
        <v>113</v>
      </c>
      <c r="S996" s="49">
        <v>5</v>
      </c>
      <c r="T996" s="49">
        <v>8</v>
      </c>
      <c r="U996" s="63">
        <v>35</v>
      </c>
      <c r="V996" s="63">
        <v>280</v>
      </c>
    </row>
    <row r="997" spans="1:22" x14ac:dyDescent="0.25">
      <c r="A997" s="49" t="s">
        <v>807</v>
      </c>
      <c r="B997" s="49" t="s">
        <v>29</v>
      </c>
      <c r="C997" s="49" t="s">
        <v>177</v>
      </c>
      <c r="D997" s="49" t="s">
        <v>80</v>
      </c>
      <c r="E997" s="49" t="s">
        <v>173</v>
      </c>
      <c r="F997" s="49">
        <v>2016</v>
      </c>
      <c r="G997" s="50">
        <v>43305.583333333336</v>
      </c>
      <c r="H997" s="50">
        <v>43318.75</v>
      </c>
      <c r="I997" s="54">
        <v>43305</v>
      </c>
      <c r="J997" s="54">
        <v>43318</v>
      </c>
      <c r="K997" s="51" t="s">
        <v>527</v>
      </c>
      <c r="L997" s="51">
        <v>0.75</v>
      </c>
      <c r="M997" s="51" t="s">
        <v>542</v>
      </c>
      <c r="N997" s="51" t="s">
        <v>533</v>
      </c>
      <c r="O997" s="51" t="s">
        <v>669</v>
      </c>
      <c r="P997" s="49" t="s">
        <v>23</v>
      </c>
      <c r="Q997" s="49" t="s">
        <v>38</v>
      </c>
      <c r="R997" s="49" t="s">
        <v>113</v>
      </c>
      <c r="S997" s="49">
        <v>4</v>
      </c>
      <c r="T997" s="49">
        <v>10</v>
      </c>
      <c r="U997" s="63">
        <v>32</v>
      </c>
      <c r="V997" s="63">
        <v>320</v>
      </c>
    </row>
    <row r="998" spans="1:22" x14ac:dyDescent="0.25">
      <c r="A998" s="49" t="s">
        <v>808</v>
      </c>
      <c r="B998" s="49" t="s">
        <v>7</v>
      </c>
      <c r="C998" s="49" t="s">
        <v>175</v>
      </c>
      <c r="D998" s="49" t="s">
        <v>86</v>
      </c>
      <c r="E998" s="49" t="s">
        <v>169</v>
      </c>
      <c r="F998" s="49">
        <v>2016</v>
      </c>
      <c r="G998" s="50">
        <v>43306.375</v>
      </c>
      <c r="H998" s="50">
        <v>43312.75</v>
      </c>
      <c r="I998" s="54">
        <v>43306</v>
      </c>
      <c r="J998" s="54">
        <v>43312</v>
      </c>
      <c r="K998" s="51" t="s">
        <v>525</v>
      </c>
      <c r="L998" s="51">
        <v>0.75</v>
      </c>
      <c r="M998" s="51" t="s">
        <v>540</v>
      </c>
      <c r="N998" s="51" t="s">
        <v>533</v>
      </c>
      <c r="O998" s="51" t="s">
        <v>669</v>
      </c>
      <c r="P998" s="49" t="s">
        <v>9</v>
      </c>
      <c r="Q998" s="49" t="s">
        <v>190</v>
      </c>
      <c r="R998" s="49" t="s">
        <v>109</v>
      </c>
      <c r="S998" s="49">
        <v>3</v>
      </c>
      <c r="T998" s="49">
        <v>12</v>
      </c>
      <c r="U998" s="63">
        <v>48</v>
      </c>
      <c r="V998" s="63">
        <v>576</v>
      </c>
    </row>
    <row r="999" spans="1:22" x14ac:dyDescent="0.25">
      <c r="A999" s="49" t="s">
        <v>809</v>
      </c>
      <c r="B999" s="49" t="s">
        <v>17</v>
      </c>
      <c r="C999" s="49" t="s">
        <v>176</v>
      </c>
      <c r="D999" s="49" t="s">
        <v>85</v>
      </c>
      <c r="E999" s="49" t="s">
        <v>170</v>
      </c>
      <c r="F999" s="49">
        <v>2016</v>
      </c>
      <c r="G999" s="50">
        <v>43307.333333333336</v>
      </c>
      <c r="H999" s="50">
        <v>43320.5</v>
      </c>
      <c r="I999" s="54">
        <v>43307</v>
      </c>
      <c r="J999" s="54">
        <v>43320</v>
      </c>
      <c r="K999" s="51" t="s">
        <v>522</v>
      </c>
      <c r="L999" s="51">
        <v>0.5</v>
      </c>
      <c r="M999" s="51" t="s">
        <v>539</v>
      </c>
      <c r="N999" s="51" t="s">
        <v>533</v>
      </c>
      <c r="O999" s="51" t="s">
        <v>669</v>
      </c>
      <c r="P999" s="49" t="s">
        <v>9</v>
      </c>
      <c r="Q999" s="49" t="s">
        <v>44</v>
      </c>
      <c r="R999" s="49" t="s">
        <v>113</v>
      </c>
      <c r="S999" s="49">
        <v>3</v>
      </c>
      <c r="T999" s="49">
        <v>9</v>
      </c>
      <c r="U999" s="63">
        <v>48</v>
      </c>
      <c r="V999" s="63">
        <v>432</v>
      </c>
    </row>
    <row r="1000" spans="1:22" x14ac:dyDescent="0.25">
      <c r="A1000" s="49" t="s">
        <v>810</v>
      </c>
      <c r="B1000" s="49" t="s">
        <v>29</v>
      </c>
      <c r="C1000" s="49" t="s">
        <v>177</v>
      </c>
      <c r="D1000" s="49" t="s">
        <v>86</v>
      </c>
      <c r="E1000" s="49" t="s">
        <v>169</v>
      </c>
      <c r="F1000" s="49">
        <v>2016</v>
      </c>
      <c r="G1000" s="50">
        <v>43308.375</v>
      </c>
      <c r="H1000" s="50">
        <v>43313.75</v>
      </c>
      <c r="I1000" s="54">
        <v>43308</v>
      </c>
      <c r="J1000" s="54">
        <v>43313</v>
      </c>
      <c r="K1000" s="51" t="s">
        <v>525</v>
      </c>
      <c r="L1000" s="51">
        <v>0.75</v>
      </c>
      <c r="M1000" s="51" t="s">
        <v>540</v>
      </c>
      <c r="N1000" s="51" t="s">
        <v>533</v>
      </c>
      <c r="O1000" s="51" t="s">
        <v>669</v>
      </c>
      <c r="P1000" s="49" t="s">
        <v>9</v>
      </c>
      <c r="Q1000" s="49" t="s">
        <v>190</v>
      </c>
      <c r="R1000" s="49" t="s">
        <v>109</v>
      </c>
      <c r="S1000" s="49">
        <v>2</v>
      </c>
      <c r="T1000" s="49">
        <v>12</v>
      </c>
      <c r="U1000" s="63">
        <v>48</v>
      </c>
      <c r="V1000" s="63">
        <v>576</v>
      </c>
    </row>
    <row r="1001" spans="1:22" x14ac:dyDescent="0.25">
      <c r="A1001" s="49" t="s">
        <v>811</v>
      </c>
      <c r="B1001" s="49" t="s">
        <v>11</v>
      </c>
      <c r="C1001" s="49" t="s">
        <v>175</v>
      </c>
      <c r="D1001" s="49" t="s">
        <v>88</v>
      </c>
      <c r="E1001" s="49" t="s">
        <v>170</v>
      </c>
      <c r="F1001" s="49">
        <v>2016</v>
      </c>
      <c r="G1001" s="50">
        <v>43310.791666666664</v>
      </c>
      <c r="H1001" s="50">
        <v>43321.958333333336</v>
      </c>
      <c r="I1001" s="54">
        <v>43310</v>
      </c>
      <c r="J1001" s="54">
        <v>43321</v>
      </c>
      <c r="K1001" s="51" t="s">
        <v>526</v>
      </c>
      <c r="L1001" s="51">
        <v>0.95833333333333337</v>
      </c>
      <c r="M1001" s="51" t="s">
        <v>541</v>
      </c>
      <c r="N1001" s="51" t="s">
        <v>533</v>
      </c>
      <c r="O1001" s="51" t="s">
        <v>669</v>
      </c>
      <c r="P1001" s="49" t="s">
        <v>23</v>
      </c>
      <c r="Q1001" s="49" t="s">
        <v>28</v>
      </c>
      <c r="R1001" s="49" t="s">
        <v>109</v>
      </c>
      <c r="S1001" s="49">
        <v>5</v>
      </c>
      <c r="T1001" s="49">
        <v>9</v>
      </c>
      <c r="U1001" s="63">
        <v>42</v>
      </c>
      <c r="V1001" s="63">
        <v>378</v>
      </c>
    </row>
    <row r="1002" spans="1:22" x14ac:dyDescent="0.25">
      <c r="A1002" s="49" t="s">
        <v>812</v>
      </c>
      <c r="B1002" s="49" t="s">
        <v>14</v>
      </c>
      <c r="C1002" s="49" t="s">
        <v>175</v>
      </c>
      <c r="D1002" s="49" t="s">
        <v>88</v>
      </c>
      <c r="E1002" s="49" t="s">
        <v>170</v>
      </c>
      <c r="F1002" s="49">
        <v>2016</v>
      </c>
      <c r="G1002" s="50">
        <v>43310.791666666664</v>
      </c>
      <c r="H1002" s="50">
        <v>43321.958333333336</v>
      </c>
      <c r="I1002" s="54">
        <v>43310</v>
      </c>
      <c r="J1002" s="54">
        <v>43321</v>
      </c>
      <c r="K1002" s="51" t="s">
        <v>526</v>
      </c>
      <c r="L1002" s="51">
        <v>0.95833333333333337</v>
      </c>
      <c r="M1002" s="51" t="s">
        <v>541</v>
      </c>
      <c r="N1002" s="51" t="s">
        <v>533</v>
      </c>
      <c r="O1002" s="51" t="s">
        <v>669</v>
      </c>
      <c r="P1002" s="49" t="s">
        <v>9</v>
      </c>
      <c r="Q1002" s="49" t="s">
        <v>33</v>
      </c>
      <c r="R1002" s="49" t="s">
        <v>113</v>
      </c>
      <c r="S1002" s="49">
        <v>2</v>
      </c>
      <c r="T1002" s="49">
        <v>12</v>
      </c>
      <c r="U1002" s="63">
        <v>42</v>
      </c>
      <c r="V1002" s="63">
        <v>504</v>
      </c>
    </row>
    <row r="1003" spans="1:22" x14ac:dyDescent="0.25">
      <c r="A1003" s="49" t="s">
        <v>813</v>
      </c>
      <c r="B1003" s="49" t="s">
        <v>7</v>
      </c>
      <c r="C1003" s="49" t="s">
        <v>175</v>
      </c>
      <c r="D1003" s="49" t="s">
        <v>83</v>
      </c>
      <c r="E1003" s="49" t="s">
        <v>174</v>
      </c>
      <c r="F1003" s="49">
        <v>2016</v>
      </c>
      <c r="G1003" s="50">
        <v>43311.791666666664</v>
      </c>
      <c r="H1003" s="50">
        <v>43324.958333333336</v>
      </c>
      <c r="I1003" s="54">
        <v>43311</v>
      </c>
      <c r="J1003" s="54">
        <v>43324</v>
      </c>
      <c r="K1003" s="51" t="s">
        <v>526</v>
      </c>
      <c r="L1003" s="51">
        <v>0.95833333333333337</v>
      </c>
      <c r="M1003" s="51" t="s">
        <v>541</v>
      </c>
      <c r="N1003" s="51" t="s">
        <v>533</v>
      </c>
      <c r="O1003" s="51" t="s">
        <v>669</v>
      </c>
      <c r="P1003" s="49" t="s">
        <v>9</v>
      </c>
      <c r="Q1003" s="49" t="s">
        <v>31</v>
      </c>
      <c r="R1003" s="49" t="s">
        <v>113</v>
      </c>
      <c r="S1003" s="49">
        <v>4</v>
      </c>
      <c r="T1003" s="49">
        <v>9</v>
      </c>
      <c r="U1003" s="63">
        <v>63</v>
      </c>
      <c r="V1003" s="63">
        <v>567</v>
      </c>
    </row>
    <row r="1004" spans="1:22" x14ac:dyDescent="0.25">
      <c r="A1004" s="49" t="s">
        <v>814</v>
      </c>
      <c r="B1004" s="49" t="s">
        <v>39</v>
      </c>
      <c r="C1004" s="49" t="s">
        <v>177</v>
      </c>
      <c r="D1004" s="49" t="s">
        <v>79</v>
      </c>
      <c r="E1004" s="49" t="s">
        <v>168</v>
      </c>
      <c r="F1004" s="49">
        <v>2016</v>
      </c>
      <c r="G1004" s="50">
        <v>43312.583333333336</v>
      </c>
      <c r="H1004" s="50">
        <v>43325.75</v>
      </c>
      <c r="I1004" s="54">
        <v>43312</v>
      </c>
      <c r="J1004" s="54">
        <v>43325</v>
      </c>
      <c r="K1004" s="51" t="s">
        <v>527</v>
      </c>
      <c r="L1004" s="51">
        <v>0.75</v>
      </c>
      <c r="M1004" s="51" t="s">
        <v>542</v>
      </c>
      <c r="N1004" s="51" t="s">
        <v>533</v>
      </c>
      <c r="O1004" s="51" t="s">
        <v>669</v>
      </c>
      <c r="P1004" s="49" t="s">
        <v>23</v>
      </c>
      <c r="Q1004" s="49" t="s">
        <v>190</v>
      </c>
      <c r="R1004" s="49" t="s">
        <v>109</v>
      </c>
      <c r="S1004" s="49">
        <v>2</v>
      </c>
      <c r="T1004" s="49">
        <v>9</v>
      </c>
      <c r="U1004" s="63">
        <v>48</v>
      </c>
      <c r="V1004" s="63">
        <v>432</v>
      </c>
    </row>
    <row r="1005" spans="1:22" x14ac:dyDescent="0.25">
      <c r="A1005" s="49" t="s">
        <v>815</v>
      </c>
      <c r="B1005" s="49" t="s">
        <v>22</v>
      </c>
      <c r="C1005" s="49" t="s">
        <v>176</v>
      </c>
      <c r="D1005" s="49" t="s">
        <v>81</v>
      </c>
      <c r="E1005" s="49" t="s">
        <v>172</v>
      </c>
      <c r="F1005" s="49">
        <v>2016</v>
      </c>
      <c r="G1005" s="50">
        <v>43313.375</v>
      </c>
      <c r="H1005" s="50">
        <v>43319.75</v>
      </c>
      <c r="I1005" s="54">
        <v>43313</v>
      </c>
      <c r="J1005" s="54">
        <v>43319</v>
      </c>
      <c r="K1005" s="51" t="s">
        <v>525</v>
      </c>
      <c r="L1005" s="51">
        <v>0.75</v>
      </c>
      <c r="M1005" s="51" t="s">
        <v>540</v>
      </c>
      <c r="N1005" s="51" t="s">
        <v>534</v>
      </c>
      <c r="O1005" s="51" t="s">
        <v>669</v>
      </c>
      <c r="P1005" s="49" t="s">
        <v>23</v>
      </c>
      <c r="Q1005" s="49" t="s">
        <v>37</v>
      </c>
      <c r="R1005" s="49" t="s">
        <v>113</v>
      </c>
      <c r="S1005" s="49" t="s">
        <v>191</v>
      </c>
      <c r="T1005" s="49">
        <v>9</v>
      </c>
      <c r="U1005" s="63">
        <v>43</v>
      </c>
      <c r="V1005" s="63">
        <v>387</v>
      </c>
    </row>
    <row r="1006" spans="1:22" x14ac:dyDescent="0.25">
      <c r="A1006" s="49" t="s">
        <v>816</v>
      </c>
      <c r="B1006" s="49" t="s">
        <v>29</v>
      </c>
      <c r="C1006" s="49" t="s">
        <v>177</v>
      </c>
      <c r="D1006" s="49" t="s">
        <v>80</v>
      </c>
      <c r="E1006" s="49" t="s">
        <v>173</v>
      </c>
      <c r="F1006" s="49">
        <v>2016</v>
      </c>
      <c r="G1006" s="50">
        <v>43314.333333333336</v>
      </c>
      <c r="H1006" s="50">
        <v>43327.5</v>
      </c>
      <c r="I1006" s="54">
        <v>43314</v>
      </c>
      <c r="J1006" s="54">
        <v>43327</v>
      </c>
      <c r="K1006" s="51" t="s">
        <v>522</v>
      </c>
      <c r="L1006" s="51">
        <v>0.5</v>
      </c>
      <c r="M1006" s="51" t="s">
        <v>539</v>
      </c>
      <c r="N1006" s="51" t="s">
        <v>534</v>
      </c>
      <c r="O1006" s="51" t="s">
        <v>669</v>
      </c>
      <c r="P1006" s="49" t="s">
        <v>23</v>
      </c>
      <c r="Q1006" s="49" t="s">
        <v>22</v>
      </c>
      <c r="R1006" s="49" t="s">
        <v>109</v>
      </c>
      <c r="S1006" s="49">
        <v>2</v>
      </c>
      <c r="T1006" s="49">
        <v>8</v>
      </c>
      <c r="U1006" s="63">
        <v>32</v>
      </c>
      <c r="V1006" s="63">
        <v>256</v>
      </c>
    </row>
    <row r="1007" spans="1:22" x14ac:dyDescent="0.25">
      <c r="A1007" s="49" t="s">
        <v>817</v>
      </c>
      <c r="B1007" s="49" t="s">
        <v>7</v>
      </c>
      <c r="C1007" s="49" t="s">
        <v>175</v>
      </c>
      <c r="D1007" s="49" t="s">
        <v>84</v>
      </c>
      <c r="E1007" s="49" t="s">
        <v>172</v>
      </c>
      <c r="F1007" s="49">
        <v>2016</v>
      </c>
      <c r="G1007" s="50">
        <v>43315.375</v>
      </c>
      <c r="H1007" s="50">
        <v>43320.75</v>
      </c>
      <c r="I1007" s="54">
        <v>43315</v>
      </c>
      <c r="J1007" s="54">
        <v>43320</v>
      </c>
      <c r="K1007" s="51" t="s">
        <v>525</v>
      </c>
      <c r="L1007" s="51">
        <v>0.75</v>
      </c>
      <c r="M1007" s="51" t="s">
        <v>540</v>
      </c>
      <c r="N1007" s="51" t="s">
        <v>534</v>
      </c>
      <c r="O1007" s="51" t="s">
        <v>669</v>
      </c>
      <c r="P1007" s="49" t="s">
        <v>23</v>
      </c>
      <c r="Q1007" s="49" t="s">
        <v>41</v>
      </c>
      <c r="R1007" s="49" t="s">
        <v>113</v>
      </c>
      <c r="S1007" s="49">
        <v>2</v>
      </c>
      <c r="T1007" s="49">
        <v>11</v>
      </c>
      <c r="U1007" s="63">
        <v>52</v>
      </c>
      <c r="V1007" s="63">
        <v>572</v>
      </c>
    </row>
    <row r="1008" spans="1:22" x14ac:dyDescent="0.25">
      <c r="A1008" s="49" t="s">
        <v>818</v>
      </c>
      <c r="B1008" s="49" t="s">
        <v>19</v>
      </c>
      <c r="C1008" s="49" t="s">
        <v>176</v>
      </c>
      <c r="D1008" s="49" t="s">
        <v>80</v>
      </c>
      <c r="E1008" s="49" t="s">
        <v>173</v>
      </c>
      <c r="F1008" s="49">
        <v>2016</v>
      </c>
      <c r="G1008" s="50">
        <v>43317.791666666664</v>
      </c>
      <c r="H1008" s="50">
        <v>43328.958333333336</v>
      </c>
      <c r="I1008" s="54">
        <v>43317</v>
      </c>
      <c r="J1008" s="54">
        <v>43328</v>
      </c>
      <c r="K1008" s="51" t="s">
        <v>526</v>
      </c>
      <c r="L1008" s="51">
        <v>0.95833333333333337</v>
      </c>
      <c r="M1008" s="51" t="s">
        <v>541</v>
      </c>
      <c r="N1008" s="51" t="s">
        <v>534</v>
      </c>
      <c r="O1008" s="51" t="s">
        <v>669</v>
      </c>
      <c r="P1008" s="49" t="s">
        <v>9</v>
      </c>
      <c r="Q1008" s="49" t="s">
        <v>26</v>
      </c>
      <c r="R1008" s="49" t="s">
        <v>113</v>
      </c>
      <c r="S1008" s="49">
        <v>3</v>
      </c>
      <c r="T1008" s="49">
        <v>12</v>
      </c>
      <c r="U1008" s="63">
        <v>32</v>
      </c>
      <c r="V1008" s="63">
        <v>384</v>
      </c>
    </row>
    <row r="1009" spans="1:22" x14ac:dyDescent="0.25">
      <c r="A1009" s="49" t="s">
        <v>819</v>
      </c>
      <c r="B1009" s="49" t="s">
        <v>45</v>
      </c>
      <c r="C1009" s="49" t="s">
        <v>177</v>
      </c>
      <c r="D1009" s="49" t="s">
        <v>77</v>
      </c>
      <c r="E1009" s="49" t="s">
        <v>172</v>
      </c>
      <c r="F1009" s="49">
        <v>2016</v>
      </c>
      <c r="G1009" s="50">
        <v>43317.791666666664</v>
      </c>
      <c r="H1009" s="50">
        <v>43328.958333333336</v>
      </c>
      <c r="I1009" s="54">
        <v>43317</v>
      </c>
      <c r="J1009" s="54">
        <v>43328</v>
      </c>
      <c r="K1009" s="51" t="s">
        <v>526</v>
      </c>
      <c r="L1009" s="51">
        <v>0.95833333333333337</v>
      </c>
      <c r="M1009" s="51" t="s">
        <v>541</v>
      </c>
      <c r="N1009" s="51" t="s">
        <v>534</v>
      </c>
      <c r="O1009" s="51" t="s">
        <v>669</v>
      </c>
      <c r="P1009" s="49" t="s">
        <v>9</v>
      </c>
      <c r="Q1009" s="49" t="s">
        <v>16</v>
      </c>
      <c r="R1009" s="49" t="s">
        <v>109</v>
      </c>
      <c r="S1009" s="49">
        <v>5</v>
      </c>
      <c r="T1009" s="49">
        <v>12</v>
      </c>
      <c r="U1009" s="63">
        <v>35</v>
      </c>
      <c r="V1009" s="63">
        <v>420</v>
      </c>
    </row>
    <row r="1010" spans="1:22" x14ac:dyDescent="0.25">
      <c r="A1010" s="49" t="s">
        <v>820</v>
      </c>
      <c r="B1010" s="49" t="s">
        <v>19</v>
      </c>
      <c r="C1010" s="49" t="s">
        <v>176</v>
      </c>
      <c r="D1010" s="49" t="s">
        <v>80</v>
      </c>
      <c r="E1010" s="49" t="s">
        <v>173</v>
      </c>
      <c r="F1010" s="49">
        <v>2016</v>
      </c>
      <c r="G1010" s="50">
        <v>43318.791666666664</v>
      </c>
      <c r="H1010" s="50">
        <v>43331.958333333336</v>
      </c>
      <c r="I1010" s="54">
        <v>43318</v>
      </c>
      <c r="J1010" s="54">
        <v>43331</v>
      </c>
      <c r="K1010" s="51" t="s">
        <v>526</v>
      </c>
      <c r="L1010" s="51">
        <v>0.95833333333333337</v>
      </c>
      <c r="M1010" s="51" t="s">
        <v>541</v>
      </c>
      <c r="N1010" s="51" t="s">
        <v>534</v>
      </c>
      <c r="O1010" s="51" t="s">
        <v>669</v>
      </c>
      <c r="P1010" s="49" t="s">
        <v>23</v>
      </c>
      <c r="Q1010" s="49" t="s">
        <v>26</v>
      </c>
      <c r="R1010" s="49" t="s">
        <v>113</v>
      </c>
      <c r="S1010" s="49">
        <v>5</v>
      </c>
      <c r="T1010" s="49">
        <v>12</v>
      </c>
      <c r="U1010" s="63">
        <v>32</v>
      </c>
      <c r="V1010" s="63">
        <v>384</v>
      </c>
    </row>
    <row r="1011" spans="1:22" x14ac:dyDescent="0.25">
      <c r="A1011" s="49" t="s">
        <v>821</v>
      </c>
      <c r="B1011" s="49" t="s">
        <v>7</v>
      </c>
      <c r="C1011" s="49" t="s">
        <v>175</v>
      </c>
      <c r="D1011" s="49" t="s">
        <v>89</v>
      </c>
      <c r="E1011" s="49" t="s">
        <v>169</v>
      </c>
      <c r="F1011" s="49">
        <v>2016</v>
      </c>
      <c r="G1011" s="50">
        <v>43319.583333333336</v>
      </c>
      <c r="H1011" s="50">
        <v>43332.75</v>
      </c>
      <c r="I1011" s="54">
        <v>43319</v>
      </c>
      <c r="J1011" s="54">
        <v>43332</v>
      </c>
      <c r="K1011" s="51" t="s">
        <v>527</v>
      </c>
      <c r="L1011" s="51">
        <v>0.75</v>
      </c>
      <c r="M1011" s="51" t="s">
        <v>542</v>
      </c>
      <c r="N1011" s="51" t="s">
        <v>534</v>
      </c>
      <c r="O1011" s="51" t="s">
        <v>669</v>
      </c>
      <c r="P1011" s="49" t="s">
        <v>23</v>
      </c>
      <c r="Q1011" s="49" t="s">
        <v>16</v>
      </c>
      <c r="R1011" s="49" t="s">
        <v>109</v>
      </c>
      <c r="S1011" s="49">
        <v>4</v>
      </c>
      <c r="T1011" s="49">
        <v>8</v>
      </c>
      <c r="U1011" s="63">
        <v>62</v>
      </c>
      <c r="V1011" s="63">
        <v>496</v>
      </c>
    </row>
    <row r="1012" spans="1:22" x14ac:dyDescent="0.25">
      <c r="A1012" s="49" t="s">
        <v>822</v>
      </c>
      <c r="B1012" s="49" t="s">
        <v>17</v>
      </c>
      <c r="C1012" s="49" t="s">
        <v>176</v>
      </c>
      <c r="D1012" s="49" t="s">
        <v>81</v>
      </c>
      <c r="E1012" s="49" t="s">
        <v>172</v>
      </c>
      <c r="F1012" s="49">
        <v>2016</v>
      </c>
      <c r="G1012" s="50">
        <v>43320.375</v>
      </c>
      <c r="H1012" s="50">
        <v>43326.75</v>
      </c>
      <c r="I1012" s="54">
        <v>43320</v>
      </c>
      <c r="J1012" s="54">
        <v>43326</v>
      </c>
      <c r="K1012" s="51" t="s">
        <v>525</v>
      </c>
      <c r="L1012" s="51">
        <v>0.75</v>
      </c>
      <c r="M1012" s="51" t="s">
        <v>540</v>
      </c>
      <c r="N1012" s="51" t="s">
        <v>534</v>
      </c>
      <c r="O1012" s="51" t="s">
        <v>669</v>
      </c>
      <c r="P1012" s="49" t="s">
        <v>23</v>
      </c>
      <c r="Q1012" s="49" t="s">
        <v>33</v>
      </c>
      <c r="R1012" s="49" t="s">
        <v>113</v>
      </c>
      <c r="S1012" s="49">
        <v>2</v>
      </c>
      <c r="T1012" s="49">
        <v>9</v>
      </c>
      <c r="U1012" s="63">
        <v>43</v>
      </c>
      <c r="V1012" s="63">
        <v>387</v>
      </c>
    </row>
    <row r="1013" spans="1:22" x14ac:dyDescent="0.25">
      <c r="A1013" s="49" t="s">
        <v>823</v>
      </c>
      <c r="B1013" s="49" t="s">
        <v>22</v>
      </c>
      <c r="C1013" s="49" t="s">
        <v>176</v>
      </c>
      <c r="D1013" s="49" t="s">
        <v>88</v>
      </c>
      <c r="E1013" s="49" t="s">
        <v>170</v>
      </c>
      <c r="F1013" s="49">
        <v>2016</v>
      </c>
      <c r="G1013" s="50">
        <v>43321.333333333336</v>
      </c>
      <c r="H1013" s="50">
        <v>43334.5</v>
      </c>
      <c r="I1013" s="54">
        <v>43321</v>
      </c>
      <c r="J1013" s="54">
        <v>43334</v>
      </c>
      <c r="K1013" s="51" t="s">
        <v>522</v>
      </c>
      <c r="L1013" s="51">
        <v>0.5</v>
      </c>
      <c r="M1013" s="51" t="s">
        <v>539</v>
      </c>
      <c r="N1013" s="51" t="s">
        <v>534</v>
      </c>
      <c r="O1013" s="51" t="s">
        <v>669</v>
      </c>
      <c r="P1013" s="49" t="s">
        <v>9</v>
      </c>
      <c r="Q1013" s="49" t="s">
        <v>190</v>
      </c>
      <c r="R1013" s="49" t="s">
        <v>109</v>
      </c>
      <c r="S1013" s="49">
        <v>5</v>
      </c>
      <c r="T1013" s="49">
        <v>8</v>
      </c>
      <c r="U1013" s="63">
        <v>42</v>
      </c>
      <c r="V1013" s="63">
        <v>336</v>
      </c>
    </row>
    <row r="1014" spans="1:22" x14ac:dyDescent="0.25">
      <c r="A1014" s="49" t="s">
        <v>824</v>
      </c>
      <c r="B1014" s="49" t="s">
        <v>29</v>
      </c>
      <c r="C1014" s="49" t="s">
        <v>177</v>
      </c>
      <c r="D1014" s="49" t="s">
        <v>85</v>
      </c>
      <c r="E1014" s="49" t="s">
        <v>170</v>
      </c>
      <c r="F1014" s="49">
        <v>2016</v>
      </c>
      <c r="G1014" s="50">
        <v>43322.375</v>
      </c>
      <c r="H1014" s="50">
        <v>43327.75</v>
      </c>
      <c r="I1014" s="54">
        <v>43322</v>
      </c>
      <c r="J1014" s="54">
        <v>43327</v>
      </c>
      <c r="K1014" s="51" t="s">
        <v>525</v>
      </c>
      <c r="L1014" s="51">
        <v>0.75</v>
      </c>
      <c r="M1014" s="51" t="s">
        <v>540</v>
      </c>
      <c r="N1014" s="51" t="s">
        <v>534</v>
      </c>
      <c r="O1014" s="51" t="s">
        <v>669</v>
      </c>
      <c r="P1014" s="49" t="s">
        <v>9</v>
      </c>
      <c r="Q1014" s="49" t="s">
        <v>33</v>
      </c>
      <c r="R1014" s="49" t="s">
        <v>113</v>
      </c>
      <c r="S1014" s="49">
        <v>3</v>
      </c>
      <c r="T1014" s="49">
        <v>9</v>
      </c>
      <c r="U1014" s="63">
        <v>48</v>
      </c>
      <c r="V1014" s="63">
        <v>432</v>
      </c>
    </row>
    <row r="1015" spans="1:22" x14ac:dyDescent="0.25">
      <c r="A1015" s="49" t="s">
        <v>825</v>
      </c>
      <c r="B1015" s="49" t="s">
        <v>11</v>
      </c>
      <c r="C1015" s="49" t="s">
        <v>175</v>
      </c>
      <c r="D1015" s="49" t="s">
        <v>88</v>
      </c>
      <c r="E1015" s="49" t="s">
        <v>170</v>
      </c>
      <c r="F1015" s="49">
        <v>2016</v>
      </c>
      <c r="G1015" s="50">
        <v>43324.791666666664</v>
      </c>
      <c r="H1015" s="50">
        <v>43335.958333333336</v>
      </c>
      <c r="I1015" s="54">
        <v>43324</v>
      </c>
      <c r="J1015" s="54">
        <v>43335</v>
      </c>
      <c r="K1015" s="51" t="s">
        <v>526</v>
      </c>
      <c r="L1015" s="51">
        <v>0.95833333333333337</v>
      </c>
      <c r="M1015" s="51" t="s">
        <v>541</v>
      </c>
      <c r="N1015" s="51" t="s">
        <v>534</v>
      </c>
      <c r="O1015" s="51" t="s">
        <v>669</v>
      </c>
      <c r="P1015" s="49" t="s">
        <v>9</v>
      </c>
      <c r="Q1015" s="49" t="s">
        <v>16</v>
      </c>
      <c r="R1015" s="49" t="s">
        <v>109</v>
      </c>
      <c r="S1015" s="49">
        <v>2</v>
      </c>
      <c r="T1015" s="49">
        <v>11</v>
      </c>
      <c r="U1015" s="63">
        <v>42</v>
      </c>
      <c r="V1015" s="63">
        <v>462</v>
      </c>
    </row>
    <row r="1016" spans="1:22" x14ac:dyDescent="0.25">
      <c r="A1016" s="49" t="s">
        <v>826</v>
      </c>
      <c r="B1016" s="49" t="s">
        <v>29</v>
      </c>
      <c r="C1016" s="49" t="s">
        <v>177</v>
      </c>
      <c r="D1016" s="49" t="s">
        <v>77</v>
      </c>
      <c r="E1016" s="49" t="s">
        <v>172</v>
      </c>
      <c r="F1016" s="49">
        <v>2016</v>
      </c>
      <c r="G1016" s="50">
        <v>43324.791666666664</v>
      </c>
      <c r="H1016" s="50">
        <v>43335.958333333336</v>
      </c>
      <c r="I1016" s="54">
        <v>43324</v>
      </c>
      <c r="J1016" s="54">
        <v>43335</v>
      </c>
      <c r="K1016" s="51" t="s">
        <v>526</v>
      </c>
      <c r="L1016" s="51">
        <v>0.95833333333333337</v>
      </c>
      <c r="M1016" s="51" t="s">
        <v>541</v>
      </c>
      <c r="N1016" s="51" t="s">
        <v>534</v>
      </c>
      <c r="O1016" s="51" t="s">
        <v>669</v>
      </c>
      <c r="P1016" s="49" t="s">
        <v>9</v>
      </c>
      <c r="Q1016" s="49" t="s">
        <v>28</v>
      </c>
      <c r="R1016" s="49" t="s">
        <v>109</v>
      </c>
      <c r="S1016" s="49">
        <v>2</v>
      </c>
      <c r="T1016" s="49">
        <v>11</v>
      </c>
      <c r="U1016" s="63">
        <v>35</v>
      </c>
      <c r="V1016" s="63">
        <v>385</v>
      </c>
    </row>
    <row r="1017" spans="1:22" x14ac:dyDescent="0.25">
      <c r="A1017" s="49" t="s">
        <v>827</v>
      </c>
      <c r="B1017" s="49" t="s">
        <v>39</v>
      </c>
      <c r="C1017" s="49" t="s">
        <v>177</v>
      </c>
      <c r="D1017" s="49" t="s">
        <v>76</v>
      </c>
      <c r="E1017" s="49" t="s">
        <v>174</v>
      </c>
      <c r="F1017" s="49">
        <v>2016</v>
      </c>
      <c r="G1017" s="50">
        <v>43325.791666666664</v>
      </c>
      <c r="H1017" s="50">
        <v>43338.958333333336</v>
      </c>
      <c r="I1017" s="54">
        <v>43325</v>
      </c>
      <c r="J1017" s="54">
        <v>43338</v>
      </c>
      <c r="K1017" s="51" t="s">
        <v>526</v>
      </c>
      <c r="L1017" s="51">
        <v>0.95833333333333337</v>
      </c>
      <c r="M1017" s="51" t="s">
        <v>541</v>
      </c>
      <c r="N1017" s="51" t="s">
        <v>534</v>
      </c>
      <c r="O1017" s="51" t="s">
        <v>669</v>
      </c>
      <c r="P1017" s="49" t="s">
        <v>9</v>
      </c>
      <c r="Q1017" s="49" t="s">
        <v>31</v>
      </c>
      <c r="R1017" s="49" t="s">
        <v>113</v>
      </c>
      <c r="S1017" s="49">
        <v>3</v>
      </c>
      <c r="T1017" s="49">
        <v>8</v>
      </c>
      <c r="U1017" s="63">
        <v>53</v>
      </c>
      <c r="V1017" s="63">
        <v>424</v>
      </c>
    </row>
    <row r="1018" spans="1:22" x14ac:dyDescent="0.25">
      <c r="A1018" s="49" t="s">
        <v>828</v>
      </c>
      <c r="B1018" s="49" t="s">
        <v>17</v>
      </c>
      <c r="C1018" s="49" t="s">
        <v>176</v>
      </c>
      <c r="D1018" s="49" t="s">
        <v>79</v>
      </c>
      <c r="E1018" s="49" t="s">
        <v>168</v>
      </c>
      <c r="F1018" s="49">
        <v>2016</v>
      </c>
      <c r="G1018" s="50">
        <v>43326.583333333336</v>
      </c>
      <c r="H1018" s="50">
        <v>43339.75</v>
      </c>
      <c r="I1018" s="54">
        <v>43326</v>
      </c>
      <c r="J1018" s="54">
        <v>43339</v>
      </c>
      <c r="K1018" s="51" t="s">
        <v>527</v>
      </c>
      <c r="L1018" s="51">
        <v>0.75</v>
      </c>
      <c r="M1018" s="51" t="s">
        <v>542</v>
      </c>
      <c r="N1018" s="51" t="s">
        <v>534</v>
      </c>
      <c r="O1018" s="51" t="s">
        <v>669</v>
      </c>
      <c r="P1018" s="49" t="s">
        <v>23</v>
      </c>
      <c r="Q1018" s="49" t="s">
        <v>21</v>
      </c>
      <c r="R1018" s="49" t="s">
        <v>113</v>
      </c>
      <c r="S1018" s="49">
        <v>3</v>
      </c>
      <c r="T1018" s="49">
        <v>9</v>
      </c>
      <c r="U1018" s="63">
        <v>48</v>
      </c>
      <c r="V1018" s="63">
        <v>432</v>
      </c>
    </row>
    <row r="1019" spans="1:22" x14ac:dyDescent="0.25">
      <c r="A1019" s="49" t="s">
        <v>829</v>
      </c>
      <c r="B1019" s="49" t="s">
        <v>17</v>
      </c>
      <c r="C1019" s="49" t="s">
        <v>176</v>
      </c>
      <c r="D1019" s="49" t="s">
        <v>78</v>
      </c>
      <c r="E1019" s="49" t="s">
        <v>172</v>
      </c>
      <c r="F1019" s="49">
        <v>2016</v>
      </c>
      <c r="G1019" s="50">
        <v>43327.375</v>
      </c>
      <c r="H1019" s="50">
        <v>43333.75</v>
      </c>
      <c r="I1019" s="54">
        <v>43327</v>
      </c>
      <c r="J1019" s="54">
        <v>43333</v>
      </c>
      <c r="K1019" s="51" t="s">
        <v>525</v>
      </c>
      <c r="L1019" s="51">
        <v>0.75</v>
      </c>
      <c r="M1019" s="51" t="s">
        <v>540</v>
      </c>
      <c r="N1019" s="51" t="s">
        <v>534</v>
      </c>
      <c r="O1019" s="51" t="s">
        <v>669</v>
      </c>
      <c r="P1019" s="49" t="s">
        <v>9</v>
      </c>
      <c r="Q1019" s="49" t="s">
        <v>35</v>
      </c>
      <c r="R1019" s="49" t="s">
        <v>109</v>
      </c>
      <c r="S1019" s="49">
        <v>2</v>
      </c>
      <c r="T1019" s="49">
        <v>10</v>
      </c>
      <c r="U1019" s="63">
        <v>62</v>
      </c>
      <c r="V1019" s="63">
        <v>620</v>
      </c>
    </row>
    <row r="1020" spans="1:22" x14ac:dyDescent="0.25">
      <c r="A1020" s="49" t="s">
        <v>830</v>
      </c>
      <c r="B1020" s="49" t="s">
        <v>14</v>
      </c>
      <c r="C1020" s="49" t="s">
        <v>175</v>
      </c>
      <c r="D1020" s="49" t="s">
        <v>80</v>
      </c>
      <c r="E1020" s="49" t="s">
        <v>173</v>
      </c>
      <c r="F1020" s="49">
        <v>2016</v>
      </c>
      <c r="G1020" s="50">
        <v>43328.333333333336</v>
      </c>
      <c r="H1020" s="50">
        <v>43341.5</v>
      </c>
      <c r="I1020" s="54">
        <v>43328</v>
      </c>
      <c r="J1020" s="54">
        <v>43341</v>
      </c>
      <c r="K1020" s="51" t="s">
        <v>522</v>
      </c>
      <c r="L1020" s="51">
        <v>0.5</v>
      </c>
      <c r="M1020" s="51" t="s">
        <v>539</v>
      </c>
      <c r="N1020" s="51" t="s">
        <v>534</v>
      </c>
      <c r="O1020" s="51" t="s">
        <v>669</v>
      </c>
      <c r="P1020" s="49" t="s">
        <v>23</v>
      </c>
      <c r="Q1020" s="49" t="s">
        <v>35</v>
      </c>
      <c r="R1020" s="49" t="s">
        <v>109</v>
      </c>
      <c r="S1020" s="49">
        <v>5</v>
      </c>
      <c r="T1020" s="49">
        <v>10</v>
      </c>
      <c r="U1020" s="63">
        <v>32</v>
      </c>
      <c r="V1020" s="63">
        <v>320</v>
      </c>
    </row>
    <row r="1021" spans="1:22" x14ac:dyDescent="0.25">
      <c r="A1021" s="49" t="s">
        <v>831</v>
      </c>
      <c r="B1021" s="49" t="s">
        <v>19</v>
      </c>
      <c r="C1021" s="49" t="s">
        <v>176</v>
      </c>
      <c r="D1021" s="49" t="s">
        <v>83</v>
      </c>
      <c r="E1021" s="49" t="s">
        <v>174</v>
      </c>
      <c r="F1021" s="49">
        <v>2016</v>
      </c>
      <c r="G1021" s="50">
        <v>43329.375</v>
      </c>
      <c r="H1021" s="50">
        <v>43334.75</v>
      </c>
      <c r="I1021" s="54">
        <v>43329</v>
      </c>
      <c r="J1021" s="54">
        <v>43334</v>
      </c>
      <c r="K1021" s="51" t="s">
        <v>525</v>
      </c>
      <c r="L1021" s="51">
        <v>0.75</v>
      </c>
      <c r="M1021" s="51" t="s">
        <v>540</v>
      </c>
      <c r="N1021" s="51" t="s">
        <v>534</v>
      </c>
      <c r="O1021" s="51" t="s">
        <v>669</v>
      </c>
      <c r="P1021" s="49" t="s">
        <v>9</v>
      </c>
      <c r="Q1021" s="49" t="s">
        <v>38</v>
      </c>
      <c r="R1021" s="49" t="s">
        <v>113</v>
      </c>
      <c r="S1021" s="49">
        <v>3</v>
      </c>
      <c r="T1021" s="49">
        <v>8</v>
      </c>
      <c r="U1021" s="63">
        <v>63</v>
      </c>
      <c r="V1021" s="63">
        <v>504</v>
      </c>
    </row>
    <row r="1022" spans="1:22" x14ac:dyDescent="0.25">
      <c r="A1022" s="49" t="s">
        <v>832</v>
      </c>
      <c r="B1022" s="49" t="s">
        <v>14</v>
      </c>
      <c r="C1022" s="49" t="s">
        <v>175</v>
      </c>
      <c r="D1022" s="49" t="s">
        <v>81</v>
      </c>
      <c r="E1022" s="49" t="s">
        <v>172</v>
      </c>
      <c r="F1022" s="49">
        <v>2016</v>
      </c>
      <c r="G1022" s="50">
        <v>43331.791666666664</v>
      </c>
      <c r="H1022" s="50">
        <v>43342.958333333336</v>
      </c>
      <c r="I1022" s="54">
        <v>43331</v>
      </c>
      <c r="J1022" s="54">
        <v>43342</v>
      </c>
      <c r="K1022" s="51" t="s">
        <v>526</v>
      </c>
      <c r="L1022" s="51">
        <v>0.95833333333333337</v>
      </c>
      <c r="M1022" s="51" t="s">
        <v>541</v>
      </c>
      <c r="N1022" s="51" t="s">
        <v>534</v>
      </c>
      <c r="O1022" s="51" t="s">
        <v>669</v>
      </c>
      <c r="P1022" s="49" t="s">
        <v>23</v>
      </c>
      <c r="Q1022" s="49" t="s">
        <v>190</v>
      </c>
      <c r="R1022" s="49" t="s">
        <v>109</v>
      </c>
      <c r="S1022" s="49">
        <v>2</v>
      </c>
      <c r="T1022" s="49">
        <v>8</v>
      </c>
      <c r="U1022" s="63">
        <v>43</v>
      </c>
      <c r="V1022" s="63">
        <v>344</v>
      </c>
    </row>
    <row r="1023" spans="1:22" x14ac:dyDescent="0.25">
      <c r="A1023" s="49" t="s">
        <v>833</v>
      </c>
      <c r="B1023" s="49" t="s">
        <v>19</v>
      </c>
      <c r="C1023" s="49" t="s">
        <v>176</v>
      </c>
      <c r="D1023" s="49" t="s">
        <v>79</v>
      </c>
      <c r="E1023" s="49" t="s">
        <v>168</v>
      </c>
      <c r="F1023" s="49">
        <v>2016</v>
      </c>
      <c r="G1023" s="50">
        <v>43331.791666666664</v>
      </c>
      <c r="H1023" s="50">
        <v>43342.958333333336</v>
      </c>
      <c r="I1023" s="54">
        <v>43331</v>
      </c>
      <c r="J1023" s="54">
        <v>43342</v>
      </c>
      <c r="K1023" s="51" t="s">
        <v>526</v>
      </c>
      <c r="L1023" s="51">
        <v>0.95833333333333337</v>
      </c>
      <c r="M1023" s="51" t="s">
        <v>541</v>
      </c>
      <c r="N1023" s="51" t="s">
        <v>534</v>
      </c>
      <c r="O1023" s="51" t="s">
        <v>669</v>
      </c>
      <c r="P1023" s="49" t="s">
        <v>23</v>
      </c>
      <c r="Q1023" s="49" t="s">
        <v>22</v>
      </c>
      <c r="R1023" s="49" t="s">
        <v>109</v>
      </c>
      <c r="S1023" s="49">
        <v>3</v>
      </c>
      <c r="T1023" s="49">
        <v>10</v>
      </c>
      <c r="U1023" s="63">
        <v>48</v>
      </c>
      <c r="V1023" s="63">
        <v>480</v>
      </c>
    </row>
    <row r="1024" spans="1:22" x14ac:dyDescent="0.25">
      <c r="A1024" s="49" t="s">
        <v>834</v>
      </c>
      <c r="B1024" s="49" t="s">
        <v>29</v>
      </c>
      <c r="C1024" s="49" t="s">
        <v>177</v>
      </c>
      <c r="D1024" s="49" t="s">
        <v>89</v>
      </c>
      <c r="E1024" s="49" t="s">
        <v>169</v>
      </c>
      <c r="F1024" s="49">
        <v>2016</v>
      </c>
      <c r="G1024" s="50">
        <v>43332.791666666664</v>
      </c>
      <c r="H1024" s="50">
        <v>43345.958333333336</v>
      </c>
      <c r="I1024" s="54">
        <v>43332</v>
      </c>
      <c r="J1024" s="54">
        <v>43345</v>
      </c>
      <c r="K1024" s="51" t="s">
        <v>526</v>
      </c>
      <c r="L1024" s="51">
        <v>0.95833333333333337</v>
      </c>
      <c r="M1024" s="51" t="s">
        <v>541</v>
      </c>
      <c r="N1024" s="51" t="s">
        <v>534</v>
      </c>
      <c r="O1024" s="51" t="s">
        <v>669</v>
      </c>
      <c r="P1024" s="49" t="s">
        <v>23</v>
      </c>
      <c r="Q1024" s="49" t="s">
        <v>18</v>
      </c>
      <c r="R1024" s="49" t="s">
        <v>113</v>
      </c>
      <c r="S1024" s="49">
        <v>4</v>
      </c>
      <c r="T1024" s="49">
        <v>9</v>
      </c>
      <c r="U1024" s="63">
        <v>62</v>
      </c>
      <c r="V1024" s="63">
        <v>558</v>
      </c>
    </row>
    <row r="1025" spans="1:22" x14ac:dyDescent="0.25">
      <c r="A1025" s="49" t="s">
        <v>835</v>
      </c>
      <c r="B1025" s="49" t="s">
        <v>22</v>
      </c>
      <c r="C1025" s="49" t="s">
        <v>176</v>
      </c>
      <c r="D1025" s="49" t="s">
        <v>84</v>
      </c>
      <c r="E1025" s="49" t="s">
        <v>172</v>
      </c>
      <c r="F1025" s="49">
        <v>2016</v>
      </c>
      <c r="G1025" s="50">
        <v>43333.583333333336</v>
      </c>
      <c r="H1025" s="50">
        <v>43346.75</v>
      </c>
      <c r="I1025" s="54">
        <v>43333</v>
      </c>
      <c r="J1025" s="54">
        <v>43346</v>
      </c>
      <c r="K1025" s="51" t="s">
        <v>527</v>
      </c>
      <c r="L1025" s="51">
        <v>0.75</v>
      </c>
      <c r="M1025" s="51" t="s">
        <v>542</v>
      </c>
      <c r="N1025" s="51" t="s">
        <v>534</v>
      </c>
      <c r="O1025" s="51" t="s">
        <v>669</v>
      </c>
      <c r="P1025" s="49" t="s">
        <v>23</v>
      </c>
      <c r="Q1025" s="49" t="s">
        <v>12</v>
      </c>
      <c r="R1025" s="49" t="s">
        <v>113</v>
      </c>
      <c r="S1025" s="49">
        <v>5</v>
      </c>
      <c r="T1025" s="49">
        <v>11</v>
      </c>
      <c r="U1025" s="63">
        <v>52</v>
      </c>
      <c r="V1025" s="63">
        <v>572</v>
      </c>
    </row>
    <row r="1026" spans="1:22" x14ac:dyDescent="0.25">
      <c r="A1026" s="49" t="s">
        <v>836</v>
      </c>
      <c r="B1026" s="49" t="s">
        <v>14</v>
      </c>
      <c r="C1026" s="49" t="s">
        <v>175</v>
      </c>
      <c r="D1026" s="49" t="s">
        <v>79</v>
      </c>
      <c r="E1026" s="49" t="s">
        <v>168</v>
      </c>
      <c r="F1026" s="49">
        <v>2016</v>
      </c>
      <c r="G1026" s="50">
        <v>43334.375</v>
      </c>
      <c r="H1026" s="50">
        <v>43340.75</v>
      </c>
      <c r="I1026" s="54">
        <v>43334</v>
      </c>
      <c r="J1026" s="54">
        <v>43340</v>
      </c>
      <c r="K1026" s="51" t="s">
        <v>525</v>
      </c>
      <c r="L1026" s="51">
        <v>0.75</v>
      </c>
      <c r="M1026" s="51" t="s">
        <v>540</v>
      </c>
      <c r="N1026" s="51" t="s">
        <v>534</v>
      </c>
      <c r="O1026" s="51" t="s">
        <v>669</v>
      </c>
      <c r="P1026" s="49" t="s">
        <v>23</v>
      </c>
      <c r="Q1026" s="49" t="s">
        <v>37</v>
      </c>
      <c r="R1026" s="49" t="s">
        <v>113</v>
      </c>
      <c r="S1026" s="49">
        <v>2</v>
      </c>
      <c r="T1026" s="49">
        <v>8</v>
      </c>
      <c r="U1026" s="63">
        <v>48</v>
      </c>
      <c r="V1026" s="63">
        <v>384</v>
      </c>
    </row>
    <row r="1027" spans="1:22" x14ac:dyDescent="0.25">
      <c r="A1027" s="49" t="s">
        <v>837</v>
      </c>
      <c r="B1027" s="49" t="s">
        <v>14</v>
      </c>
      <c r="C1027" s="49" t="s">
        <v>175</v>
      </c>
      <c r="D1027" s="49" t="s">
        <v>80</v>
      </c>
      <c r="E1027" s="49" t="s">
        <v>173</v>
      </c>
      <c r="F1027" s="49">
        <v>2016</v>
      </c>
      <c r="G1027" s="50">
        <v>43335.333333333336</v>
      </c>
      <c r="H1027" s="50">
        <v>43348.5</v>
      </c>
      <c r="I1027" s="54">
        <v>43335</v>
      </c>
      <c r="J1027" s="54">
        <v>43348</v>
      </c>
      <c r="K1027" s="51" t="s">
        <v>522</v>
      </c>
      <c r="L1027" s="51">
        <v>0.5</v>
      </c>
      <c r="M1027" s="51" t="s">
        <v>539</v>
      </c>
      <c r="N1027" s="51" t="s">
        <v>534</v>
      </c>
      <c r="O1027" s="51" t="s">
        <v>669</v>
      </c>
      <c r="P1027" s="49" t="s">
        <v>9</v>
      </c>
      <c r="Q1027" s="49" t="s">
        <v>18</v>
      </c>
      <c r="R1027" s="49" t="s">
        <v>113</v>
      </c>
      <c r="S1027" s="49">
        <v>5</v>
      </c>
      <c r="T1027" s="49">
        <v>9</v>
      </c>
      <c r="U1027" s="63">
        <v>32</v>
      </c>
      <c r="V1027" s="63">
        <v>288</v>
      </c>
    </row>
    <row r="1028" spans="1:22" x14ac:dyDescent="0.25">
      <c r="A1028" s="49" t="s">
        <v>838</v>
      </c>
      <c r="B1028" s="49" t="s">
        <v>14</v>
      </c>
      <c r="C1028" s="49" t="s">
        <v>175</v>
      </c>
      <c r="D1028" s="49" t="s">
        <v>85</v>
      </c>
      <c r="E1028" s="49" t="s">
        <v>170</v>
      </c>
      <c r="F1028" s="49">
        <v>2016</v>
      </c>
      <c r="G1028" s="50">
        <v>43336.375</v>
      </c>
      <c r="H1028" s="50">
        <v>43341.75</v>
      </c>
      <c r="I1028" s="54">
        <v>43336</v>
      </c>
      <c r="J1028" s="54">
        <v>43341</v>
      </c>
      <c r="K1028" s="51" t="s">
        <v>525</v>
      </c>
      <c r="L1028" s="51">
        <v>0.75</v>
      </c>
      <c r="M1028" s="51" t="s">
        <v>540</v>
      </c>
      <c r="N1028" s="51" t="s">
        <v>534</v>
      </c>
      <c r="O1028" s="51" t="s">
        <v>669</v>
      </c>
      <c r="P1028" s="49" t="s">
        <v>23</v>
      </c>
      <c r="Q1028" s="49" t="s">
        <v>38</v>
      </c>
      <c r="R1028" s="49" t="s">
        <v>113</v>
      </c>
      <c r="S1028" s="49">
        <v>5</v>
      </c>
      <c r="T1028" s="49">
        <v>9</v>
      </c>
      <c r="U1028" s="63">
        <v>48</v>
      </c>
      <c r="V1028" s="63">
        <v>432</v>
      </c>
    </row>
    <row r="1029" spans="1:22" x14ac:dyDescent="0.25">
      <c r="A1029" s="49" t="s">
        <v>839</v>
      </c>
      <c r="B1029" s="49" t="s">
        <v>17</v>
      </c>
      <c r="C1029" s="49" t="s">
        <v>176</v>
      </c>
      <c r="D1029" s="49" t="s">
        <v>84</v>
      </c>
      <c r="E1029" s="49" t="s">
        <v>172</v>
      </c>
      <c r="F1029" s="49">
        <v>2016</v>
      </c>
      <c r="G1029" s="50">
        <v>43338.791666666664</v>
      </c>
      <c r="H1029" s="50">
        <v>43349.958333333336</v>
      </c>
      <c r="I1029" s="54">
        <v>43338</v>
      </c>
      <c r="J1029" s="54">
        <v>43349</v>
      </c>
      <c r="K1029" s="51" t="s">
        <v>526</v>
      </c>
      <c r="L1029" s="51">
        <v>0.95833333333333337</v>
      </c>
      <c r="M1029" s="51" t="s">
        <v>541</v>
      </c>
      <c r="N1029" s="51" t="s">
        <v>534</v>
      </c>
      <c r="O1029" s="51" t="s">
        <v>669</v>
      </c>
      <c r="P1029" s="49" t="s">
        <v>23</v>
      </c>
      <c r="Q1029" s="49" t="s">
        <v>18</v>
      </c>
      <c r="R1029" s="49" t="s">
        <v>113</v>
      </c>
      <c r="S1029" s="49">
        <v>5</v>
      </c>
      <c r="T1029" s="49">
        <v>11</v>
      </c>
      <c r="U1029" s="63">
        <v>52</v>
      </c>
      <c r="V1029" s="63">
        <v>572</v>
      </c>
    </row>
    <row r="1030" spans="1:22" x14ac:dyDescent="0.25">
      <c r="A1030" s="49" t="s">
        <v>840</v>
      </c>
      <c r="B1030" s="49" t="s">
        <v>17</v>
      </c>
      <c r="C1030" s="49" t="s">
        <v>176</v>
      </c>
      <c r="D1030" s="49" t="s">
        <v>88</v>
      </c>
      <c r="E1030" s="49" t="s">
        <v>170</v>
      </c>
      <c r="F1030" s="49">
        <v>2016</v>
      </c>
      <c r="G1030" s="50">
        <v>43338.791666666664</v>
      </c>
      <c r="H1030" s="50">
        <v>43349.958333333336</v>
      </c>
      <c r="I1030" s="54">
        <v>43338</v>
      </c>
      <c r="J1030" s="54">
        <v>43349</v>
      </c>
      <c r="K1030" s="51" t="s">
        <v>526</v>
      </c>
      <c r="L1030" s="51">
        <v>0.95833333333333337</v>
      </c>
      <c r="M1030" s="51" t="s">
        <v>541</v>
      </c>
      <c r="N1030" s="51" t="s">
        <v>534</v>
      </c>
      <c r="O1030" s="51" t="s">
        <v>669</v>
      </c>
      <c r="P1030" s="49" t="s">
        <v>23</v>
      </c>
      <c r="Q1030" s="49" t="s">
        <v>190</v>
      </c>
      <c r="R1030" s="49" t="s">
        <v>109</v>
      </c>
      <c r="S1030" s="49">
        <v>4</v>
      </c>
      <c r="T1030" s="49">
        <v>12</v>
      </c>
      <c r="U1030" s="63">
        <v>42</v>
      </c>
      <c r="V1030" s="63">
        <v>504</v>
      </c>
    </row>
    <row r="1031" spans="1:22" x14ac:dyDescent="0.25">
      <c r="A1031" s="49" t="s">
        <v>841</v>
      </c>
      <c r="B1031" s="49" t="s">
        <v>14</v>
      </c>
      <c r="C1031" s="49" t="s">
        <v>175</v>
      </c>
      <c r="D1031" s="49" t="s">
        <v>78</v>
      </c>
      <c r="E1031" s="49" t="s">
        <v>172</v>
      </c>
      <c r="F1031" s="49">
        <v>2016</v>
      </c>
      <c r="G1031" s="50">
        <v>43339.791666666664</v>
      </c>
      <c r="H1031" s="50">
        <v>43352.958333333336</v>
      </c>
      <c r="I1031" s="54">
        <v>43339</v>
      </c>
      <c r="J1031" s="54">
        <v>43352</v>
      </c>
      <c r="K1031" s="51" t="s">
        <v>526</v>
      </c>
      <c r="L1031" s="51">
        <v>0.95833333333333337</v>
      </c>
      <c r="M1031" s="51" t="s">
        <v>541</v>
      </c>
      <c r="N1031" s="51" t="s">
        <v>534</v>
      </c>
      <c r="O1031" s="51" t="s">
        <v>669</v>
      </c>
      <c r="P1031" s="49" t="s">
        <v>9</v>
      </c>
      <c r="Q1031" s="49" t="s">
        <v>16</v>
      </c>
      <c r="R1031" s="49" t="s">
        <v>109</v>
      </c>
      <c r="S1031" s="49">
        <v>4</v>
      </c>
      <c r="T1031" s="49">
        <v>10</v>
      </c>
      <c r="U1031" s="63">
        <v>62</v>
      </c>
      <c r="V1031" s="63">
        <v>620</v>
      </c>
    </row>
    <row r="1032" spans="1:22" x14ac:dyDescent="0.25">
      <c r="A1032" s="49" t="s">
        <v>842</v>
      </c>
      <c r="B1032" s="49" t="s">
        <v>22</v>
      </c>
      <c r="C1032" s="49" t="s">
        <v>176</v>
      </c>
      <c r="D1032" s="49" t="s">
        <v>81</v>
      </c>
      <c r="E1032" s="49" t="s">
        <v>172</v>
      </c>
      <c r="F1032" s="49">
        <v>2016</v>
      </c>
      <c r="G1032" s="50">
        <v>43340.583333333336</v>
      </c>
      <c r="H1032" s="50">
        <v>43353.75</v>
      </c>
      <c r="I1032" s="54">
        <v>43340</v>
      </c>
      <c r="J1032" s="54">
        <v>43353</v>
      </c>
      <c r="K1032" s="51" t="s">
        <v>527</v>
      </c>
      <c r="L1032" s="51">
        <v>0.75</v>
      </c>
      <c r="M1032" s="51" t="s">
        <v>542</v>
      </c>
      <c r="N1032" s="51" t="s">
        <v>534</v>
      </c>
      <c r="O1032" s="51" t="s">
        <v>669</v>
      </c>
      <c r="P1032" s="49" t="s">
        <v>9</v>
      </c>
      <c r="Q1032" s="49" t="s">
        <v>16</v>
      </c>
      <c r="R1032" s="49" t="s">
        <v>109</v>
      </c>
      <c r="S1032" s="49">
        <v>5</v>
      </c>
      <c r="T1032" s="49">
        <v>10</v>
      </c>
      <c r="U1032" s="63">
        <v>43</v>
      </c>
      <c r="V1032" s="63">
        <v>430</v>
      </c>
    </row>
    <row r="1033" spans="1:22" x14ac:dyDescent="0.25">
      <c r="A1033" s="49" t="s">
        <v>843</v>
      </c>
      <c r="B1033" s="49" t="s">
        <v>19</v>
      </c>
      <c r="C1033" s="49" t="s">
        <v>176</v>
      </c>
      <c r="D1033" s="49" t="s">
        <v>79</v>
      </c>
      <c r="E1033" s="49" t="s">
        <v>168</v>
      </c>
      <c r="F1033" s="49">
        <v>2016</v>
      </c>
      <c r="G1033" s="50">
        <v>43341.375</v>
      </c>
      <c r="H1033" s="50">
        <v>43347.75</v>
      </c>
      <c r="I1033" s="54">
        <v>43341</v>
      </c>
      <c r="J1033" s="54">
        <v>43347</v>
      </c>
      <c r="K1033" s="51" t="s">
        <v>525</v>
      </c>
      <c r="L1033" s="51">
        <v>0.75</v>
      </c>
      <c r="M1033" s="51" t="s">
        <v>540</v>
      </c>
      <c r="N1033" s="51" t="s">
        <v>534</v>
      </c>
      <c r="O1033" s="51" t="s">
        <v>669</v>
      </c>
      <c r="P1033" s="49" t="s">
        <v>9</v>
      </c>
      <c r="Q1033" s="49" t="s">
        <v>38</v>
      </c>
      <c r="R1033" s="49" t="s">
        <v>113</v>
      </c>
      <c r="S1033" s="49">
        <v>4</v>
      </c>
      <c r="T1033" s="49">
        <v>12</v>
      </c>
      <c r="U1033" s="63">
        <v>48</v>
      </c>
      <c r="V1033" s="63">
        <v>576</v>
      </c>
    </row>
    <row r="1034" spans="1:22" x14ac:dyDescent="0.25">
      <c r="A1034" s="49" t="s">
        <v>844</v>
      </c>
      <c r="B1034" s="49" t="s">
        <v>22</v>
      </c>
      <c r="C1034" s="49" t="s">
        <v>176</v>
      </c>
      <c r="D1034" s="49" t="s">
        <v>80</v>
      </c>
      <c r="E1034" s="49" t="s">
        <v>173</v>
      </c>
      <c r="F1034" s="49">
        <v>2016</v>
      </c>
      <c r="G1034" s="50">
        <v>43342.333333333336</v>
      </c>
      <c r="H1034" s="50">
        <v>43355.5</v>
      </c>
      <c r="I1034" s="54">
        <v>43342</v>
      </c>
      <c r="J1034" s="54">
        <v>43355</v>
      </c>
      <c r="K1034" s="51" t="s">
        <v>522</v>
      </c>
      <c r="L1034" s="51">
        <v>0.5</v>
      </c>
      <c r="M1034" s="51" t="s">
        <v>539</v>
      </c>
      <c r="N1034" s="51" t="s">
        <v>534</v>
      </c>
      <c r="O1034" s="51" t="s">
        <v>669</v>
      </c>
      <c r="P1034" s="49" t="s">
        <v>23</v>
      </c>
      <c r="Q1034" s="49" t="s">
        <v>31</v>
      </c>
      <c r="R1034" s="49" t="s">
        <v>113</v>
      </c>
      <c r="S1034" s="49">
        <v>4</v>
      </c>
      <c r="T1034" s="49">
        <v>10</v>
      </c>
      <c r="U1034" s="63">
        <v>32</v>
      </c>
      <c r="V1034" s="63">
        <v>320</v>
      </c>
    </row>
    <row r="1035" spans="1:22" x14ac:dyDescent="0.25">
      <c r="A1035" s="49" t="s">
        <v>845</v>
      </c>
      <c r="B1035" s="49" t="s">
        <v>39</v>
      </c>
      <c r="C1035" s="49" t="s">
        <v>177</v>
      </c>
      <c r="D1035" s="49" t="s">
        <v>77</v>
      </c>
      <c r="E1035" s="49" t="s">
        <v>172</v>
      </c>
      <c r="F1035" s="49">
        <v>2016</v>
      </c>
      <c r="G1035" s="50">
        <v>43343.375</v>
      </c>
      <c r="H1035" s="50">
        <v>43348.75</v>
      </c>
      <c r="I1035" s="54">
        <v>43343</v>
      </c>
      <c r="J1035" s="54">
        <v>43348</v>
      </c>
      <c r="K1035" s="51" t="s">
        <v>525</v>
      </c>
      <c r="L1035" s="51">
        <v>0.75</v>
      </c>
      <c r="M1035" s="51" t="s">
        <v>540</v>
      </c>
      <c r="N1035" s="51" t="s">
        <v>534</v>
      </c>
      <c r="O1035" s="51" t="s">
        <v>669</v>
      </c>
      <c r="P1035" s="49" t="s">
        <v>9</v>
      </c>
      <c r="Q1035" s="49" t="s">
        <v>38</v>
      </c>
      <c r="R1035" s="49" t="s">
        <v>113</v>
      </c>
      <c r="S1035" s="49">
        <v>2</v>
      </c>
      <c r="T1035" s="49">
        <v>11</v>
      </c>
      <c r="U1035" s="63">
        <v>35</v>
      </c>
      <c r="V1035" s="63">
        <v>385</v>
      </c>
    </row>
    <row r="1036" spans="1:22" x14ac:dyDescent="0.25">
      <c r="A1036" s="49" t="s">
        <v>846</v>
      </c>
      <c r="B1036" s="49" t="s">
        <v>7</v>
      </c>
      <c r="C1036" s="49" t="s">
        <v>175</v>
      </c>
      <c r="D1036" s="49" t="s">
        <v>78</v>
      </c>
      <c r="E1036" s="49" t="s">
        <v>172</v>
      </c>
      <c r="F1036" s="49">
        <v>2016</v>
      </c>
      <c r="G1036" s="50">
        <v>43345.791666666664</v>
      </c>
      <c r="H1036" s="50">
        <v>43356.958333333336</v>
      </c>
      <c r="I1036" s="54">
        <v>43345</v>
      </c>
      <c r="J1036" s="54">
        <v>43356</v>
      </c>
      <c r="K1036" s="51" t="s">
        <v>526</v>
      </c>
      <c r="L1036" s="51">
        <v>0.95833333333333337</v>
      </c>
      <c r="M1036" s="51" t="s">
        <v>541</v>
      </c>
      <c r="N1036" s="51" t="s">
        <v>535</v>
      </c>
      <c r="O1036" s="51" t="s">
        <v>669</v>
      </c>
      <c r="P1036" s="49" t="s">
        <v>9</v>
      </c>
      <c r="Q1036" s="49" t="s">
        <v>16</v>
      </c>
      <c r="R1036" s="49" t="s">
        <v>109</v>
      </c>
      <c r="S1036" s="49">
        <v>5</v>
      </c>
      <c r="T1036" s="49">
        <v>9</v>
      </c>
      <c r="U1036" s="63">
        <v>62</v>
      </c>
      <c r="V1036" s="63">
        <v>558</v>
      </c>
    </row>
    <row r="1037" spans="1:22" x14ac:dyDescent="0.25">
      <c r="A1037" s="49" t="s">
        <v>847</v>
      </c>
      <c r="B1037" s="49" t="s">
        <v>45</v>
      </c>
      <c r="C1037" s="49" t="s">
        <v>177</v>
      </c>
      <c r="D1037" s="49" t="s">
        <v>76</v>
      </c>
      <c r="E1037" s="49" t="s">
        <v>174</v>
      </c>
      <c r="F1037" s="49">
        <v>2016</v>
      </c>
      <c r="G1037" s="50">
        <v>43345.791666666664</v>
      </c>
      <c r="H1037" s="50">
        <v>43356.958333333336</v>
      </c>
      <c r="I1037" s="54">
        <v>43345</v>
      </c>
      <c r="J1037" s="54">
        <v>43356</v>
      </c>
      <c r="K1037" s="51" t="s">
        <v>526</v>
      </c>
      <c r="L1037" s="51">
        <v>0.95833333333333337</v>
      </c>
      <c r="M1037" s="51" t="s">
        <v>541</v>
      </c>
      <c r="N1037" s="51" t="s">
        <v>535</v>
      </c>
      <c r="O1037" s="51" t="s">
        <v>669</v>
      </c>
      <c r="P1037" s="49" t="s">
        <v>23</v>
      </c>
      <c r="Q1037" s="49" t="s">
        <v>190</v>
      </c>
      <c r="R1037" s="49" t="s">
        <v>109</v>
      </c>
      <c r="S1037" s="49">
        <v>4</v>
      </c>
      <c r="T1037" s="49">
        <v>10</v>
      </c>
      <c r="U1037" s="63">
        <v>53</v>
      </c>
      <c r="V1037" s="63">
        <v>530</v>
      </c>
    </row>
    <row r="1038" spans="1:22" x14ac:dyDescent="0.25">
      <c r="A1038" s="49" t="s">
        <v>848</v>
      </c>
      <c r="B1038" s="49" t="s">
        <v>11</v>
      </c>
      <c r="C1038" s="49" t="s">
        <v>175</v>
      </c>
      <c r="D1038" s="49" t="s">
        <v>79</v>
      </c>
      <c r="E1038" s="49" t="s">
        <v>168</v>
      </c>
      <c r="F1038" s="49">
        <v>2016</v>
      </c>
      <c r="G1038" s="50">
        <v>43346.791666666664</v>
      </c>
      <c r="H1038" s="50">
        <v>43359.958333333336</v>
      </c>
      <c r="I1038" s="54">
        <v>43346</v>
      </c>
      <c r="J1038" s="54">
        <v>43359</v>
      </c>
      <c r="K1038" s="51" t="s">
        <v>526</v>
      </c>
      <c r="L1038" s="51">
        <v>0.95833333333333337</v>
      </c>
      <c r="M1038" s="51" t="s">
        <v>541</v>
      </c>
      <c r="N1038" s="51" t="s">
        <v>535</v>
      </c>
      <c r="O1038" s="51" t="s">
        <v>669</v>
      </c>
      <c r="P1038" s="49" t="s">
        <v>23</v>
      </c>
      <c r="Q1038" s="49" t="s">
        <v>190</v>
      </c>
      <c r="R1038" s="49" t="s">
        <v>109</v>
      </c>
      <c r="S1038" s="49">
        <v>5</v>
      </c>
      <c r="T1038" s="49">
        <v>10</v>
      </c>
      <c r="U1038" s="63">
        <v>48</v>
      </c>
      <c r="V1038" s="63">
        <v>480</v>
      </c>
    </row>
    <row r="1039" spans="1:22" x14ac:dyDescent="0.25">
      <c r="A1039" s="49" t="s">
        <v>849</v>
      </c>
      <c r="B1039" s="49" t="s">
        <v>45</v>
      </c>
      <c r="C1039" s="49" t="s">
        <v>177</v>
      </c>
      <c r="D1039" s="49" t="s">
        <v>85</v>
      </c>
      <c r="E1039" s="49" t="s">
        <v>170</v>
      </c>
      <c r="F1039" s="49">
        <v>2016</v>
      </c>
      <c r="G1039" s="50">
        <v>43347.583333333336</v>
      </c>
      <c r="H1039" s="50">
        <v>43360.75</v>
      </c>
      <c r="I1039" s="54">
        <v>43347</v>
      </c>
      <c r="J1039" s="54">
        <v>43360</v>
      </c>
      <c r="K1039" s="51" t="s">
        <v>527</v>
      </c>
      <c r="L1039" s="51">
        <v>0.75</v>
      </c>
      <c r="M1039" s="51" t="s">
        <v>542</v>
      </c>
      <c r="N1039" s="51" t="s">
        <v>535</v>
      </c>
      <c r="O1039" s="51" t="s">
        <v>669</v>
      </c>
      <c r="P1039" s="49" t="s">
        <v>9</v>
      </c>
      <c r="Q1039" s="49" t="s">
        <v>24</v>
      </c>
      <c r="R1039" s="49" t="s">
        <v>113</v>
      </c>
      <c r="S1039" s="49">
        <v>2</v>
      </c>
      <c r="T1039" s="49">
        <v>9</v>
      </c>
      <c r="U1039" s="63">
        <v>48</v>
      </c>
      <c r="V1039" s="63">
        <v>432</v>
      </c>
    </row>
    <row r="1040" spans="1:22" x14ac:dyDescent="0.25">
      <c r="A1040" s="49" t="s">
        <v>850</v>
      </c>
      <c r="B1040" s="49" t="s">
        <v>22</v>
      </c>
      <c r="C1040" s="49" t="s">
        <v>176</v>
      </c>
      <c r="D1040" s="49" t="s">
        <v>85</v>
      </c>
      <c r="E1040" s="49" t="s">
        <v>170</v>
      </c>
      <c r="F1040" s="49">
        <v>2016</v>
      </c>
      <c r="G1040" s="50">
        <v>43348.375</v>
      </c>
      <c r="H1040" s="50">
        <v>43354.75</v>
      </c>
      <c r="I1040" s="54">
        <v>43348</v>
      </c>
      <c r="J1040" s="54">
        <v>43354</v>
      </c>
      <c r="K1040" s="51" t="s">
        <v>525</v>
      </c>
      <c r="L1040" s="51">
        <v>0.75</v>
      </c>
      <c r="M1040" s="51" t="s">
        <v>540</v>
      </c>
      <c r="N1040" s="51" t="s">
        <v>535</v>
      </c>
      <c r="O1040" s="51" t="s">
        <v>669</v>
      </c>
      <c r="P1040" s="49" t="s">
        <v>9</v>
      </c>
      <c r="Q1040" s="49" t="s">
        <v>18</v>
      </c>
      <c r="R1040" s="49" t="s">
        <v>113</v>
      </c>
      <c r="S1040" s="49">
        <v>2</v>
      </c>
      <c r="T1040" s="49">
        <v>11</v>
      </c>
      <c r="U1040" s="63">
        <v>48</v>
      </c>
      <c r="V1040" s="63">
        <v>528</v>
      </c>
    </row>
    <row r="1041" spans="1:22" x14ac:dyDescent="0.25">
      <c r="A1041" s="49" t="s">
        <v>851</v>
      </c>
      <c r="B1041" s="49" t="s">
        <v>45</v>
      </c>
      <c r="C1041" s="49" t="s">
        <v>177</v>
      </c>
      <c r="D1041" s="49" t="s">
        <v>80</v>
      </c>
      <c r="E1041" s="49" t="s">
        <v>173</v>
      </c>
      <c r="F1041" s="49">
        <v>2016</v>
      </c>
      <c r="G1041" s="50">
        <v>43349.333333333336</v>
      </c>
      <c r="H1041" s="50">
        <v>43362.5</v>
      </c>
      <c r="I1041" s="54">
        <v>43349</v>
      </c>
      <c r="J1041" s="54">
        <v>43362</v>
      </c>
      <c r="K1041" s="51" t="s">
        <v>522</v>
      </c>
      <c r="L1041" s="51">
        <v>0.5</v>
      </c>
      <c r="M1041" s="51" t="s">
        <v>539</v>
      </c>
      <c r="N1041" s="51" t="s">
        <v>535</v>
      </c>
      <c r="O1041" s="51" t="s">
        <v>669</v>
      </c>
      <c r="P1041" s="49" t="s">
        <v>23</v>
      </c>
      <c r="Q1041" s="49" t="s">
        <v>18</v>
      </c>
      <c r="R1041" s="49" t="s">
        <v>113</v>
      </c>
      <c r="S1041" s="49">
        <v>2</v>
      </c>
      <c r="T1041" s="49">
        <v>8</v>
      </c>
      <c r="U1041" s="63">
        <v>32</v>
      </c>
      <c r="V1041" s="63">
        <v>256</v>
      </c>
    </row>
    <row r="1042" spans="1:22" x14ac:dyDescent="0.25">
      <c r="A1042" s="49" t="s">
        <v>852</v>
      </c>
      <c r="B1042" s="49" t="s">
        <v>11</v>
      </c>
      <c r="C1042" s="49" t="s">
        <v>175</v>
      </c>
      <c r="D1042" s="49" t="s">
        <v>86</v>
      </c>
      <c r="E1042" s="49" t="s">
        <v>169</v>
      </c>
      <c r="F1042" s="49">
        <v>2016</v>
      </c>
      <c r="G1042" s="50">
        <v>43350.375</v>
      </c>
      <c r="H1042" s="50">
        <v>43355.75</v>
      </c>
      <c r="I1042" s="54">
        <v>43350</v>
      </c>
      <c r="J1042" s="54">
        <v>43355</v>
      </c>
      <c r="K1042" s="51" t="s">
        <v>525</v>
      </c>
      <c r="L1042" s="51">
        <v>0.75</v>
      </c>
      <c r="M1042" s="51" t="s">
        <v>540</v>
      </c>
      <c r="N1042" s="51" t="s">
        <v>535</v>
      </c>
      <c r="O1042" s="51" t="s">
        <v>669</v>
      </c>
      <c r="P1042" s="49" t="s">
        <v>23</v>
      </c>
      <c r="Q1042" s="49" t="s">
        <v>21</v>
      </c>
      <c r="R1042" s="49" t="s">
        <v>113</v>
      </c>
      <c r="S1042" s="49">
        <v>4</v>
      </c>
      <c r="T1042" s="49">
        <v>9</v>
      </c>
      <c r="U1042" s="63">
        <v>48</v>
      </c>
      <c r="V1042" s="63">
        <v>432</v>
      </c>
    </row>
    <row r="1043" spans="1:22" x14ac:dyDescent="0.25">
      <c r="A1043" s="49" t="s">
        <v>853</v>
      </c>
      <c r="B1043" s="49" t="s">
        <v>17</v>
      </c>
      <c r="C1043" s="49" t="s">
        <v>176</v>
      </c>
      <c r="D1043" s="49" t="s">
        <v>81</v>
      </c>
      <c r="E1043" s="49" t="s">
        <v>172</v>
      </c>
      <c r="F1043" s="49">
        <v>2016</v>
      </c>
      <c r="G1043" s="50">
        <v>43352.791666666664</v>
      </c>
      <c r="H1043" s="50">
        <v>43363.958333333336</v>
      </c>
      <c r="I1043" s="54">
        <v>43352</v>
      </c>
      <c r="J1043" s="54">
        <v>43363</v>
      </c>
      <c r="K1043" s="51" t="s">
        <v>526</v>
      </c>
      <c r="L1043" s="51">
        <v>0.95833333333333337</v>
      </c>
      <c r="M1043" s="51" t="s">
        <v>541</v>
      </c>
      <c r="N1043" s="51" t="s">
        <v>535</v>
      </c>
      <c r="O1043" s="51" t="s">
        <v>669</v>
      </c>
      <c r="P1043" s="49" t="s">
        <v>9</v>
      </c>
      <c r="Q1043" s="49" t="s">
        <v>22</v>
      </c>
      <c r="R1043" s="49" t="s">
        <v>109</v>
      </c>
      <c r="S1043" s="49">
        <v>4</v>
      </c>
      <c r="T1043" s="49">
        <v>11</v>
      </c>
      <c r="U1043" s="63">
        <v>43</v>
      </c>
      <c r="V1043" s="63">
        <v>473</v>
      </c>
    </row>
    <row r="1044" spans="1:22" x14ac:dyDescent="0.25">
      <c r="A1044" s="49" t="s">
        <v>854</v>
      </c>
      <c r="B1044" s="49" t="s">
        <v>17</v>
      </c>
      <c r="C1044" s="49" t="s">
        <v>176</v>
      </c>
      <c r="D1044" s="49" t="s">
        <v>82</v>
      </c>
      <c r="E1044" s="49" t="s">
        <v>172</v>
      </c>
      <c r="F1044" s="49">
        <v>2016</v>
      </c>
      <c r="G1044" s="50">
        <v>43352.791666666664</v>
      </c>
      <c r="H1044" s="50">
        <v>43363.958333333336</v>
      </c>
      <c r="I1044" s="54">
        <v>43352</v>
      </c>
      <c r="J1044" s="54">
        <v>43363</v>
      </c>
      <c r="K1044" s="51" t="s">
        <v>526</v>
      </c>
      <c r="L1044" s="51">
        <v>0.95833333333333337</v>
      </c>
      <c r="M1044" s="51" t="s">
        <v>541</v>
      </c>
      <c r="N1044" s="51" t="s">
        <v>535</v>
      </c>
      <c r="O1044" s="51" t="s">
        <v>669</v>
      </c>
      <c r="P1044" s="49" t="s">
        <v>23</v>
      </c>
      <c r="Q1044" s="49" t="s">
        <v>22</v>
      </c>
      <c r="R1044" s="49" t="s">
        <v>109</v>
      </c>
      <c r="S1044" s="49">
        <v>2</v>
      </c>
      <c r="T1044" s="49">
        <v>9</v>
      </c>
      <c r="U1044" s="63">
        <v>75</v>
      </c>
      <c r="V1044" s="63">
        <v>675</v>
      </c>
    </row>
    <row r="1045" spans="1:22" x14ac:dyDescent="0.25">
      <c r="A1045" s="49" t="s">
        <v>855</v>
      </c>
      <c r="B1045" s="49" t="s">
        <v>19</v>
      </c>
      <c r="C1045" s="49" t="s">
        <v>176</v>
      </c>
      <c r="D1045" s="49" t="s">
        <v>85</v>
      </c>
      <c r="E1045" s="49" t="s">
        <v>170</v>
      </c>
      <c r="F1045" s="49">
        <v>2016</v>
      </c>
      <c r="G1045" s="50">
        <v>43353.791666666664</v>
      </c>
      <c r="H1045" s="50">
        <v>43366.958333333336</v>
      </c>
      <c r="I1045" s="54">
        <v>43353</v>
      </c>
      <c r="J1045" s="54">
        <v>43366</v>
      </c>
      <c r="K1045" s="51" t="s">
        <v>526</v>
      </c>
      <c r="L1045" s="51">
        <v>0.95833333333333337</v>
      </c>
      <c r="M1045" s="51" t="s">
        <v>541</v>
      </c>
      <c r="N1045" s="51" t="s">
        <v>535</v>
      </c>
      <c r="O1045" s="51" t="s">
        <v>669</v>
      </c>
      <c r="P1045" s="49" t="s">
        <v>23</v>
      </c>
      <c r="Q1045" s="49" t="s">
        <v>16</v>
      </c>
      <c r="R1045" s="49" t="s">
        <v>109</v>
      </c>
      <c r="S1045" s="49">
        <v>5</v>
      </c>
      <c r="T1045" s="49">
        <v>10</v>
      </c>
      <c r="U1045" s="63">
        <v>48</v>
      </c>
      <c r="V1045" s="63">
        <v>480</v>
      </c>
    </row>
    <row r="1046" spans="1:22" x14ac:dyDescent="0.25">
      <c r="A1046" s="49" t="s">
        <v>856</v>
      </c>
      <c r="B1046" s="49" t="s">
        <v>14</v>
      </c>
      <c r="C1046" s="49" t="s">
        <v>175</v>
      </c>
      <c r="D1046" s="49" t="s">
        <v>78</v>
      </c>
      <c r="E1046" s="49" t="s">
        <v>172</v>
      </c>
      <c r="F1046" s="49">
        <v>2016</v>
      </c>
      <c r="G1046" s="50">
        <v>43354.583333333336</v>
      </c>
      <c r="H1046" s="50">
        <v>43367.75</v>
      </c>
      <c r="I1046" s="54">
        <v>43354</v>
      </c>
      <c r="J1046" s="54">
        <v>43367</v>
      </c>
      <c r="K1046" s="51" t="s">
        <v>527</v>
      </c>
      <c r="L1046" s="51">
        <v>0.75</v>
      </c>
      <c r="M1046" s="51" t="s">
        <v>542</v>
      </c>
      <c r="N1046" s="51" t="s">
        <v>535</v>
      </c>
      <c r="O1046" s="51" t="s">
        <v>669</v>
      </c>
      <c r="P1046" s="49" t="s">
        <v>9</v>
      </c>
      <c r="Q1046" s="49" t="s">
        <v>16</v>
      </c>
      <c r="R1046" s="49" t="s">
        <v>109</v>
      </c>
      <c r="S1046" s="49">
        <v>2</v>
      </c>
      <c r="T1046" s="49">
        <v>9</v>
      </c>
      <c r="U1046" s="63">
        <v>62</v>
      </c>
      <c r="V1046" s="63">
        <v>558</v>
      </c>
    </row>
    <row r="1047" spans="1:22" x14ac:dyDescent="0.25">
      <c r="A1047" s="49" t="s">
        <v>857</v>
      </c>
      <c r="B1047" s="49" t="s">
        <v>45</v>
      </c>
      <c r="C1047" s="49" t="s">
        <v>177</v>
      </c>
      <c r="D1047" s="49" t="s">
        <v>85</v>
      </c>
      <c r="E1047" s="49" t="s">
        <v>170</v>
      </c>
      <c r="F1047" s="49">
        <v>2016</v>
      </c>
      <c r="G1047" s="50">
        <v>43355.375</v>
      </c>
      <c r="H1047" s="50">
        <v>43361.75</v>
      </c>
      <c r="I1047" s="54">
        <v>43355</v>
      </c>
      <c r="J1047" s="54">
        <v>43361</v>
      </c>
      <c r="K1047" s="51" t="s">
        <v>525</v>
      </c>
      <c r="L1047" s="51">
        <v>0.75</v>
      </c>
      <c r="M1047" s="51" t="s">
        <v>540</v>
      </c>
      <c r="N1047" s="51" t="s">
        <v>535</v>
      </c>
      <c r="O1047" s="51" t="s">
        <v>669</v>
      </c>
      <c r="P1047" s="49" t="s">
        <v>23</v>
      </c>
      <c r="Q1047" s="49" t="s">
        <v>18</v>
      </c>
      <c r="R1047" s="49" t="s">
        <v>113</v>
      </c>
      <c r="S1047" s="49">
        <v>2</v>
      </c>
      <c r="T1047" s="49">
        <v>10</v>
      </c>
      <c r="U1047" s="63">
        <v>48</v>
      </c>
      <c r="V1047" s="63">
        <v>480</v>
      </c>
    </row>
    <row r="1048" spans="1:22" x14ac:dyDescent="0.25">
      <c r="A1048" s="49" t="s">
        <v>858</v>
      </c>
      <c r="B1048" s="49" t="s">
        <v>11</v>
      </c>
      <c r="C1048" s="49" t="s">
        <v>175</v>
      </c>
      <c r="D1048" s="49" t="s">
        <v>77</v>
      </c>
      <c r="E1048" s="49" t="s">
        <v>172</v>
      </c>
      <c r="F1048" s="49">
        <v>2016</v>
      </c>
      <c r="G1048" s="50">
        <v>43356.333333333336</v>
      </c>
      <c r="H1048" s="50">
        <v>43369.5</v>
      </c>
      <c r="I1048" s="54">
        <v>43356</v>
      </c>
      <c r="J1048" s="54">
        <v>43369</v>
      </c>
      <c r="K1048" s="51" t="s">
        <v>522</v>
      </c>
      <c r="L1048" s="51">
        <v>0.5</v>
      </c>
      <c r="M1048" s="51" t="s">
        <v>539</v>
      </c>
      <c r="N1048" s="51" t="s">
        <v>535</v>
      </c>
      <c r="O1048" s="51" t="s">
        <v>669</v>
      </c>
      <c r="P1048" s="49" t="s">
        <v>9</v>
      </c>
      <c r="Q1048" s="49" t="s">
        <v>38</v>
      </c>
      <c r="R1048" s="49" t="s">
        <v>113</v>
      </c>
      <c r="S1048" s="49">
        <v>4</v>
      </c>
      <c r="T1048" s="49">
        <v>12</v>
      </c>
      <c r="U1048" s="63">
        <v>35</v>
      </c>
      <c r="V1048" s="63">
        <v>420</v>
      </c>
    </row>
    <row r="1049" spans="1:22" x14ac:dyDescent="0.25">
      <c r="A1049" s="49" t="s">
        <v>859</v>
      </c>
      <c r="B1049" s="49" t="s">
        <v>45</v>
      </c>
      <c r="C1049" s="49" t="s">
        <v>177</v>
      </c>
      <c r="D1049" s="49" t="s">
        <v>86</v>
      </c>
      <c r="E1049" s="49" t="s">
        <v>169</v>
      </c>
      <c r="F1049" s="49">
        <v>2016</v>
      </c>
      <c r="G1049" s="50">
        <v>43357.375</v>
      </c>
      <c r="H1049" s="50">
        <v>43362.75</v>
      </c>
      <c r="I1049" s="54">
        <v>43357</v>
      </c>
      <c r="J1049" s="54">
        <v>43362</v>
      </c>
      <c r="K1049" s="51" t="s">
        <v>525</v>
      </c>
      <c r="L1049" s="51">
        <v>0.75</v>
      </c>
      <c r="M1049" s="51" t="s">
        <v>540</v>
      </c>
      <c r="N1049" s="51" t="s">
        <v>535</v>
      </c>
      <c r="O1049" s="51" t="s">
        <v>669</v>
      </c>
      <c r="P1049" s="49" t="s">
        <v>23</v>
      </c>
      <c r="Q1049" s="49" t="s">
        <v>16</v>
      </c>
      <c r="R1049" s="49" t="s">
        <v>109</v>
      </c>
      <c r="S1049" s="49">
        <v>5</v>
      </c>
      <c r="T1049" s="49">
        <v>11</v>
      </c>
      <c r="U1049" s="63">
        <v>48</v>
      </c>
      <c r="V1049" s="63">
        <v>528</v>
      </c>
    </row>
    <row r="1050" spans="1:22" x14ac:dyDescent="0.25">
      <c r="A1050" s="49" t="s">
        <v>860</v>
      </c>
      <c r="B1050" s="49" t="s">
        <v>45</v>
      </c>
      <c r="C1050" s="49" t="s">
        <v>177</v>
      </c>
      <c r="D1050" s="49" t="s">
        <v>77</v>
      </c>
      <c r="E1050" s="49" t="s">
        <v>172</v>
      </c>
      <c r="F1050" s="49">
        <v>2016</v>
      </c>
      <c r="G1050" s="50">
        <v>43359.791666666664</v>
      </c>
      <c r="H1050" s="50">
        <v>43370.958333333336</v>
      </c>
      <c r="I1050" s="54">
        <v>43359</v>
      </c>
      <c r="J1050" s="54">
        <v>43370</v>
      </c>
      <c r="K1050" s="51" t="s">
        <v>526</v>
      </c>
      <c r="L1050" s="51">
        <v>0.95833333333333337</v>
      </c>
      <c r="M1050" s="51" t="s">
        <v>541</v>
      </c>
      <c r="N1050" s="51" t="s">
        <v>535</v>
      </c>
      <c r="O1050" s="51" t="s">
        <v>669</v>
      </c>
      <c r="P1050" s="49" t="s">
        <v>9</v>
      </c>
      <c r="Q1050" s="49" t="s">
        <v>18</v>
      </c>
      <c r="R1050" s="49" t="s">
        <v>113</v>
      </c>
      <c r="S1050" s="49">
        <v>5</v>
      </c>
      <c r="T1050" s="49">
        <v>9</v>
      </c>
      <c r="U1050" s="63">
        <v>35</v>
      </c>
      <c r="V1050" s="63">
        <v>315</v>
      </c>
    </row>
    <row r="1051" spans="1:22" x14ac:dyDescent="0.25">
      <c r="A1051" s="49" t="s">
        <v>861</v>
      </c>
      <c r="B1051" s="49" t="s">
        <v>17</v>
      </c>
      <c r="C1051" s="49" t="s">
        <v>176</v>
      </c>
      <c r="D1051" s="49" t="s">
        <v>79</v>
      </c>
      <c r="E1051" s="49" t="s">
        <v>168</v>
      </c>
      <c r="F1051" s="49">
        <v>2016</v>
      </c>
      <c r="G1051" s="50">
        <v>43359.791666666664</v>
      </c>
      <c r="H1051" s="50">
        <v>43370.958333333336</v>
      </c>
      <c r="I1051" s="54">
        <v>43359</v>
      </c>
      <c r="J1051" s="54">
        <v>43370</v>
      </c>
      <c r="K1051" s="51" t="s">
        <v>526</v>
      </c>
      <c r="L1051" s="51">
        <v>0.95833333333333337</v>
      </c>
      <c r="M1051" s="51" t="s">
        <v>541</v>
      </c>
      <c r="N1051" s="51" t="s">
        <v>535</v>
      </c>
      <c r="O1051" s="51" t="s">
        <v>669</v>
      </c>
      <c r="P1051" s="49" t="s">
        <v>23</v>
      </c>
      <c r="Q1051" s="49" t="s">
        <v>16</v>
      </c>
      <c r="R1051" s="49" t="s">
        <v>109</v>
      </c>
      <c r="S1051" s="49">
        <v>4</v>
      </c>
      <c r="T1051" s="49">
        <v>9</v>
      </c>
      <c r="U1051" s="63">
        <v>48</v>
      </c>
      <c r="V1051" s="63">
        <v>432</v>
      </c>
    </row>
    <row r="1052" spans="1:22" x14ac:dyDescent="0.25">
      <c r="A1052" s="49" t="s">
        <v>862</v>
      </c>
      <c r="B1052" s="49" t="s">
        <v>39</v>
      </c>
      <c r="C1052" s="49" t="s">
        <v>177</v>
      </c>
      <c r="D1052" s="49" t="s">
        <v>82</v>
      </c>
      <c r="E1052" s="49" t="s">
        <v>172</v>
      </c>
      <c r="F1052" s="49">
        <v>2016</v>
      </c>
      <c r="G1052" s="50">
        <v>43360.791666666664</v>
      </c>
      <c r="H1052" s="50">
        <v>43373.958333333336</v>
      </c>
      <c r="I1052" s="54">
        <v>43360</v>
      </c>
      <c r="J1052" s="54">
        <v>43373</v>
      </c>
      <c r="K1052" s="51" t="s">
        <v>526</v>
      </c>
      <c r="L1052" s="51">
        <v>0.95833333333333337</v>
      </c>
      <c r="M1052" s="51" t="s">
        <v>541</v>
      </c>
      <c r="N1052" s="51" t="s">
        <v>535</v>
      </c>
      <c r="O1052" s="51" t="s">
        <v>669</v>
      </c>
      <c r="P1052" s="49" t="s">
        <v>9</v>
      </c>
      <c r="Q1052" s="49" t="s">
        <v>190</v>
      </c>
      <c r="R1052" s="49" t="s">
        <v>109</v>
      </c>
      <c r="S1052" s="49">
        <v>3</v>
      </c>
      <c r="T1052" s="49">
        <v>8</v>
      </c>
      <c r="U1052" s="63">
        <v>75</v>
      </c>
      <c r="V1052" s="63">
        <v>600</v>
      </c>
    </row>
    <row r="1053" spans="1:22" x14ac:dyDescent="0.25">
      <c r="A1053" s="49" t="s">
        <v>863</v>
      </c>
      <c r="B1053" s="49" t="s">
        <v>22</v>
      </c>
      <c r="C1053" s="49" t="s">
        <v>176</v>
      </c>
      <c r="D1053" s="49" t="s">
        <v>82</v>
      </c>
      <c r="E1053" s="49" t="s">
        <v>172</v>
      </c>
      <c r="F1053" s="49">
        <v>2016</v>
      </c>
      <c r="G1053" s="50">
        <v>43361.583333333336</v>
      </c>
      <c r="H1053" s="50">
        <v>43374.75</v>
      </c>
      <c r="I1053" s="54">
        <v>43361</v>
      </c>
      <c r="J1053" s="54">
        <v>43374</v>
      </c>
      <c r="K1053" s="51" t="s">
        <v>527</v>
      </c>
      <c r="L1053" s="51">
        <v>0.75</v>
      </c>
      <c r="M1053" s="51" t="s">
        <v>542</v>
      </c>
      <c r="N1053" s="51" t="s">
        <v>535</v>
      </c>
      <c r="O1053" s="51" t="s">
        <v>669</v>
      </c>
      <c r="P1053" s="49" t="s">
        <v>23</v>
      </c>
      <c r="Q1053" s="49" t="s">
        <v>16</v>
      </c>
      <c r="R1053" s="49" t="s">
        <v>109</v>
      </c>
      <c r="S1053" s="49">
        <v>2</v>
      </c>
      <c r="T1053" s="49">
        <v>8</v>
      </c>
      <c r="U1053" s="63">
        <v>75</v>
      </c>
      <c r="V1053" s="63">
        <v>600</v>
      </c>
    </row>
    <row r="1054" spans="1:22" x14ac:dyDescent="0.25">
      <c r="A1054" s="49" t="s">
        <v>864</v>
      </c>
      <c r="B1054" s="49" t="s">
        <v>45</v>
      </c>
      <c r="C1054" s="49" t="s">
        <v>177</v>
      </c>
      <c r="D1054" s="49" t="s">
        <v>80</v>
      </c>
      <c r="E1054" s="49" t="s">
        <v>173</v>
      </c>
      <c r="F1054" s="49">
        <v>2016</v>
      </c>
      <c r="G1054" s="50">
        <v>43362.375</v>
      </c>
      <c r="H1054" s="50">
        <v>43368.75</v>
      </c>
      <c r="I1054" s="54">
        <v>43362</v>
      </c>
      <c r="J1054" s="54">
        <v>43368</v>
      </c>
      <c r="K1054" s="51" t="s">
        <v>525</v>
      </c>
      <c r="L1054" s="51">
        <v>0.75</v>
      </c>
      <c r="M1054" s="51" t="s">
        <v>540</v>
      </c>
      <c r="N1054" s="51" t="s">
        <v>535</v>
      </c>
      <c r="O1054" s="51" t="s">
        <v>669</v>
      </c>
      <c r="P1054" s="49" t="s">
        <v>9</v>
      </c>
      <c r="Q1054" s="49" t="s">
        <v>16</v>
      </c>
      <c r="R1054" s="49" t="s">
        <v>109</v>
      </c>
      <c r="S1054" s="49">
        <v>2</v>
      </c>
      <c r="T1054" s="49">
        <v>8</v>
      </c>
      <c r="U1054" s="63">
        <v>32</v>
      </c>
      <c r="V1054" s="63">
        <v>256</v>
      </c>
    </row>
    <row r="1055" spans="1:22" x14ac:dyDescent="0.25">
      <c r="A1055" s="49" t="s">
        <v>865</v>
      </c>
      <c r="B1055" s="49" t="s">
        <v>11</v>
      </c>
      <c r="C1055" s="49" t="s">
        <v>175</v>
      </c>
      <c r="D1055" s="49" t="s">
        <v>85</v>
      </c>
      <c r="E1055" s="49" t="s">
        <v>170</v>
      </c>
      <c r="F1055" s="49">
        <v>2016</v>
      </c>
      <c r="G1055" s="50">
        <v>43363.333333333336</v>
      </c>
      <c r="H1055" s="50">
        <v>43376.5</v>
      </c>
      <c r="I1055" s="54">
        <v>43363</v>
      </c>
      <c r="J1055" s="54">
        <v>43376</v>
      </c>
      <c r="K1055" s="51" t="s">
        <v>522</v>
      </c>
      <c r="L1055" s="51">
        <v>0.5</v>
      </c>
      <c r="M1055" s="51" t="s">
        <v>539</v>
      </c>
      <c r="N1055" s="51" t="s">
        <v>535</v>
      </c>
      <c r="O1055" s="51" t="s">
        <v>669</v>
      </c>
      <c r="P1055" s="49" t="s">
        <v>23</v>
      </c>
      <c r="Q1055" s="49" t="s">
        <v>12</v>
      </c>
      <c r="R1055" s="49" t="s">
        <v>113</v>
      </c>
      <c r="S1055" s="49">
        <v>4</v>
      </c>
      <c r="T1055" s="49">
        <v>12</v>
      </c>
      <c r="U1055" s="63">
        <v>48</v>
      </c>
      <c r="V1055" s="63">
        <v>576</v>
      </c>
    </row>
    <row r="1056" spans="1:22" x14ac:dyDescent="0.25">
      <c r="A1056" s="49" t="s">
        <v>866</v>
      </c>
      <c r="B1056" s="49" t="s">
        <v>29</v>
      </c>
      <c r="C1056" s="49" t="s">
        <v>177</v>
      </c>
      <c r="D1056" s="49" t="s">
        <v>78</v>
      </c>
      <c r="E1056" s="49" t="s">
        <v>172</v>
      </c>
      <c r="F1056" s="49">
        <v>2016</v>
      </c>
      <c r="G1056" s="50">
        <v>43364.375</v>
      </c>
      <c r="H1056" s="50">
        <v>43369.75</v>
      </c>
      <c r="I1056" s="54">
        <v>43364</v>
      </c>
      <c r="J1056" s="54">
        <v>43369</v>
      </c>
      <c r="K1056" s="51" t="s">
        <v>525</v>
      </c>
      <c r="L1056" s="51">
        <v>0.75</v>
      </c>
      <c r="M1056" s="51" t="s">
        <v>540</v>
      </c>
      <c r="N1056" s="51" t="s">
        <v>535</v>
      </c>
      <c r="O1056" s="51" t="s">
        <v>669</v>
      </c>
      <c r="P1056" s="49" t="s">
        <v>9</v>
      </c>
      <c r="Q1056" s="49" t="s">
        <v>44</v>
      </c>
      <c r="R1056" s="49" t="s">
        <v>113</v>
      </c>
      <c r="S1056" s="49">
        <v>5</v>
      </c>
      <c r="T1056" s="49">
        <v>11</v>
      </c>
      <c r="U1056" s="63">
        <v>62</v>
      </c>
      <c r="V1056" s="63">
        <v>682</v>
      </c>
    </row>
    <row r="1057" spans="1:22" x14ac:dyDescent="0.25">
      <c r="A1057" s="49" t="s">
        <v>867</v>
      </c>
      <c r="B1057" s="49" t="s">
        <v>22</v>
      </c>
      <c r="C1057" s="49" t="s">
        <v>176</v>
      </c>
      <c r="D1057" s="49" t="s">
        <v>89</v>
      </c>
      <c r="E1057" s="49" t="s">
        <v>169</v>
      </c>
      <c r="F1057" s="49">
        <v>2016</v>
      </c>
      <c r="G1057" s="50">
        <v>43366.791666666664</v>
      </c>
      <c r="H1057" s="50">
        <v>43377.958333333336</v>
      </c>
      <c r="I1057" s="54">
        <v>43366</v>
      </c>
      <c r="J1057" s="54">
        <v>43377</v>
      </c>
      <c r="K1057" s="51" t="s">
        <v>526</v>
      </c>
      <c r="L1057" s="51">
        <v>0.95833333333333337</v>
      </c>
      <c r="M1057" s="51" t="s">
        <v>541</v>
      </c>
      <c r="N1057" s="51" t="s">
        <v>535</v>
      </c>
      <c r="O1057" s="51" t="s">
        <v>669</v>
      </c>
      <c r="P1057" s="49" t="s">
        <v>23</v>
      </c>
      <c r="Q1057" s="49" t="s">
        <v>190</v>
      </c>
      <c r="R1057" s="49" t="s">
        <v>109</v>
      </c>
      <c r="S1057" s="49">
        <v>2</v>
      </c>
      <c r="T1057" s="49">
        <v>10</v>
      </c>
      <c r="U1057" s="63">
        <v>62</v>
      </c>
      <c r="V1057" s="63">
        <v>620</v>
      </c>
    </row>
    <row r="1058" spans="1:22" x14ac:dyDescent="0.25">
      <c r="A1058" s="49" t="s">
        <v>868</v>
      </c>
      <c r="B1058" s="49" t="s">
        <v>11</v>
      </c>
      <c r="C1058" s="49" t="s">
        <v>175</v>
      </c>
      <c r="D1058" s="49" t="s">
        <v>79</v>
      </c>
      <c r="E1058" s="49" t="s">
        <v>168</v>
      </c>
      <c r="F1058" s="49">
        <v>2016</v>
      </c>
      <c r="G1058" s="50">
        <v>43366.791666666664</v>
      </c>
      <c r="H1058" s="50">
        <v>43377.958333333336</v>
      </c>
      <c r="I1058" s="54">
        <v>43366</v>
      </c>
      <c r="J1058" s="54">
        <v>43377</v>
      </c>
      <c r="K1058" s="51" t="s">
        <v>526</v>
      </c>
      <c r="L1058" s="51">
        <v>0.95833333333333337</v>
      </c>
      <c r="M1058" s="51" t="s">
        <v>541</v>
      </c>
      <c r="N1058" s="51" t="s">
        <v>535</v>
      </c>
      <c r="O1058" s="51" t="s">
        <v>669</v>
      </c>
      <c r="P1058" s="49" t="s">
        <v>23</v>
      </c>
      <c r="Q1058" s="49" t="s">
        <v>28</v>
      </c>
      <c r="R1058" s="49" t="s">
        <v>109</v>
      </c>
      <c r="S1058" s="49">
        <v>5</v>
      </c>
      <c r="T1058" s="49">
        <v>8</v>
      </c>
      <c r="U1058" s="63">
        <v>48</v>
      </c>
      <c r="V1058" s="63">
        <v>384</v>
      </c>
    </row>
    <row r="1059" spans="1:22" x14ac:dyDescent="0.25">
      <c r="A1059" s="49" t="s">
        <v>869</v>
      </c>
      <c r="B1059" s="49" t="s">
        <v>39</v>
      </c>
      <c r="C1059" s="49" t="s">
        <v>177</v>
      </c>
      <c r="D1059" s="49" t="s">
        <v>89</v>
      </c>
      <c r="E1059" s="49" t="s">
        <v>169</v>
      </c>
      <c r="F1059" s="49">
        <v>2016</v>
      </c>
      <c r="G1059" s="50">
        <v>43367.791666666664</v>
      </c>
      <c r="H1059" s="50">
        <v>43380.958333333336</v>
      </c>
      <c r="I1059" s="54">
        <v>43367</v>
      </c>
      <c r="J1059" s="54">
        <v>43380</v>
      </c>
      <c r="K1059" s="51" t="s">
        <v>526</v>
      </c>
      <c r="L1059" s="51">
        <v>0.95833333333333337</v>
      </c>
      <c r="M1059" s="51" t="s">
        <v>541</v>
      </c>
      <c r="N1059" s="51" t="s">
        <v>535</v>
      </c>
      <c r="O1059" s="51" t="s">
        <v>669</v>
      </c>
      <c r="P1059" s="49" t="s">
        <v>23</v>
      </c>
      <c r="Q1059" s="49" t="s">
        <v>18</v>
      </c>
      <c r="R1059" s="49" t="s">
        <v>113</v>
      </c>
      <c r="S1059" s="49">
        <v>5</v>
      </c>
      <c r="T1059" s="49">
        <v>10</v>
      </c>
      <c r="U1059" s="63">
        <v>62</v>
      </c>
      <c r="V1059" s="63">
        <v>620</v>
      </c>
    </row>
    <row r="1060" spans="1:22" x14ac:dyDescent="0.25">
      <c r="A1060" s="49" t="s">
        <v>870</v>
      </c>
      <c r="B1060" s="49" t="s">
        <v>39</v>
      </c>
      <c r="C1060" s="49" t="s">
        <v>177</v>
      </c>
      <c r="D1060" s="49" t="s">
        <v>83</v>
      </c>
      <c r="E1060" s="49" t="s">
        <v>174</v>
      </c>
      <c r="F1060" s="49">
        <v>2016</v>
      </c>
      <c r="G1060" s="50">
        <v>43368.583333333336</v>
      </c>
      <c r="H1060" s="50">
        <v>43381.75</v>
      </c>
      <c r="I1060" s="54">
        <v>43368</v>
      </c>
      <c r="J1060" s="54">
        <v>43381</v>
      </c>
      <c r="K1060" s="51" t="s">
        <v>527</v>
      </c>
      <c r="L1060" s="51">
        <v>0.75</v>
      </c>
      <c r="M1060" s="51" t="s">
        <v>542</v>
      </c>
      <c r="N1060" s="51" t="s">
        <v>535</v>
      </c>
      <c r="O1060" s="51" t="s">
        <v>669</v>
      </c>
      <c r="P1060" s="49" t="s">
        <v>9</v>
      </c>
      <c r="Q1060" s="49" t="s">
        <v>190</v>
      </c>
      <c r="R1060" s="49" t="s">
        <v>109</v>
      </c>
      <c r="S1060" s="49">
        <v>5</v>
      </c>
      <c r="T1060" s="49">
        <v>8</v>
      </c>
      <c r="U1060" s="63">
        <v>63</v>
      </c>
      <c r="V1060" s="63">
        <v>504</v>
      </c>
    </row>
    <row r="1061" spans="1:22" x14ac:dyDescent="0.25">
      <c r="A1061" s="49" t="s">
        <v>871</v>
      </c>
      <c r="B1061" s="49" t="s">
        <v>19</v>
      </c>
      <c r="C1061" s="49" t="s">
        <v>176</v>
      </c>
      <c r="D1061" s="49" t="s">
        <v>78</v>
      </c>
      <c r="E1061" s="49" t="s">
        <v>172</v>
      </c>
      <c r="F1061" s="49">
        <v>2016</v>
      </c>
      <c r="G1061" s="50">
        <v>43369.375</v>
      </c>
      <c r="H1061" s="50">
        <v>43375.75</v>
      </c>
      <c r="I1061" s="54">
        <v>43369</v>
      </c>
      <c r="J1061" s="54">
        <v>43375</v>
      </c>
      <c r="K1061" s="51" t="s">
        <v>525</v>
      </c>
      <c r="L1061" s="51">
        <v>0.75</v>
      </c>
      <c r="M1061" s="51" t="s">
        <v>540</v>
      </c>
      <c r="N1061" s="51" t="s">
        <v>535</v>
      </c>
      <c r="O1061" s="51" t="s">
        <v>669</v>
      </c>
      <c r="P1061" s="49" t="s">
        <v>9</v>
      </c>
      <c r="Q1061" s="49" t="s">
        <v>41</v>
      </c>
      <c r="R1061" s="49" t="s">
        <v>113</v>
      </c>
      <c r="S1061" s="49">
        <v>3</v>
      </c>
      <c r="T1061" s="49">
        <v>12</v>
      </c>
      <c r="U1061" s="63">
        <v>62</v>
      </c>
      <c r="V1061" s="63">
        <v>744</v>
      </c>
    </row>
    <row r="1062" spans="1:22" x14ac:dyDescent="0.25">
      <c r="A1062" s="49" t="s">
        <v>872</v>
      </c>
      <c r="B1062" s="49" t="s">
        <v>11</v>
      </c>
      <c r="C1062" s="49" t="s">
        <v>175</v>
      </c>
      <c r="D1062" s="49" t="s">
        <v>79</v>
      </c>
      <c r="E1062" s="49" t="s">
        <v>168</v>
      </c>
      <c r="F1062" s="49">
        <v>2016</v>
      </c>
      <c r="G1062" s="50">
        <v>43370.333333333336</v>
      </c>
      <c r="H1062" s="50">
        <v>43383.5</v>
      </c>
      <c r="I1062" s="54">
        <v>43370</v>
      </c>
      <c r="J1062" s="54">
        <v>43383</v>
      </c>
      <c r="K1062" s="51" t="s">
        <v>522</v>
      </c>
      <c r="L1062" s="51">
        <v>0.5</v>
      </c>
      <c r="M1062" s="51" t="s">
        <v>539</v>
      </c>
      <c r="N1062" s="51" t="s">
        <v>535</v>
      </c>
      <c r="O1062" s="51" t="s">
        <v>669</v>
      </c>
      <c r="P1062" s="49" t="s">
        <v>9</v>
      </c>
      <c r="Q1062" s="49" t="s">
        <v>26</v>
      </c>
      <c r="R1062" s="49" t="s">
        <v>113</v>
      </c>
      <c r="S1062" s="49">
        <v>5</v>
      </c>
      <c r="T1062" s="49">
        <v>10</v>
      </c>
      <c r="U1062" s="63">
        <v>48</v>
      </c>
      <c r="V1062" s="63">
        <v>480</v>
      </c>
    </row>
    <row r="1063" spans="1:22" x14ac:dyDescent="0.25">
      <c r="A1063" s="49" t="s">
        <v>873</v>
      </c>
      <c r="B1063" s="49" t="s">
        <v>19</v>
      </c>
      <c r="C1063" s="49" t="s">
        <v>176</v>
      </c>
      <c r="D1063" s="49" t="s">
        <v>76</v>
      </c>
      <c r="E1063" s="49" t="s">
        <v>174</v>
      </c>
      <c r="F1063" s="49">
        <v>2016</v>
      </c>
      <c r="G1063" s="50">
        <v>43371.375</v>
      </c>
      <c r="H1063" s="50">
        <v>43376.75</v>
      </c>
      <c r="I1063" s="54">
        <v>43371</v>
      </c>
      <c r="J1063" s="54">
        <v>43376</v>
      </c>
      <c r="K1063" s="51" t="s">
        <v>525</v>
      </c>
      <c r="L1063" s="51">
        <v>0.75</v>
      </c>
      <c r="M1063" s="51" t="s">
        <v>540</v>
      </c>
      <c r="N1063" s="51" t="s">
        <v>535</v>
      </c>
      <c r="O1063" s="51" t="s">
        <v>669</v>
      </c>
      <c r="P1063" s="49" t="s">
        <v>9</v>
      </c>
      <c r="Q1063" s="49" t="s">
        <v>33</v>
      </c>
      <c r="R1063" s="49" t="s">
        <v>113</v>
      </c>
      <c r="S1063" s="49">
        <v>4</v>
      </c>
      <c r="T1063" s="49">
        <v>11</v>
      </c>
      <c r="U1063" s="63">
        <v>53</v>
      </c>
      <c r="V1063" s="63">
        <v>583</v>
      </c>
    </row>
    <row r="1064" spans="1:22" x14ac:dyDescent="0.25">
      <c r="A1064" s="49" t="s">
        <v>874</v>
      </c>
      <c r="B1064" s="49" t="s">
        <v>11</v>
      </c>
      <c r="C1064" s="49" t="s">
        <v>175</v>
      </c>
      <c r="D1064" s="49" t="s">
        <v>76</v>
      </c>
      <c r="E1064" s="49" t="s">
        <v>174</v>
      </c>
      <c r="F1064" s="49">
        <v>2016</v>
      </c>
      <c r="G1064" s="50">
        <v>43373.791666666664</v>
      </c>
      <c r="H1064" s="50">
        <v>43384.958333333336</v>
      </c>
      <c r="I1064" s="54">
        <v>43373</v>
      </c>
      <c r="J1064" s="54">
        <v>43384</v>
      </c>
      <c r="K1064" s="51" t="s">
        <v>526</v>
      </c>
      <c r="L1064" s="51">
        <v>0.95833333333333337</v>
      </c>
      <c r="M1064" s="51" t="s">
        <v>541</v>
      </c>
      <c r="N1064" s="51" t="s">
        <v>535</v>
      </c>
      <c r="O1064" s="51" t="s">
        <v>669</v>
      </c>
      <c r="P1064" s="49" t="s">
        <v>9</v>
      </c>
      <c r="Q1064" s="49" t="s">
        <v>33</v>
      </c>
      <c r="R1064" s="49" t="s">
        <v>113</v>
      </c>
      <c r="S1064" s="49">
        <v>5</v>
      </c>
      <c r="T1064" s="49">
        <v>8</v>
      </c>
      <c r="U1064" s="63">
        <v>53</v>
      </c>
      <c r="V1064" s="63">
        <v>424</v>
      </c>
    </row>
    <row r="1065" spans="1:22" x14ac:dyDescent="0.25">
      <c r="A1065" s="49" t="s">
        <v>875</v>
      </c>
      <c r="B1065" s="49" t="s">
        <v>39</v>
      </c>
      <c r="C1065" s="49" t="s">
        <v>177</v>
      </c>
      <c r="D1065" s="49" t="s">
        <v>79</v>
      </c>
      <c r="E1065" s="49" t="s">
        <v>168</v>
      </c>
      <c r="F1065" s="49">
        <v>2016</v>
      </c>
      <c r="G1065" s="50">
        <v>43373.791666666664</v>
      </c>
      <c r="H1065" s="50">
        <v>43384.958333333336</v>
      </c>
      <c r="I1065" s="54">
        <v>43373</v>
      </c>
      <c r="J1065" s="54">
        <v>43384</v>
      </c>
      <c r="K1065" s="51" t="s">
        <v>526</v>
      </c>
      <c r="L1065" s="51">
        <v>0.95833333333333337</v>
      </c>
      <c r="M1065" s="51" t="s">
        <v>541</v>
      </c>
      <c r="N1065" s="51" t="s">
        <v>535</v>
      </c>
      <c r="O1065" s="51" t="s">
        <v>669</v>
      </c>
      <c r="P1065" s="49" t="s">
        <v>9</v>
      </c>
      <c r="Q1065" s="49" t="s">
        <v>21</v>
      </c>
      <c r="R1065" s="49" t="s">
        <v>113</v>
      </c>
      <c r="S1065" s="49">
        <v>3</v>
      </c>
      <c r="T1065" s="49">
        <v>8</v>
      </c>
      <c r="U1065" s="63">
        <v>48</v>
      </c>
      <c r="V1065" s="63">
        <v>384</v>
      </c>
    </row>
    <row r="1066" spans="1:22" x14ac:dyDescent="0.25">
      <c r="A1066" s="49" t="s">
        <v>163</v>
      </c>
      <c r="B1066" s="49">
        <f>SUBTOTAL(103,Base[Vendedor])</f>
        <v>1064</v>
      </c>
      <c r="I1066" s="54">
        <f>SUBTOTAL(104,Base[Início])</f>
        <v>43373</v>
      </c>
      <c r="J1066" s="54">
        <f>SUBTOTAL(104,Base[Término])</f>
        <v>43384</v>
      </c>
      <c r="S1066" s="49">
        <f>SUBTOTAL(101,Base[Feedback])</f>
        <v>3.5265151515151514</v>
      </c>
      <c r="T1066" s="49">
        <f>SUBTOTAL(109,Base[Alunos])</f>
        <v>10617</v>
      </c>
      <c r="V1066" s="63">
        <f>SUBTOTAL(109,Base[Total])</f>
        <v>522195</v>
      </c>
    </row>
    <row r="1067" spans="1:22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 s="65"/>
    </row>
    <row r="1068" spans="1:22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 s="65"/>
    </row>
    <row r="1069" spans="1:22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 s="65"/>
    </row>
    <row r="1070" spans="1:22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 s="65"/>
    </row>
    <row r="1071" spans="1:22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 s="65"/>
    </row>
    <row r="1072" spans="1:22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 s="65"/>
    </row>
    <row r="1073" spans="1:22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 s="65"/>
    </row>
    <row r="1074" spans="1:22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 s="65"/>
    </row>
    <row r="1075" spans="1:22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 s="65"/>
    </row>
    <row r="1076" spans="1:22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 s="65"/>
    </row>
    <row r="1077" spans="1:22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 s="65"/>
    </row>
    <row r="1078" spans="1:22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 s="65"/>
    </row>
    <row r="1079" spans="1:22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 s="65"/>
    </row>
    <row r="1080" spans="1:22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 s="65"/>
    </row>
    <row r="1081" spans="1:22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 s="65"/>
    </row>
    <row r="1082" spans="1:22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 s="65"/>
    </row>
    <row r="1083" spans="1:22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 s="65"/>
    </row>
    <row r="1084" spans="1:22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 s="65"/>
    </row>
    <row r="1085" spans="1:22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 s="65"/>
    </row>
    <row r="1086" spans="1:22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 s="65"/>
    </row>
    <row r="1087" spans="1:22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 s="65"/>
    </row>
    <row r="1088" spans="1:22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 s="65"/>
    </row>
    <row r="1089" spans="1:22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 s="65"/>
    </row>
    <row r="1090" spans="1:22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 s="65"/>
    </row>
    <row r="1091" spans="1:22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 s="65"/>
    </row>
    <row r="1092" spans="1:22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 s="65"/>
    </row>
    <row r="1093" spans="1:22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 s="65"/>
    </row>
    <row r="1094" spans="1:22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 s="65"/>
    </row>
    <row r="1095" spans="1:22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 s="65"/>
    </row>
    <row r="1096" spans="1:22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 s="65"/>
    </row>
    <row r="1097" spans="1:22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 s="65"/>
    </row>
    <row r="1098" spans="1:22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 s="65"/>
    </row>
    <row r="1099" spans="1:22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 s="65"/>
    </row>
    <row r="1100" spans="1:22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 s="65"/>
    </row>
    <row r="1101" spans="1:22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 s="65"/>
    </row>
    <row r="1102" spans="1:22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 s="65"/>
    </row>
    <row r="1103" spans="1:22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 s="65"/>
    </row>
    <row r="1104" spans="1:22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 s="65"/>
    </row>
    <row r="1105" spans="1:22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 s="65"/>
    </row>
    <row r="1106" spans="1:22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 s="65"/>
    </row>
    <row r="1107" spans="1:22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 s="65"/>
    </row>
    <row r="1108" spans="1:22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 s="65"/>
    </row>
    <row r="1109" spans="1:22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 s="65"/>
    </row>
    <row r="1110" spans="1:22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 s="65"/>
    </row>
    <row r="1111" spans="1:22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 s="65"/>
    </row>
    <row r="1112" spans="1:22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 s="65"/>
    </row>
    <row r="1113" spans="1:22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 s="65"/>
    </row>
    <row r="1114" spans="1:22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 s="65"/>
    </row>
    <row r="1115" spans="1:22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 s="65"/>
    </row>
    <row r="1116" spans="1:22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 s="65"/>
    </row>
    <row r="1117" spans="1:22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 s="65"/>
    </row>
    <row r="1118" spans="1:22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 s="65"/>
    </row>
    <row r="1119" spans="1:22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 s="65"/>
    </row>
    <row r="1120" spans="1:22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 s="65"/>
    </row>
    <row r="1121" spans="1:22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 s="65"/>
    </row>
    <row r="1122" spans="1:22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 s="65"/>
    </row>
    <row r="1123" spans="1:22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 s="65"/>
    </row>
    <row r="1124" spans="1:22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 s="65"/>
    </row>
    <row r="1125" spans="1:22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 s="65"/>
    </row>
    <row r="1126" spans="1:22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 s="65"/>
    </row>
    <row r="1127" spans="1:22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 s="65"/>
    </row>
    <row r="1128" spans="1:22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 s="65"/>
    </row>
    <row r="1129" spans="1:22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 s="65"/>
    </row>
    <row r="1130" spans="1:22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 s="65"/>
    </row>
    <row r="1131" spans="1:22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 s="65"/>
    </row>
    <row r="1132" spans="1:22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 s="65"/>
    </row>
    <row r="1133" spans="1:22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 s="65"/>
    </row>
    <row r="1134" spans="1:22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 s="65"/>
    </row>
    <row r="1135" spans="1:22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 s="65"/>
    </row>
    <row r="1136" spans="1:22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 s="65"/>
    </row>
    <row r="1137" spans="1:22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 s="65"/>
    </row>
    <row r="1138" spans="1:22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 s="65"/>
    </row>
    <row r="1139" spans="1:22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 s="65"/>
    </row>
    <row r="1140" spans="1:22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 s="65"/>
    </row>
    <row r="1141" spans="1:22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 s="65"/>
    </row>
    <row r="1142" spans="1:22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 s="65"/>
    </row>
    <row r="1143" spans="1:22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 s="65"/>
    </row>
    <row r="1144" spans="1:22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 s="65"/>
    </row>
    <row r="1145" spans="1:22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 s="65"/>
    </row>
    <row r="1146" spans="1:22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 s="65"/>
    </row>
    <row r="1147" spans="1:22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 s="65"/>
    </row>
    <row r="1148" spans="1:22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 s="65"/>
    </row>
    <row r="1149" spans="1:22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 s="65"/>
    </row>
    <row r="1150" spans="1:22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 s="65"/>
    </row>
    <row r="1151" spans="1:22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 s="65"/>
    </row>
    <row r="1152" spans="1:22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 s="65"/>
    </row>
    <row r="1153" spans="1:22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 s="65"/>
    </row>
    <row r="1154" spans="1:22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 s="65"/>
    </row>
    <row r="1155" spans="1:22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 s="65"/>
    </row>
    <row r="1156" spans="1:22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 s="65"/>
    </row>
    <row r="1157" spans="1:22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 s="65"/>
    </row>
    <row r="1158" spans="1:22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 s="65"/>
    </row>
    <row r="1159" spans="1:22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 s="65"/>
    </row>
    <row r="1160" spans="1:22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 s="65"/>
    </row>
    <row r="1161" spans="1:22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 s="65"/>
    </row>
    <row r="1162" spans="1:22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 s="65"/>
    </row>
    <row r="1163" spans="1:22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 s="65"/>
    </row>
    <row r="1164" spans="1:22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 s="65"/>
    </row>
    <row r="1165" spans="1:22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 s="65"/>
    </row>
    <row r="1166" spans="1:22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 s="65"/>
    </row>
    <row r="1167" spans="1:22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 s="65"/>
    </row>
    <row r="1168" spans="1:22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 s="65"/>
    </row>
    <row r="1169" spans="1:22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 s="65"/>
    </row>
    <row r="1170" spans="1:22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 s="65"/>
    </row>
    <row r="1171" spans="1:22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 s="65"/>
    </row>
    <row r="1172" spans="1:22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 s="65"/>
    </row>
    <row r="1173" spans="1:22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 s="65"/>
    </row>
    <row r="1174" spans="1:22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 s="65"/>
    </row>
    <row r="1175" spans="1:22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 s="65"/>
    </row>
    <row r="1176" spans="1:22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 s="65"/>
    </row>
    <row r="1177" spans="1:22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 s="65"/>
    </row>
    <row r="1178" spans="1:22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 s="65"/>
    </row>
    <row r="1179" spans="1:22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 s="65"/>
    </row>
    <row r="1180" spans="1:22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 s="65"/>
    </row>
    <row r="1181" spans="1:22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 s="65"/>
    </row>
    <row r="1182" spans="1:22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 s="65"/>
    </row>
    <row r="1183" spans="1:22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 s="65"/>
    </row>
    <row r="1184" spans="1:22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 s="65"/>
    </row>
    <row r="1185" spans="1:22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 s="65"/>
    </row>
    <row r="1186" spans="1:22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 s="65"/>
    </row>
    <row r="1187" spans="1:22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 s="65"/>
    </row>
    <row r="1188" spans="1:22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 s="65"/>
    </row>
    <row r="1189" spans="1:22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 s="65"/>
    </row>
    <row r="1190" spans="1:22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 s="65"/>
    </row>
    <row r="1191" spans="1:22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 s="65"/>
    </row>
    <row r="1192" spans="1:22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 s="65"/>
    </row>
    <row r="1193" spans="1:22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 s="65"/>
    </row>
    <row r="1194" spans="1:22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 s="65"/>
    </row>
    <row r="1195" spans="1:22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 s="65"/>
    </row>
    <row r="1196" spans="1:22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 s="65"/>
    </row>
    <row r="1197" spans="1:22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 s="65"/>
    </row>
    <row r="1198" spans="1:22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 s="65"/>
    </row>
    <row r="1199" spans="1:22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 s="65"/>
    </row>
    <row r="1200" spans="1:22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 s="65"/>
    </row>
    <row r="1201" spans="1:22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 s="65"/>
    </row>
    <row r="1202" spans="1:22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 s="65"/>
    </row>
    <row r="1203" spans="1:22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 s="65"/>
    </row>
    <row r="1204" spans="1:22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 s="65"/>
    </row>
    <row r="1205" spans="1:22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 s="65"/>
    </row>
    <row r="1206" spans="1:22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 s="65"/>
    </row>
    <row r="1207" spans="1:22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 s="65"/>
    </row>
    <row r="1208" spans="1:22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 s="65"/>
    </row>
    <row r="1209" spans="1:22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 s="65"/>
    </row>
    <row r="1210" spans="1:22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 s="65"/>
    </row>
    <row r="1211" spans="1:22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 s="65"/>
    </row>
    <row r="1212" spans="1:22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 s="65"/>
    </row>
    <row r="1213" spans="1:22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 s="65"/>
    </row>
    <row r="1214" spans="1:22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 s="65"/>
    </row>
    <row r="1215" spans="1:22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 s="65"/>
    </row>
    <row r="1216" spans="1:22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 s="65"/>
    </row>
    <row r="1217" spans="1:22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 s="65"/>
    </row>
    <row r="1218" spans="1:22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 s="65"/>
    </row>
    <row r="1219" spans="1:22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 s="65"/>
    </row>
    <row r="1220" spans="1:22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 s="65"/>
    </row>
    <row r="1221" spans="1:22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 s="65"/>
    </row>
    <row r="1222" spans="1:22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 s="65"/>
    </row>
    <row r="1223" spans="1:22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 s="65"/>
    </row>
    <row r="1224" spans="1:22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 s="65"/>
    </row>
    <row r="1225" spans="1:22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 s="65"/>
    </row>
    <row r="1226" spans="1:22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 s="65"/>
    </row>
    <row r="1227" spans="1:22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 s="65"/>
    </row>
    <row r="1228" spans="1:22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 s="65"/>
    </row>
    <row r="1229" spans="1:22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 s="65"/>
    </row>
    <row r="1230" spans="1:22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 s="65"/>
    </row>
    <row r="1231" spans="1:22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 s="65"/>
    </row>
    <row r="1232" spans="1:22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 s="65"/>
    </row>
    <row r="1233" spans="1:22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 s="65"/>
    </row>
    <row r="1234" spans="1:22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 s="65"/>
    </row>
    <row r="1235" spans="1:22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 s="65"/>
    </row>
    <row r="1236" spans="1:22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 s="65"/>
    </row>
    <row r="1237" spans="1:22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 s="65"/>
    </row>
    <row r="1238" spans="1:22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 s="65"/>
    </row>
    <row r="1239" spans="1:22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 s="65"/>
    </row>
    <row r="1240" spans="1:22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 s="65"/>
    </row>
    <row r="1241" spans="1:22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 s="65"/>
    </row>
    <row r="1242" spans="1:22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 s="65"/>
    </row>
    <row r="1243" spans="1:22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 s="65"/>
    </row>
    <row r="1244" spans="1:22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 s="65"/>
    </row>
    <row r="1245" spans="1:22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 s="65"/>
    </row>
    <row r="1246" spans="1:22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 s="65"/>
    </row>
    <row r="1247" spans="1:22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 s="65"/>
    </row>
    <row r="1248" spans="1:22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 s="65"/>
    </row>
    <row r="1249" spans="1:22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 s="65"/>
    </row>
    <row r="1250" spans="1:22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 s="65"/>
    </row>
    <row r="1251" spans="1:22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 s="65"/>
    </row>
    <row r="1252" spans="1:22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 s="65"/>
    </row>
    <row r="1253" spans="1:22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 s="65"/>
    </row>
    <row r="1254" spans="1:22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 s="65"/>
    </row>
    <row r="1255" spans="1:22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 s="65"/>
    </row>
    <row r="1256" spans="1:22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 s="65"/>
    </row>
    <row r="1257" spans="1:22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 s="65"/>
    </row>
    <row r="1258" spans="1:22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 s="65"/>
    </row>
    <row r="1259" spans="1:22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 s="65"/>
    </row>
    <row r="1260" spans="1:22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 s="65"/>
    </row>
    <row r="1261" spans="1:22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 s="65"/>
    </row>
    <row r="1262" spans="1:22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 s="65"/>
    </row>
    <row r="1263" spans="1:22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 s="65"/>
    </row>
    <row r="1264" spans="1:22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 s="65"/>
    </row>
    <row r="1265" spans="1:22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 s="65"/>
    </row>
    <row r="1266" spans="1:22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 s="65"/>
    </row>
    <row r="1267" spans="1:22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 s="65"/>
    </row>
    <row r="1268" spans="1:22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 s="65"/>
    </row>
    <row r="1269" spans="1:22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 s="65"/>
    </row>
    <row r="1270" spans="1:22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 s="65"/>
    </row>
    <row r="1271" spans="1:22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 s="65"/>
    </row>
    <row r="1272" spans="1:22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 s="65"/>
    </row>
    <row r="1273" spans="1:22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 s="65"/>
    </row>
    <row r="1274" spans="1:22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 s="65"/>
    </row>
    <row r="1275" spans="1:22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 s="65"/>
    </row>
    <row r="1276" spans="1:22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 s="65"/>
    </row>
    <row r="1277" spans="1:22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 s="65"/>
    </row>
    <row r="1278" spans="1:22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 s="65"/>
    </row>
    <row r="1279" spans="1:22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 s="65"/>
    </row>
    <row r="1280" spans="1:22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 s="65"/>
    </row>
    <row r="1281" spans="1:22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 s="65"/>
    </row>
    <row r="1282" spans="1:22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 s="65"/>
    </row>
    <row r="1283" spans="1:22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 s="65"/>
    </row>
    <row r="1284" spans="1:22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 s="65"/>
    </row>
    <row r="1285" spans="1:22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 s="65"/>
    </row>
    <row r="1286" spans="1:22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 s="65"/>
    </row>
    <row r="1287" spans="1:22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 s="65"/>
    </row>
    <row r="1288" spans="1:22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 s="65"/>
    </row>
    <row r="1289" spans="1:22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 s="65"/>
    </row>
    <row r="1290" spans="1:22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 s="65"/>
    </row>
    <row r="1291" spans="1:22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 s="65"/>
    </row>
    <row r="1292" spans="1:22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 s="65"/>
    </row>
    <row r="1293" spans="1:22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 s="65"/>
    </row>
    <row r="1294" spans="1:22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 s="65"/>
    </row>
    <row r="1295" spans="1:22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 s="65"/>
    </row>
    <row r="1296" spans="1:22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 s="65"/>
    </row>
    <row r="1297" spans="1:22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 s="65"/>
    </row>
    <row r="1298" spans="1:22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 s="65"/>
    </row>
    <row r="1299" spans="1:22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 s="65"/>
    </row>
    <row r="1300" spans="1:22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 s="65"/>
    </row>
    <row r="1301" spans="1:22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 s="65"/>
    </row>
    <row r="1302" spans="1:22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 s="65"/>
    </row>
    <row r="1303" spans="1:22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 s="65"/>
    </row>
    <row r="1304" spans="1:22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 s="65"/>
    </row>
    <row r="1305" spans="1:22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 s="65"/>
    </row>
    <row r="1306" spans="1:22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 s="65"/>
    </row>
    <row r="1307" spans="1:22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 s="65"/>
    </row>
    <row r="1308" spans="1:22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 s="65"/>
    </row>
    <row r="1309" spans="1:22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 s="65"/>
    </row>
    <row r="1310" spans="1:22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 s="65"/>
    </row>
    <row r="1311" spans="1:22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 s="65"/>
    </row>
    <row r="1312" spans="1:22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 s="65"/>
    </row>
    <row r="1313" spans="1:22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 s="65"/>
    </row>
    <row r="1314" spans="1:22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 s="65"/>
    </row>
    <row r="1315" spans="1:22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 s="65"/>
    </row>
    <row r="1316" spans="1:22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 s="65"/>
    </row>
    <row r="1317" spans="1:22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 s="65"/>
    </row>
    <row r="1318" spans="1:22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 s="65"/>
    </row>
    <row r="1319" spans="1:22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 s="65"/>
    </row>
    <row r="1320" spans="1:22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 s="65"/>
    </row>
    <row r="1321" spans="1:22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 s="65"/>
    </row>
    <row r="1322" spans="1:22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 s="65"/>
    </row>
    <row r="1323" spans="1:22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 s="65"/>
    </row>
    <row r="1324" spans="1:22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 s="65"/>
    </row>
    <row r="1325" spans="1:22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 s="65"/>
    </row>
    <row r="1326" spans="1:22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 s="65"/>
    </row>
    <row r="1327" spans="1:22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 s="65"/>
    </row>
    <row r="1328" spans="1:22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 s="65"/>
    </row>
    <row r="1329" spans="1:22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 s="65"/>
    </row>
    <row r="1330" spans="1:22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 s="65"/>
    </row>
    <row r="1331" spans="1:22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 s="65"/>
    </row>
    <row r="1332" spans="1:22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 s="65"/>
    </row>
    <row r="1333" spans="1:22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 s="65"/>
    </row>
    <row r="1334" spans="1:22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 s="65"/>
    </row>
    <row r="1335" spans="1:22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 s="65"/>
    </row>
    <row r="1336" spans="1:22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 s="65"/>
    </row>
    <row r="1337" spans="1:22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 s="65"/>
    </row>
    <row r="1338" spans="1:22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 s="65"/>
    </row>
    <row r="1339" spans="1:22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 s="65"/>
    </row>
    <row r="1340" spans="1:22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 s="65"/>
    </row>
    <row r="1341" spans="1:22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 s="65"/>
    </row>
    <row r="1342" spans="1:22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 s="65"/>
    </row>
    <row r="1343" spans="1:22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 s="65"/>
    </row>
    <row r="1344" spans="1:22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 s="65"/>
    </row>
    <row r="1345" spans="1:22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 s="65"/>
    </row>
    <row r="1346" spans="1:22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 s="65"/>
    </row>
    <row r="1347" spans="1:22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 s="65"/>
    </row>
    <row r="1348" spans="1:22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 s="65"/>
    </row>
    <row r="1349" spans="1:22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 s="65"/>
    </row>
    <row r="1350" spans="1:22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 s="65"/>
    </row>
    <row r="1351" spans="1:22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 s="65"/>
    </row>
    <row r="1352" spans="1:22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 s="65"/>
    </row>
    <row r="1353" spans="1:22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 s="65"/>
    </row>
    <row r="1354" spans="1:22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 s="65"/>
    </row>
    <row r="1355" spans="1:22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 s="65"/>
    </row>
    <row r="1356" spans="1:22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 s="65"/>
    </row>
    <row r="1357" spans="1:22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 s="65"/>
    </row>
    <row r="1358" spans="1:22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 s="65"/>
    </row>
    <row r="1359" spans="1:22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 s="65"/>
    </row>
    <row r="1360" spans="1:22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 s="65"/>
    </row>
    <row r="1361" spans="1:22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 s="65"/>
    </row>
    <row r="1362" spans="1:22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 s="65"/>
    </row>
    <row r="1363" spans="1:22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 s="65"/>
    </row>
    <row r="1364" spans="1:22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 s="65"/>
    </row>
    <row r="1365" spans="1:22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 s="65"/>
    </row>
    <row r="1366" spans="1:22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 s="65"/>
    </row>
    <row r="1367" spans="1:22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 s="65"/>
    </row>
    <row r="1368" spans="1:22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 s="65"/>
    </row>
    <row r="1369" spans="1:22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 s="65"/>
    </row>
    <row r="1370" spans="1:22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 s="65"/>
    </row>
    <row r="1371" spans="1:22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 s="65"/>
    </row>
    <row r="1372" spans="1:22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 s="65"/>
    </row>
    <row r="1373" spans="1:22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 s="65"/>
    </row>
    <row r="1374" spans="1:22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 s="65"/>
    </row>
    <row r="1375" spans="1:22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 s="65"/>
    </row>
    <row r="1376" spans="1:22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 s="65"/>
    </row>
    <row r="1377" spans="1:22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 s="65"/>
    </row>
    <row r="1378" spans="1:22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 s="65"/>
    </row>
    <row r="1379" spans="1:22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 s="65"/>
    </row>
    <row r="1380" spans="1:22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 s="65"/>
    </row>
    <row r="1381" spans="1:22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 s="65"/>
    </row>
    <row r="1382" spans="1:22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 s="65"/>
    </row>
    <row r="1383" spans="1:22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 s="65"/>
    </row>
    <row r="1384" spans="1:22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 s="65"/>
    </row>
    <row r="1385" spans="1:22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 s="65"/>
    </row>
    <row r="1386" spans="1:22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 s="65"/>
    </row>
    <row r="1387" spans="1:22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 s="65"/>
    </row>
    <row r="1388" spans="1:22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 s="65"/>
    </row>
    <row r="1389" spans="1:22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 s="65"/>
    </row>
    <row r="1390" spans="1:22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 s="65"/>
    </row>
    <row r="1391" spans="1:22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 s="65"/>
    </row>
    <row r="1392" spans="1:22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 s="65"/>
    </row>
    <row r="1393" spans="1:22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 s="65"/>
    </row>
    <row r="1394" spans="1:22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 s="65"/>
    </row>
    <row r="1395" spans="1:22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 s="65"/>
    </row>
    <row r="1396" spans="1:22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 s="65"/>
    </row>
    <row r="1397" spans="1:22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 s="65"/>
    </row>
    <row r="1398" spans="1:22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 s="65"/>
    </row>
    <row r="1399" spans="1:22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 s="65"/>
    </row>
    <row r="1400" spans="1:22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 s="65"/>
    </row>
    <row r="1401" spans="1:22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 s="65"/>
    </row>
    <row r="1402" spans="1:22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 s="65"/>
    </row>
    <row r="1403" spans="1:22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 s="65"/>
    </row>
    <row r="1404" spans="1:22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 s="65"/>
    </row>
    <row r="1405" spans="1:22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 s="65"/>
    </row>
    <row r="1406" spans="1:22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 s="65"/>
    </row>
    <row r="1407" spans="1:22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 s="65"/>
    </row>
    <row r="1408" spans="1:22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 s="65"/>
    </row>
    <row r="1409" spans="1:22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 s="65"/>
    </row>
    <row r="1410" spans="1:22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 s="65"/>
    </row>
    <row r="1411" spans="1:22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 s="65"/>
    </row>
    <row r="1412" spans="1:22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 s="65"/>
    </row>
    <row r="1413" spans="1:22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 s="65"/>
    </row>
    <row r="1414" spans="1:22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 s="65"/>
    </row>
    <row r="1415" spans="1:22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 s="65"/>
    </row>
    <row r="1416" spans="1:22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 s="65"/>
    </row>
    <row r="1417" spans="1:22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 s="65"/>
    </row>
    <row r="1418" spans="1:22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 s="65"/>
    </row>
    <row r="1419" spans="1:22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 s="65"/>
    </row>
    <row r="1420" spans="1:22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 s="65"/>
    </row>
    <row r="1421" spans="1:22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 s="65"/>
    </row>
    <row r="1422" spans="1:22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 s="65"/>
    </row>
    <row r="1423" spans="1:22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 s="65"/>
    </row>
    <row r="1424" spans="1:22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 s="65"/>
    </row>
    <row r="1425" spans="1:22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 s="65"/>
    </row>
    <row r="1426" spans="1:22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 s="65"/>
    </row>
    <row r="1427" spans="1:22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 s="65"/>
    </row>
    <row r="1428" spans="1:22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 s="65"/>
    </row>
    <row r="1429" spans="1:22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 s="65"/>
    </row>
    <row r="1430" spans="1:22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 s="65"/>
    </row>
    <row r="1431" spans="1:22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 s="65"/>
    </row>
    <row r="1432" spans="1:22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 s="65"/>
    </row>
    <row r="1433" spans="1:22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 s="65"/>
    </row>
    <row r="1434" spans="1:22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 s="65"/>
    </row>
    <row r="1435" spans="1:22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 s="65"/>
    </row>
    <row r="1436" spans="1:22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 s="65"/>
    </row>
    <row r="1437" spans="1:22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 s="65"/>
    </row>
    <row r="1438" spans="1:22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 s="65"/>
    </row>
    <row r="1439" spans="1:22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 s="65"/>
    </row>
    <row r="1440" spans="1:22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 s="65"/>
    </row>
    <row r="1441" spans="1:22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 s="65"/>
    </row>
    <row r="1442" spans="1:22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 s="65"/>
    </row>
    <row r="1443" spans="1:22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 s="65"/>
    </row>
    <row r="1444" spans="1:22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 s="65"/>
    </row>
    <row r="1445" spans="1:22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 s="65"/>
    </row>
    <row r="1446" spans="1:22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 s="65"/>
    </row>
    <row r="1447" spans="1:22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 s="65"/>
    </row>
    <row r="1448" spans="1:22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 s="65"/>
    </row>
    <row r="1449" spans="1:22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 s="65"/>
    </row>
    <row r="1450" spans="1:22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 s="65"/>
    </row>
    <row r="1451" spans="1:22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 s="65"/>
    </row>
    <row r="1452" spans="1:22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 s="65"/>
    </row>
    <row r="1453" spans="1:22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 s="65"/>
    </row>
    <row r="1454" spans="1:22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 s="65"/>
    </row>
    <row r="1455" spans="1:22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 s="65"/>
    </row>
    <row r="1456" spans="1:22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 s="65"/>
    </row>
    <row r="1457" spans="1:22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 s="65"/>
    </row>
    <row r="1458" spans="1:22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 s="65"/>
    </row>
    <row r="1459" spans="1:22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 s="65"/>
    </row>
    <row r="1460" spans="1:22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 s="65"/>
    </row>
    <row r="1461" spans="1:22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 s="65"/>
    </row>
    <row r="1462" spans="1:22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 s="65"/>
    </row>
    <row r="1463" spans="1:22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 s="65"/>
    </row>
    <row r="1464" spans="1:22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 s="65"/>
    </row>
    <row r="1465" spans="1:22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 s="65"/>
    </row>
    <row r="1466" spans="1:22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 s="65"/>
    </row>
    <row r="1467" spans="1:22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 s="65"/>
    </row>
    <row r="1468" spans="1:22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 s="65"/>
    </row>
    <row r="1469" spans="1:22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 s="65"/>
    </row>
    <row r="1470" spans="1:22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 s="65"/>
    </row>
    <row r="1471" spans="1:22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 s="65"/>
    </row>
    <row r="1472" spans="1:22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 s="65"/>
    </row>
    <row r="1473" spans="1:22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 s="65"/>
    </row>
    <row r="1474" spans="1:22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 s="65"/>
    </row>
    <row r="1475" spans="1:22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 s="65"/>
    </row>
    <row r="1476" spans="1:22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 s="65"/>
    </row>
    <row r="1477" spans="1:22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 s="65"/>
    </row>
    <row r="1478" spans="1:22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 s="65"/>
    </row>
    <row r="1479" spans="1:22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 s="65"/>
    </row>
    <row r="1480" spans="1:22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 s="65"/>
    </row>
    <row r="1481" spans="1:22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 s="65"/>
    </row>
    <row r="1482" spans="1:22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 s="65"/>
    </row>
    <row r="1483" spans="1:22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 s="65"/>
    </row>
    <row r="1484" spans="1:22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 s="65"/>
    </row>
    <row r="1485" spans="1:22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 s="65"/>
    </row>
    <row r="1486" spans="1:22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 s="65"/>
    </row>
    <row r="1487" spans="1:22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 s="65"/>
    </row>
    <row r="1488" spans="1:22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 s="65"/>
    </row>
    <row r="1489" spans="1:22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 s="65"/>
    </row>
    <row r="1490" spans="1:22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 s="65"/>
    </row>
    <row r="1491" spans="1:22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 s="65"/>
    </row>
    <row r="1492" spans="1:22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 s="65"/>
    </row>
    <row r="1493" spans="1:22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 s="65"/>
    </row>
    <row r="1494" spans="1:22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 s="65"/>
    </row>
    <row r="1495" spans="1:22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 s="65"/>
    </row>
    <row r="1496" spans="1:22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 s="65"/>
    </row>
    <row r="1497" spans="1:22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 s="65"/>
    </row>
    <row r="1498" spans="1:22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 s="65"/>
    </row>
    <row r="1499" spans="1:22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 s="65"/>
    </row>
    <row r="1500" spans="1:22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 s="65"/>
    </row>
    <row r="1501" spans="1:22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 s="65"/>
    </row>
    <row r="1502" spans="1:22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 s="65"/>
    </row>
    <row r="1503" spans="1:22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 s="65"/>
    </row>
    <row r="1504" spans="1:22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 s="65"/>
    </row>
    <row r="1505" spans="1:22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 s="65"/>
    </row>
    <row r="1506" spans="1:22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 s="65"/>
    </row>
    <row r="1507" spans="1:22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 s="65"/>
    </row>
    <row r="1508" spans="1:22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 s="65"/>
    </row>
    <row r="1509" spans="1:22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 s="65"/>
    </row>
    <row r="1510" spans="1:22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 s="65"/>
    </row>
    <row r="1511" spans="1:22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 s="65"/>
    </row>
    <row r="1512" spans="1:22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 s="65"/>
    </row>
    <row r="1513" spans="1:22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 s="65"/>
    </row>
    <row r="1514" spans="1:22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 s="65"/>
    </row>
    <row r="1515" spans="1:22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 s="65"/>
    </row>
    <row r="1516" spans="1:22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 s="65"/>
    </row>
    <row r="1517" spans="1:22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 s="65"/>
    </row>
    <row r="1518" spans="1:22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 s="65"/>
    </row>
    <row r="1519" spans="1:22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 s="65"/>
    </row>
    <row r="1520" spans="1:22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 s="65"/>
    </row>
    <row r="1521" spans="1:22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 s="65"/>
    </row>
    <row r="1522" spans="1:22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 s="65"/>
    </row>
    <row r="1523" spans="1:22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 s="65"/>
    </row>
    <row r="1524" spans="1:22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 s="65"/>
    </row>
    <row r="1525" spans="1:22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 s="65"/>
    </row>
    <row r="1526" spans="1:22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 s="65"/>
    </row>
    <row r="1527" spans="1:22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 s="65"/>
    </row>
    <row r="1528" spans="1:22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 s="65"/>
    </row>
    <row r="1529" spans="1:22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 s="65"/>
    </row>
    <row r="1530" spans="1:22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 s="65"/>
    </row>
    <row r="1531" spans="1:22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 s="65"/>
    </row>
    <row r="1532" spans="1:22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 s="65"/>
    </row>
    <row r="1533" spans="1:22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 s="65"/>
    </row>
    <row r="1534" spans="1:22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 s="65"/>
    </row>
    <row r="1535" spans="1:22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 s="65"/>
    </row>
    <row r="1536" spans="1:22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 s="65"/>
    </row>
    <row r="1537" spans="1:22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 s="65"/>
    </row>
    <row r="1538" spans="1:22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 s="65"/>
    </row>
    <row r="1539" spans="1:22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 s="65"/>
    </row>
    <row r="1540" spans="1:22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 s="65"/>
    </row>
    <row r="1541" spans="1:22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 s="65"/>
    </row>
    <row r="1542" spans="1:22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 s="65"/>
    </row>
    <row r="1543" spans="1:22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 s="65"/>
    </row>
    <row r="1544" spans="1:22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 s="65"/>
    </row>
    <row r="1545" spans="1:22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 s="65"/>
    </row>
    <row r="1546" spans="1:22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 s="65"/>
    </row>
    <row r="1547" spans="1:22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 s="65"/>
    </row>
    <row r="1548" spans="1:22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 s="65"/>
    </row>
    <row r="1549" spans="1:22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 s="65"/>
    </row>
    <row r="1550" spans="1:22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 s="65"/>
    </row>
    <row r="1551" spans="1:22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 s="65"/>
    </row>
    <row r="1552" spans="1:22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 s="65"/>
    </row>
    <row r="1553" spans="1:22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 s="65"/>
    </row>
    <row r="1554" spans="1:22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 s="65"/>
    </row>
    <row r="1555" spans="1:22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 s="65"/>
    </row>
    <row r="1556" spans="1:22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 s="65"/>
    </row>
    <row r="1557" spans="1:22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 s="65"/>
    </row>
    <row r="1558" spans="1:22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 s="65"/>
    </row>
    <row r="1559" spans="1:22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 s="65"/>
    </row>
    <row r="1560" spans="1:22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 s="65"/>
    </row>
    <row r="1561" spans="1:22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 s="65"/>
    </row>
    <row r="1562" spans="1:22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 s="65"/>
    </row>
    <row r="1563" spans="1:22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 s="65"/>
    </row>
    <row r="1564" spans="1:22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 s="65"/>
    </row>
    <row r="1565" spans="1:22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 s="65"/>
    </row>
    <row r="1566" spans="1:22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 s="65"/>
    </row>
    <row r="1567" spans="1:22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 s="65"/>
    </row>
    <row r="1568" spans="1:22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 s="65"/>
    </row>
    <row r="1569" spans="1:22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 s="65"/>
    </row>
    <row r="1570" spans="1:22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 s="65"/>
    </row>
    <row r="1571" spans="1:22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 s="65"/>
    </row>
    <row r="1572" spans="1:22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 s="65"/>
    </row>
    <row r="1573" spans="1:22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 s="65"/>
    </row>
    <row r="1574" spans="1:22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 s="65"/>
    </row>
    <row r="1575" spans="1:22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 s="65"/>
    </row>
    <row r="1576" spans="1:22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 s="65"/>
    </row>
    <row r="1577" spans="1:22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 s="65"/>
    </row>
    <row r="1578" spans="1:22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 s="65"/>
    </row>
    <row r="1579" spans="1:22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 s="65"/>
    </row>
    <row r="1580" spans="1:22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 s="65"/>
    </row>
    <row r="1581" spans="1:22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 s="65"/>
    </row>
    <row r="1582" spans="1:22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 s="65"/>
    </row>
    <row r="1583" spans="1:22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 s="65"/>
    </row>
    <row r="1584" spans="1:22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 s="65"/>
    </row>
    <row r="1585" spans="1:22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 s="65"/>
    </row>
    <row r="1586" spans="1:22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 s="65"/>
    </row>
    <row r="1587" spans="1:22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 s="65"/>
    </row>
    <row r="1588" spans="1:22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 s="65"/>
    </row>
    <row r="1589" spans="1:22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 s="65"/>
    </row>
    <row r="1590" spans="1:22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 s="65"/>
    </row>
    <row r="1591" spans="1:22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 s="65"/>
    </row>
    <row r="1592" spans="1:22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 s="65"/>
    </row>
    <row r="1593" spans="1:22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 s="65"/>
    </row>
    <row r="1594" spans="1:22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 s="65"/>
    </row>
    <row r="1595" spans="1:22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 s="65"/>
    </row>
    <row r="1596" spans="1:22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 s="65"/>
    </row>
    <row r="1597" spans="1:22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 s="65"/>
    </row>
    <row r="1598" spans="1:22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 s="65"/>
    </row>
    <row r="1599" spans="1:22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 s="65"/>
    </row>
    <row r="1600" spans="1:22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 s="65"/>
    </row>
    <row r="1601" spans="1:22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 s="65"/>
    </row>
    <row r="1602" spans="1:22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 s="65"/>
    </row>
    <row r="1603" spans="1:22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 s="65"/>
    </row>
    <row r="1604" spans="1:22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 s="65"/>
    </row>
    <row r="1605" spans="1:22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 s="65"/>
    </row>
    <row r="1606" spans="1:22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 s="65"/>
    </row>
    <row r="1607" spans="1:22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 s="65"/>
    </row>
    <row r="1608" spans="1:22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 s="65"/>
    </row>
    <row r="1609" spans="1:22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 s="65"/>
    </row>
    <row r="1610" spans="1:22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 s="65"/>
    </row>
    <row r="1611" spans="1:22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 s="65"/>
    </row>
    <row r="1612" spans="1:22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 s="65"/>
    </row>
    <row r="1613" spans="1:22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 s="65"/>
    </row>
    <row r="1614" spans="1:22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 s="65"/>
    </row>
    <row r="1615" spans="1:22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 s="65"/>
    </row>
    <row r="1616" spans="1:22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 s="65"/>
    </row>
    <row r="1617" spans="1:22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 s="65"/>
    </row>
    <row r="1618" spans="1:22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 s="65"/>
    </row>
    <row r="1619" spans="1:22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 s="65"/>
    </row>
    <row r="1620" spans="1:22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 s="65"/>
    </row>
    <row r="1621" spans="1:22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 s="65"/>
    </row>
    <row r="1622" spans="1:22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 s="65"/>
    </row>
    <row r="1623" spans="1:22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 s="65"/>
    </row>
    <row r="1624" spans="1:22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 s="65"/>
    </row>
    <row r="1625" spans="1:22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 s="65"/>
    </row>
    <row r="1626" spans="1:22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 s="65"/>
    </row>
    <row r="1627" spans="1:22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 s="65"/>
    </row>
    <row r="1628" spans="1:22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 s="65"/>
    </row>
    <row r="1629" spans="1:22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 s="65"/>
    </row>
    <row r="1630" spans="1:22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 s="65"/>
    </row>
    <row r="1631" spans="1:22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 s="65"/>
    </row>
    <row r="1632" spans="1:22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 s="65"/>
    </row>
    <row r="1633" spans="1:22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 s="65"/>
    </row>
    <row r="1634" spans="1:22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 s="65"/>
    </row>
    <row r="1635" spans="1:22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 s="65"/>
    </row>
    <row r="1636" spans="1:22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 s="65"/>
    </row>
    <row r="1637" spans="1:22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 s="65"/>
    </row>
    <row r="1638" spans="1:22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 s="65"/>
    </row>
    <row r="1639" spans="1:22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 s="65"/>
    </row>
    <row r="1640" spans="1:22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 s="65"/>
    </row>
    <row r="1641" spans="1:22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 s="65"/>
    </row>
    <row r="1642" spans="1:22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 s="65"/>
    </row>
    <row r="1643" spans="1:22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 s="65"/>
    </row>
    <row r="1644" spans="1:22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 s="65"/>
    </row>
    <row r="1645" spans="1:22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 s="65"/>
    </row>
    <row r="1646" spans="1:22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 s="65"/>
    </row>
    <row r="1647" spans="1:22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 s="65"/>
    </row>
    <row r="1648" spans="1:22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 s="65"/>
    </row>
    <row r="1649" spans="1:22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 s="65"/>
    </row>
    <row r="1650" spans="1:22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 s="65"/>
    </row>
    <row r="1651" spans="1:22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 s="65"/>
    </row>
    <row r="1652" spans="1:22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 s="65"/>
    </row>
    <row r="1653" spans="1:22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 s="65"/>
    </row>
    <row r="1654" spans="1:22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 s="65"/>
    </row>
    <row r="1655" spans="1:22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 s="65"/>
    </row>
    <row r="1656" spans="1:22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 s="65"/>
    </row>
    <row r="1657" spans="1:22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 s="65"/>
    </row>
    <row r="1658" spans="1:22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 s="65"/>
    </row>
    <row r="1659" spans="1:22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 s="65"/>
    </row>
    <row r="1660" spans="1:22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 s="65"/>
    </row>
    <row r="1661" spans="1:22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 s="65"/>
    </row>
    <row r="1662" spans="1:22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 s="65"/>
    </row>
    <row r="1663" spans="1:22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 s="65"/>
    </row>
    <row r="1664" spans="1:22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 s="65"/>
    </row>
    <row r="1665" spans="1:22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 s="65"/>
    </row>
    <row r="1666" spans="1:22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 s="65"/>
    </row>
    <row r="1667" spans="1:22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 s="65"/>
    </row>
    <row r="1668" spans="1:22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 s="65"/>
    </row>
    <row r="1669" spans="1:22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 s="65"/>
    </row>
    <row r="1670" spans="1:22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 s="65"/>
    </row>
    <row r="1671" spans="1:22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 s="65"/>
    </row>
    <row r="1672" spans="1:22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 s="65"/>
    </row>
    <row r="1673" spans="1:22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 s="65"/>
    </row>
    <row r="1674" spans="1:22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 s="65"/>
    </row>
    <row r="1675" spans="1:22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 s="65"/>
    </row>
    <row r="1676" spans="1:22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 s="65"/>
    </row>
    <row r="1677" spans="1:22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 s="65"/>
    </row>
    <row r="1678" spans="1:22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 s="65"/>
    </row>
    <row r="1679" spans="1:22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 s="65"/>
    </row>
    <row r="1680" spans="1:22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 s="65"/>
    </row>
    <row r="1681" spans="1:22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 s="65"/>
    </row>
    <row r="1682" spans="1:22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 s="65"/>
    </row>
    <row r="1683" spans="1:22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 s="65"/>
    </row>
    <row r="1684" spans="1:22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 s="65"/>
    </row>
    <row r="1685" spans="1:22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 s="65"/>
    </row>
    <row r="1686" spans="1:22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 s="65"/>
    </row>
    <row r="1687" spans="1:22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 s="65"/>
    </row>
    <row r="1688" spans="1:22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 s="65"/>
    </row>
    <row r="1689" spans="1:22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 s="65"/>
    </row>
    <row r="1690" spans="1:22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 s="65"/>
    </row>
    <row r="1691" spans="1:22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 s="65"/>
    </row>
    <row r="1692" spans="1:22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 s="65"/>
    </row>
    <row r="1693" spans="1:22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 s="65"/>
    </row>
    <row r="1694" spans="1:22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 s="65"/>
    </row>
    <row r="1695" spans="1:22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 s="65"/>
    </row>
    <row r="1696" spans="1:22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 s="65"/>
    </row>
    <row r="1697" spans="1:22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 s="65"/>
    </row>
    <row r="1698" spans="1:22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 s="65"/>
    </row>
    <row r="1699" spans="1:22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 s="65"/>
    </row>
    <row r="1700" spans="1:22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 s="65"/>
    </row>
    <row r="1701" spans="1:22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 s="65"/>
    </row>
    <row r="1702" spans="1:22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 s="65"/>
    </row>
    <row r="1703" spans="1:22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 s="65"/>
    </row>
    <row r="1704" spans="1:22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 s="65"/>
    </row>
    <row r="1705" spans="1:22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 s="65"/>
    </row>
    <row r="1706" spans="1:22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 s="65"/>
    </row>
    <row r="1707" spans="1:22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 s="65"/>
    </row>
    <row r="1708" spans="1:22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 s="65"/>
    </row>
    <row r="1709" spans="1:22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 s="65"/>
    </row>
    <row r="1710" spans="1:22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 s="65"/>
    </row>
    <row r="1711" spans="1:22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 s="65"/>
    </row>
    <row r="1712" spans="1:22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 s="65"/>
    </row>
    <row r="1713" spans="1:22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 s="65"/>
    </row>
    <row r="1714" spans="1:22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 s="65"/>
    </row>
    <row r="1715" spans="1:22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 s="65"/>
    </row>
    <row r="1716" spans="1:22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 s="6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V1716"/>
  <sheetViews>
    <sheetView topLeftCell="L1" workbookViewId="0">
      <selection activeCell="U1" sqref="U1:V1048576"/>
    </sheetView>
  </sheetViews>
  <sheetFormatPr defaultRowHeight="15.75" x14ac:dyDescent="0.25"/>
  <cols>
    <col min="1" max="1" width="10.875" style="49" bestFit="1" customWidth="1"/>
    <col min="2" max="2" width="13.75" style="49" bestFit="1" customWidth="1"/>
    <col min="3" max="3" width="18.25" style="49" bestFit="1" customWidth="1"/>
    <col min="4" max="4" width="22.125" style="49" bestFit="1" customWidth="1"/>
    <col min="5" max="5" width="11.875" style="49" bestFit="1" customWidth="1"/>
    <col min="6" max="6" width="11.25" style="49" bestFit="1" customWidth="1"/>
    <col min="7" max="7" width="15.5" style="49" bestFit="1" customWidth="1"/>
    <col min="8" max="8" width="17.75" style="49" bestFit="1" customWidth="1"/>
    <col min="9" max="9" width="11.875" style="49" bestFit="1" customWidth="1"/>
    <col min="10" max="10" width="12.625" style="49" bestFit="1" customWidth="1"/>
    <col min="11" max="11" width="15.125" style="49" bestFit="1" customWidth="1"/>
    <col min="12" max="12" width="17.875" style="49" bestFit="1" customWidth="1"/>
    <col min="13" max="13" width="12" style="49" bestFit="1" customWidth="1"/>
    <col min="14" max="14" width="8.75" style="49" bestFit="1" customWidth="1"/>
    <col min="15" max="15" width="8.375" style="49" bestFit="1" customWidth="1"/>
    <col min="16" max="16" width="13.25" style="49" bestFit="1" customWidth="1"/>
    <col min="17" max="17" width="13" style="49" bestFit="1" customWidth="1"/>
    <col min="18" max="18" width="11" style="49" bestFit="1" customWidth="1"/>
    <col min="19" max="19" width="13.5" style="49" bestFit="1" customWidth="1"/>
    <col min="20" max="20" width="11" style="49" bestFit="1" customWidth="1"/>
    <col min="21" max="21" width="10" style="63" bestFit="1" customWidth="1"/>
    <col min="22" max="22" width="16" style="63" bestFit="1" customWidth="1"/>
    <col min="23" max="16384" width="9" style="49"/>
  </cols>
  <sheetData>
    <row r="1" spans="1:22" x14ac:dyDescent="0.25">
      <c r="A1" s="100" t="s">
        <v>0</v>
      </c>
      <c r="B1" s="101" t="s">
        <v>1</v>
      </c>
      <c r="C1" s="101" t="s">
        <v>166</v>
      </c>
      <c r="D1" s="101" t="s">
        <v>2</v>
      </c>
      <c r="E1" s="101" t="s">
        <v>167</v>
      </c>
      <c r="F1" s="101" t="s">
        <v>517</v>
      </c>
      <c r="G1" s="101" t="s">
        <v>183</v>
      </c>
      <c r="H1" s="101" t="s">
        <v>184</v>
      </c>
      <c r="I1" s="101" t="s">
        <v>518</v>
      </c>
      <c r="J1" s="101" t="s">
        <v>519</v>
      </c>
      <c r="K1" s="102" t="s">
        <v>520</v>
      </c>
      <c r="L1" s="102" t="s">
        <v>521</v>
      </c>
      <c r="M1" s="102" t="s">
        <v>4</v>
      </c>
      <c r="N1" s="102" t="s">
        <v>181</v>
      </c>
      <c r="O1" s="102" t="s">
        <v>182</v>
      </c>
      <c r="P1" s="101" t="s">
        <v>185</v>
      </c>
      <c r="Q1" s="101" t="s">
        <v>3</v>
      </c>
      <c r="R1" s="101" t="s">
        <v>106</v>
      </c>
      <c r="S1" s="101" t="s">
        <v>5</v>
      </c>
      <c r="T1" s="101" t="s">
        <v>6</v>
      </c>
      <c r="U1" s="135" t="s">
        <v>161</v>
      </c>
      <c r="V1" s="136" t="s">
        <v>163</v>
      </c>
    </row>
    <row r="2" spans="1:22" x14ac:dyDescent="0.25">
      <c r="A2" s="103">
        <v>4355</v>
      </c>
      <c r="B2" s="104" t="s">
        <v>14</v>
      </c>
      <c r="C2" s="104" t="s">
        <v>175</v>
      </c>
      <c r="D2" s="104" t="s">
        <v>71</v>
      </c>
      <c r="E2" s="104" t="s">
        <v>170</v>
      </c>
      <c r="F2" s="104">
        <v>2013</v>
      </c>
      <c r="G2" s="105">
        <v>42370.333333333336</v>
      </c>
      <c r="H2" s="105">
        <v>42383.5</v>
      </c>
      <c r="I2" s="106">
        <v>42370</v>
      </c>
      <c r="J2" s="106">
        <v>42383</v>
      </c>
      <c r="K2" s="107" t="s">
        <v>522</v>
      </c>
      <c r="L2" s="107">
        <v>0.5</v>
      </c>
      <c r="M2" s="107" t="s">
        <v>539</v>
      </c>
      <c r="N2" s="107" t="s">
        <v>523</v>
      </c>
      <c r="O2" s="107" t="s">
        <v>524</v>
      </c>
      <c r="P2" s="104" t="s">
        <v>23</v>
      </c>
      <c r="Q2" s="104" t="s">
        <v>44</v>
      </c>
      <c r="R2" s="104" t="s">
        <v>113</v>
      </c>
      <c r="S2" s="104">
        <v>4</v>
      </c>
      <c r="T2" s="104">
        <v>9</v>
      </c>
      <c r="U2" s="137">
        <v>41</v>
      </c>
      <c r="V2" s="138">
        <v>369</v>
      </c>
    </row>
    <row r="3" spans="1:22" x14ac:dyDescent="0.25">
      <c r="A3" s="108">
        <v>4356</v>
      </c>
      <c r="B3" s="109" t="s">
        <v>45</v>
      </c>
      <c r="C3" s="109" t="s">
        <v>177</v>
      </c>
      <c r="D3" s="109" t="s">
        <v>70</v>
      </c>
      <c r="E3" s="109" t="s">
        <v>174</v>
      </c>
      <c r="F3" s="109">
        <v>2013</v>
      </c>
      <c r="G3" s="110">
        <v>42370.333333333336</v>
      </c>
      <c r="H3" s="110">
        <v>42383.5</v>
      </c>
      <c r="I3" s="111">
        <v>42370</v>
      </c>
      <c r="J3" s="111">
        <v>42383</v>
      </c>
      <c r="K3" s="112" t="s">
        <v>522</v>
      </c>
      <c r="L3" s="112">
        <v>0.5</v>
      </c>
      <c r="M3" s="112" t="s">
        <v>539</v>
      </c>
      <c r="N3" s="112" t="s">
        <v>523</v>
      </c>
      <c r="O3" s="112" t="s">
        <v>524</v>
      </c>
      <c r="P3" s="109" t="s">
        <v>23</v>
      </c>
      <c r="Q3" s="109" t="s">
        <v>22</v>
      </c>
      <c r="R3" s="109" t="s">
        <v>109</v>
      </c>
      <c r="S3" s="109">
        <v>2</v>
      </c>
      <c r="T3" s="109">
        <v>11</v>
      </c>
      <c r="U3" s="139">
        <v>62</v>
      </c>
      <c r="V3" s="140">
        <v>682</v>
      </c>
    </row>
    <row r="4" spans="1:22" x14ac:dyDescent="0.25">
      <c r="A4" s="103">
        <v>4357</v>
      </c>
      <c r="B4" s="104" t="s">
        <v>11</v>
      </c>
      <c r="C4" s="104" t="s">
        <v>175</v>
      </c>
      <c r="D4" s="104" t="s">
        <v>72</v>
      </c>
      <c r="E4" s="104" t="s">
        <v>172</v>
      </c>
      <c r="F4" s="104">
        <v>2013</v>
      </c>
      <c r="G4" s="105">
        <v>42371.375</v>
      </c>
      <c r="H4" s="105">
        <v>42376.75</v>
      </c>
      <c r="I4" s="106">
        <v>42371</v>
      </c>
      <c r="J4" s="106">
        <v>42376</v>
      </c>
      <c r="K4" s="107" t="s">
        <v>525</v>
      </c>
      <c r="L4" s="107">
        <v>0.75</v>
      </c>
      <c r="M4" s="107" t="s">
        <v>540</v>
      </c>
      <c r="N4" s="107" t="s">
        <v>523</v>
      </c>
      <c r="O4" s="107" t="s">
        <v>524</v>
      </c>
      <c r="P4" s="104" t="s">
        <v>23</v>
      </c>
      <c r="Q4" s="104" t="s">
        <v>190</v>
      </c>
      <c r="R4" s="104" t="s">
        <v>109</v>
      </c>
      <c r="S4" s="104">
        <v>2</v>
      </c>
      <c r="T4" s="104">
        <v>11</v>
      </c>
      <c r="U4" s="137">
        <v>33</v>
      </c>
      <c r="V4" s="138">
        <v>363</v>
      </c>
    </row>
    <row r="5" spans="1:22" x14ac:dyDescent="0.25">
      <c r="A5" s="108">
        <v>4358</v>
      </c>
      <c r="B5" s="109" t="s">
        <v>22</v>
      </c>
      <c r="C5" s="109" t="s">
        <v>176</v>
      </c>
      <c r="D5" s="109" t="s">
        <v>74</v>
      </c>
      <c r="E5" s="109" t="s">
        <v>168</v>
      </c>
      <c r="F5" s="109">
        <v>2013</v>
      </c>
      <c r="G5" s="110">
        <v>42373.791666666664</v>
      </c>
      <c r="H5" s="110">
        <v>42384.958333333336</v>
      </c>
      <c r="I5" s="111">
        <v>42373</v>
      </c>
      <c r="J5" s="111">
        <v>42384</v>
      </c>
      <c r="K5" s="112" t="s">
        <v>526</v>
      </c>
      <c r="L5" s="112">
        <v>0.95833333333333337</v>
      </c>
      <c r="M5" s="112" t="s">
        <v>541</v>
      </c>
      <c r="N5" s="112" t="s">
        <v>523</v>
      </c>
      <c r="O5" s="112" t="s">
        <v>524</v>
      </c>
      <c r="P5" s="109" t="s">
        <v>9</v>
      </c>
      <c r="Q5" s="109" t="s">
        <v>12</v>
      </c>
      <c r="R5" s="109" t="s">
        <v>113</v>
      </c>
      <c r="S5" s="109">
        <v>3</v>
      </c>
      <c r="T5" s="109">
        <v>12</v>
      </c>
      <c r="U5" s="139">
        <v>47</v>
      </c>
      <c r="V5" s="140">
        <v>564</v>
      </c>
    </row>
    <row r="6" spans="1:22" x14ac:dyDescent="0.25">
      <c r="A6" s="103">
        <v>4359</v>
      </c>
      <c r="B6" s="104" t="s">
        <v>11</v>
      </c>
      <c r="C6" s="104" t="s">
        <v>175</v>
      </c>
      <c r="D6" s="104" t="s">
        <v>67</v>
      </c>
      <c r="E6" s="104" t="s">
        <v>170</v>
      </c>
      <c r="F6" s="104">
        <v>2013</v>
      </c>
      <c r="G6" s="105">
        <v>42373.791666666664</v>
      </c>
      <c r="H6" s="105">
        <v>42384.958333333336</v>
      </c>
      <c r="I6" s="106">
        <v>42373</v>
      </c>
      <c r="J6" s="106">
        <v>42384</v>
      </c>
      <c r="K6" s="107" t="s">
        <v>526</v>
      </c>
      <c r="L6" s="107">
        <v>0.95833333333333337</v>
      </c>
      <c r="M6" s="107" t="s">
        <v>541</v>
      </c>
      <c r="N6" s="107" t="s">
        <v>523</v>
      </c>
      <c r="O6" s="107" t="s">
        <v>524</v>
      </c>
      <c r="P6" s="104" t="s">
        <v>23</v>
      </c>
      <c r="Q6" s="104" t="s">
        <v>16</v>
      </c>
      <c r="R6" s="104" t="s">
        <v>109</v>
      </c>
      <c r="S6" s="104">
        <v>2</v>
      </c>
      <c r="T6" s="104">
        <v>11</v>
      </c>
      <c r="U6" s="137">
        <v>47</v>
      </c>
      <c r="V6" s="138">
        <v>517</v>
      </c>
    </row>
    <row r="7" spans="1:22" x14ac:dyDescent="0.25">
      <c r="A7" s="108">
        <v>4360</v>
      </c>
      <c r="B7" s="109" t="s">
        <v>19</v>
      </c>
      <c r="C7" s="109" t="s">
        <v>176</v>
      </c>
      <c r="D7" s="109" t="s">
        <v>64</v>
      </c>
      <c r="E7" s="109" t="s">
        <v>172</v>
      </c>
      <c r="F7" s="109">
        <v>2013</v>
      </c>
      <c r="G7" s="110">
        <v>42374.791666666664</v>
      </c>
      <c r="H7" s="110">
        <v>42387.958333333336</v>
      </c>
      <c r="I7" s="111">
        <v>42374</v>
      </c>
      <c r="J7" s="111">
        <v>42387</v>
      </c>
      <c r="K7" s="112" t="s">
        <v>526</v>
      </c>
      <c r="L7" s="112">
        <v>0.95833333333333337</v>
      </c>
      <c r="M7" s="112" t="s">
        <v>541</v>
      </c>
      <c r="N7" s="112" t="s">
        <v>523</v>
      </c>
      <c r="O7" s="112" t="s">
        <v>524</v>
      </c>
      <c r="P7" s="109" t="s">
        <v>23</v>
      </c>
      <c r="Q7" s="109" t="s">
        <v>24</v>
      </c>
      <c r="R7" s="109" t="s">
        <v>113</v>
      </c>
      <c r="S7" s="109">
        <v>5</v>
      </c>
      <c r="T7" s="109">
        <v>11</v>
      </c>
      <c r="U7" s="139">
        <v>73</v>
      </c>
      <c r="V7" s="140">
        <v>803</v>
      </c>
    </row>
    <row r="8" spans="1:22" x14ac:dyDescent="0.25">
      <c r="A8" s="103">
        <v>4361</v>
      </c>
      <c r="B8" s="104" t="s">
        <v>29</v>
      </c>
      <c r="C8" s="104" t="s">
        <v>177</v>
      </c>
      <c r="D8" s="104" t="s">
        <v>68</v>
      </c>
      <c r="E8" s="104" t="s">
        <v>172</v>
      </c>
      <c r="F8" s="104">
        <v>2013</v>
      </c>
      <c r="G8" s="105">
        <v>42375.583333333336</v>
      </c>
      <c r="H8" s="105">
        <v>42388.75</v>
      </c>
      <c r="I8" s="106">
        <v>42375</v>
      </c>
      <c r="J8" s="106">
        <v>42388</v>
      </c>
      <c r="K8" s="107" t="s">
        <v>527</v>
      </c>
      <c r="L8" s="107">
        <v>0.75</v>
      </c>
      <c r="M8" s="107" t="s">
        <v>542</v>
      </c>
      <c r="N8" s="107" t="s">
        <v>523</v>
      </c>
      <c r="O8" s="107" t="s">
        <v>524</v>
      </c>
      <c r="P8" s="104" t="s">
        <v>23</v>
      </c>
      <c r="Q8" s="104" t="s">
        <v>190</v>
      </c>
      <c r="R8" s="104" t="s">
        <v>109</v>
      </c>
      <c r="S8" s="104">
        <v>5</v>
      </c>
      <c r="T8" s="104">
        <v>10</v>
      </c>
      <c r="U8" s="137">
        <v>42</v>
      </c>
      <c r="V8" s="138">
        <v>420</v>
      </c>
    </row>
    <row r="9" spans="1:22" x14ac:dyDescent="0.25">
      <c r="A9" s="108">
        <v>4362</v>
      </c>
      <c r="B9" s="109" t="s">
        <v>7</v>
      </c>
      <c r="C9" s="109" t="s">
        <v>175</v>
      </c>
      <c r="D9" s="109" t="s">
        <v>62</v>
      </c>
      <c r="E9" s="109" t="s">
        <v>172</v>
      </c>
      <c r="F9" s="109">
        <v>2013</v>
      </c>
      <c r="G9" s="110">
        <v>42375.583333333336</v>
      </c>
      <c r="H9" s="110">
        <v>42388.75</v>
      </c>
      <c r="I9" s="111">
        <v>42375</v>
      </c>
      <c r="J9" s="111">
        <v>42388</v>
      </c>
      <c r="K9" s="112" t="s">
        <v>527</v>
      </c>
      <c r="L9" s="112">
        <v>0.75</v>
      </c>
      <c r="M9" s="112" t="s">
        <v>542</v>
      </c>
      <c r="N9" s="112" t="s">
        <v>523</v>
      </c>
      <c r="O9" s="112" t="s">
        <v>524</v>
      </c>
      <c r="P9" s="109" t="s">
        <v>23</v>
      </c>
      <c r="Q9" s="109" t="s">
        <v>28</v>
      </c>
      <c r="R9" s="109" t="s">
        <v>109</v>
      </c>
      <c r="S9" s="109">
        <v>4</v>
      </c>
      <c r="T9" s="109">
        <v>10</v>
      </c>
      <c r="U9" s="139">
        <v>61</v>
      </c>
      <c r="V9" s="140">
        <v>610</v>
      </c>
    </row>
    <row r="10" spans="1:22" x14ac:dyDescent="0.25">
      <c r="A10" s="103">
        <v>4363</v>
      </c>
      <c r="B10" s="104" t="s">
        <v>14</v>
      </c>
      <c r="C10" s="104" t="s">
        <v>175</v>
      </c>
      <c r="D10" s="104" t="s">
        <v>67</v>
      </c>
      <c r="E10" s="104" t="s">
        <v>170</v>
      </c>
      <c r="F10" s="104">
        <v>2013</v>
      </c>
      <c r="G10" s="105">
        <v>42375.583333333336</v>
      </c>
      <c r="H10" s="105">
        <v>42388.75</v>
      </c>
      <c r="I10" s="106">
        <v>42375</v>
      </c>
      <c r="J10" s="106">
        <v>42388</v>
      </c>
      <c r="K10" s="107" t="s">
        <v>527</v>
      </c>
      <c r="L10" s="107">
        <v>0.75</v>
      </c>
      <c r="M10" s="107" t="s">
        <v>542</v>
      </c>
      <c r="N10" s="107" t="s">
        <v>523</v>
      </c>
      <c r="O10" s="107" t="s">
        <v>524</v>
      </c>
      <c r="P10" s="104" t="s">
        <v>23</v>
      </c>
      <c r="Q10" s="104" t="s">
        <v>18</v>
      </c>
      <c r="R10" s="104" t="s">
        <v>113</v>
      </c>
      <c r="S10" s="104">
        <v>4</v>
      </c>
      <c r="T10" s="104">
        <v>9</v>
      </c>
      <c r="U10" s="137">
        <v>47</v>
      </c>
      <c r="V10" s="138">
        <v>423</v>
      </c>
    </row>
    <row r="11" spans="1:22" x14ac:dyDescent="0.25">
      <c r="A11" s="108">
        <v>4364</v>
      </c>
      <c r="B11" s="109" t="s">
        <v>45</v>
      </c>
      <c r="C11" s="109" t="s">
        <v>177</v>
      </c>
      <c r="D11" s="109" t="s">
        <v>74</v>
      </c>
      <c r="E11" s="109" t="s">
        <v>168</v>
      </c>
      <c r="F11" s="109">
        <v>2013</v>
      </c>
      <c r="G11" s="110">
        <v>42377.333333333336</v>
      </c>
      <c r="H11" s="110">
        <v>42390.5</v>
      </c>
      <c r="I11" s="111">
        <v>42377</v>
      </c>
      <c r="J11" s="111">
        <v>42390</v>
      </c>
      <c r="K11" s="112" t="s">
        <v>522</v>
      </c>
      <c r="L11" s="112">
        <v>0.5</v>
      </c>
      <c r="M11" s="112" t="s">
        <v>539</v>
      </c>
      <c r="N11" s="112" t="s">
        <v>523</v>
      </c>
      <c r="O11" s="112" t="s">
        <v>524</v>
      </c>
      <c r="P11" s="109" t="s">
        <v>23</v>
      </c>
      <c r="Q11" s="109" t="s">
        <v>12</v>
      </c>
      <c r="R11" s="109" t="s">
        <v>113</v>
      </c>
      <c r="S11" s="109">
        <v>5</v>
      </c>
      <c r="T11" s="109">
        <v>9</v>
      </c>
      <c r="U11" s="139">
        <v>47</v>
      </c>
      <c r="V11" s="140">
        <v>423</v>
      </c>
    </row>
    <row r="12" spans="1:22" x14ac:dyDescent="0.25">
      <c r="A12" s="103">
        <v>4365</v>
      </c>
      <c r="B12" s="104" t="s">
        <v>11</v>
      </c>
      <c r="C12" s="104" t="s">
        <v>175</v>
      </c>
      <c r="D12" s="104" t="s">
        <v>68</v>
      </c>
      <c r="E12" s="104" t="s">
        <v>172</v>
      </c>
      <c r="F12" s="104">
        <v>2013</v>
      </c>
      <c r="G12" s="105">
        <v>42378.375</v>
      </c>
      <c r="H12" s="105">
        <v>42383.75</v>
      </c>
      <c r="I12" s="106">
        <v>42378</v>
      </c>
      <c r="J12" s="106">
        <v>42383</v>
      </c>
      <c r="K12" s="107" t="s">
        <v>525</v>
      </c>
      <c r="L12" s="107">
        <v>0.75</v>
      </c>
      <c r="M12" s="107" t="s">
        <v>540</v>
      </c>
      <c r="N12" s="107" t="s">
        <v>523</v>
      </c>
      <c r="O12" s="107" t="s">
        <v>524</v>
      </c>
      <c r="P12" s="104" t="s">
        <v>9</v>
      </c>
      <c r="Q12" s="104" t="s">
        <v>38</v>
      </c>
      <c r="R12" s="104" t="s">
        <v>113</v>
      </c>
      <c r="S12" s="104">
        <v>5</v>
      </c>
      <c r="T12" s="104">
        <v>10</v>
      </c>
      <c r="U12" s="137">
        <v>42</v>
      </c>
      <c r="V12" s="138">
        <v>420</v>
      </c>
    </row>
    <row r="13" spans="1:22" x14ac:dyDescent="0.25">
      <c r="A13" s="108">
        <v>4366</v>
      </c>
      <c r="B13" s="109" t="s">
        <v>7</v>
      </c>
      <c r="C13" s="109" t="s">
        <v>175</v>
      </c>
      <c r="D13" s="109" t="s">
        <v>66</v>
      </c>
      <c r="E13" s="109" t="s">
        <v>169</v>
      </c>
      <c r="F13" s="109">
        <v>2013</v>
      </c>
      <c r="G13" s="110">
        <v>42378.375</v>
      </c>
      <c r="H13" s="110">
        <v>42383.75</v>
      </c>
      <c r="I13" s="111">
        <v>42378</v>
      </c>
      <c r="J13" s="111">
        <v>42383</v>
      </c>
      <c r="K13" s="112" t="s">
        <v>525</v>
      </c>
      <c r="L13" s="112">
        <v>0.75</v>
      </c>
      <c r="M13" s="112" t="s">
        <v>540</v>
      </c>
      <c r="N13" s="112" t="s">
        <v>523</v>
      </c>
      <c r="O13" s="112" t="s">
        <v>524</v>
      </c>
      <c r="P13" s="109" t="s">
        <v>9</v>
      </c>
      <c r="Q13" s="109" t="s">
        <v>22</v>
      </c>
      <c r="R13" s="109" t="s">
        <v>109</v>
      </c>
      <c r="S13" s="109">
        <v>3</v>
      </c>
      <c r="T13" s="109">
        <v>10</v>
      </c>
      <c r="U13" s="139">
        <v>47</v>
      </c>
      <c r="V13" s="140">
        <v>470</v>
      </c>
    </row>
    <row r="14" spans="1:22" x14ac:dyDescent="0.25">
      <c r="A14" s="103">
        <v>4367</v>
      </c>
      <c r="B14" s="104" t="s">
        <v>19</v>
      </c>
      <c r="C14" s="104" t="s">
        <v>176</v>
      </c>
      <c r="D14" s="104" t="s">
        <v>67</v>
      </c>
      <c r="E14" s="104" t="s">
        <v>170</v>
      </c>
      <c r="F14" s="104">
        <v>2013</v>
      </c>
      <c r="G14" s="105">
        <v>42378.375</v>
      </c>
      <c r="H14" s="105">
        <v>42383.75</v>
      </c>
      <c r="I14" s="106">
        <v>42378</v>
      </c>
      <c r="J14" s="106">
        <v>42383</v>
      </c>
      <c r="K14" s="107" t="s">
        <v>525</v>
      </c>
      <c r="L14" s="107">
        <v>0.75</v>
      </c>
      <c r="M14" s="107" t="s">
        <v>540</v>
      </c>
      <c r="N14" s="107" t="s">
        <v>523</v>
      </c>
      <c r="O14" s="107" t="s">
        <v>524</v>
      </c>
      <c r="P14" s="104" t="s">
        <v>23</v>
      </c>
      <c r="Q14" s="104" t="s">
        <v>37</v>
      </c>
      <c r="R14" s="104" t="s">
        <v>113</v>
      </c>
      <c r="S14" s="104">
        <v>3</v>
      </c>
      <c r="T14" s="104">
        <v>12</v>
      </c>
      <c r="U14" s="137">
        <v>47</v>
      </c>
      <c r="V14" s="138">
        <v>564</v>
      </c>
    </row>
    <row r="15" spans="1:22" x14ac:dyDescent="0.25">
      <c r="A15" s="108">
        <v>4368</v>
      </c>
      <c r="B15" s="109" t="s">
        <v>17</v>
      </c>
      <c r="C15" s="109" t="s">
        <v>176</v>
      </c>
      <c r="D15" s="109" t="s">
        <v>67</v>
      </c>
      <c r="E15" s="109" t="s">
        <v>170</v>
      </c>
      <c r="F15" s="109">
        <v>2013</v>
      </c>
      <c r="G15" s="110">
        <v>42380.791666666664</v>
      </c>
      <c r="H15" s="110">
        <v>42391.958333333336</v>
      </c>
      <c r="I15" s="111">
        <v>42380</v>
      </c>
      <c r="J15" s="111">
        <v>42391</v>
      </c>
      <c r="K15" s="112" t="s">
        <v>526</v>
      </c>
      <c r="L15" s="112">
        <v>0.95833333333333337</v>
      </c>
      <c r="M15" s="112" t="s">
        <v>541</v>
      </c>
      <c r="N15" s="112" t="s">
        <v>523</v>
      </c>
      <c r="O15" s="112" t="s">
        <v>524</v>
      </c>
      <c r="P15" s="109" t="s">
        <v>23</v>
      </c>
      <c r="Q15" s="109" t="s">
        <v>37</v>
      </c>
      <c r="R15" s="109" t="s">
        <v>113</v>
      </c>
      <c r="S15" s="109">
        <v>5</v>
      </c>
      <c r="T15" s="109">
        <v>9</v>
      </c>
      <c r="U15" s="139">
        <v>47</v>
      </c>
      <c r="V15" s="140">
        <v>423</v>
      </c>
    </row>
    <row r="16" spans="1:22" x14ac:dyDescent="0.25">
      <c r="A16" s="103">
        <v>4369</v>
      </c>
      <c r="B16" s="104" t="s">
        <v>17</v>
      </c>
      <c r="C16" s="104" t="s">
        <v>176</v>
      </c>
      <c r="D16" s="104" t="s">
        <v>68</v>
      </c>
      <c r="E16" s="104" t="s">
        <v>172</v>
      </c>
      <c r="F16" s="104">
        <v>2013</v>
      </c>
      <c r="G16" s="105">
        <v>42382.583333333336</v>
      </c>
      <c r="H16" s="105">
        <v>42395.75</v>
      </c>
      <c r="I16" s="106">
        <v>42382</v>
      </c>
      <c r="J16" s="106">
        <v>42395</v>
      </c>
      <c r="K16" s="107" t="s">
        <v>527</v>
      </c>
      <c r="L16" s="107">
        <v>0.75</v>
      </c>
      <c r="M16" s="107" t="s">
        <v>542</v>
      </c>
      <c r="N16" s="107" t="s">
        <v>523</v>
      </c>
      <c r="O16" s="107" t="s">
        <v>524</v>
      </c>
      <c r="P16" s="104" t="s">
        <v>23</v>
      </c>
      <c r="Q16" s="104" t="s">
        <v>24</v>
      </c>
      <c r="R16" s="104" t="s">
        <v>113</v>
      </c>
      <c r="S16" s="104">
        <v>5</v>
      </c>
      <c r="T16" s="104">
        <v>12</v>
      </c>
      <c r="U16" s="137">
        <v>42</v>
      </c>
      <c r="V16" s="138">
        <v>504</v>
      </c>
    </row>
    <row r="17" spans="1:22" x14ac:dyDescent="0.25">
      <c r="A17" s="108">
        <v>4370</v>
      </c>
      <c r="B17" s="109" t="s">
        <v>17</v>
      </c>
      <c r="C17" s="109" t="s">
        <v>176</v>
      </c>
      <c r="D17" s="109" t="s">
        <v>66</v>
      </c>
      <c r="E17" s="109" t="s">
        <v>169</v>
      </c>
      <c r="F17" s="109">
        <v>2013</v>
      </c>
      <c r="G17" s="110">
        <v>42382.583333333336</v>
      </c>
      <c r="H17" s="110">
        <v>42395.75</v>
      </c>
      <c r="I17" s="111">
        <v>42382</v>
      </c>
      <c r="J17" s="111">
        <v>42395</v>
      </c>
      <c r="K17" s="112" t="s">
        <v>527</v>
      </c>
      <c r="L17" s="112">
        <v>0.75</v>
      </c>
      <c r="M17" s="112" t="s">
        <v>542</v>
      </c>
      <c r="N17" s="112" t="s">
        <v>523</v>
      </c>
      <c r="O17" s="112" t="s">
        <v>524</v>
      </c>
      <c r="P17" s="109" t="s">
        <v>9</v>
      </c>
      <c r="Q17" s="109" t="s">
        <v>28</v>
      </c>
      <c r="R17" s="109" t="s">
        <v>109</v>
      </c>
      <c r="S17" s="109">
        <v>2</v>
      </c>
      <c r="T17" s="109">
        <v>8</v>
      </c>
      <c r="U17" s="139">
        <v>47</v>
      </c>
      <c r="V17" s="140">
        <v>376</v>
      </c>
    </row>
    <row r="18" spans="1:22" x14ac:dyDescent="0.25">
      <c r="A18" s="103">
        <v>4371</v>
      </c>
      <c r="B18" s="104" t="s">
        <v>29</v>
      </c>
      <c r="C18" s="104" t="s">
        <v>177</v>
      </c>
      <c r="D18" s="104" t="s">
        <v>74</v>
      </c>
      <c r="E18" s="104" t="s">
        <v>168</v>
      </c>
      <c r="F18" s="104">
        <v>2013</v>
      </c>
      <c r="G18" s="105">
        <v>42383.375</v>
      </c>
      <c r="H18" s="105">
        <v>42389.75</v>
      </c>
      <c r="I18" s="106">
        <v>42383</v>
      </c>
      <c r="J18" s="106">
        <v>42389</v>
      </c>
      <c r="K18" s="107" t="s">
        <v>525</v>
      </c>
      <c r="L18" s="107">
        <v>0.75</v>
      </c>
      <c r="M18" s="107" t="s">
        <v>540</v>
      </c>
      <c r="N18" s="107" t="s">
        <v>523</v>
      </c>
      <c r="O18" s="107" t="s">
        <v>524</v>
      </c>
      <c r="P18" s="104" t="s">
        <v>23</v>
      </c>
      <c r="Q18" s="104" t="s">
        <v>190</v>
      </c>
      <c r="R18" s="104" t="s">
        <v>109</v>
      </c>
      <c r="S18" s="104">
        <v>5</v>
      </c>
      <c r="T18" s="104">
        <v>8</v>
      </c>
      <c r="U18" s="137">
        <v>47</v>
      </c>
      <c r="V18" s="138">
        <v>376</v>
      </c>
    </row>
    <row r="19" spans="1:22" x14ac:dyDescent="0.25">
      <c r="A19" s="108">
        <v>4372</v>
      </c>
      <c r="B19" s="109" t="s">
        <v>7</v>
      </c>
      <c r="C19" s="109" t="s">
        <v>175</v>
      </c>
      <c r="D19" s="109" t="s">
        <v>74</v>
      </c>
      <c r="E19" s="109" t="s">
        <v>168</v>
      </c>
      <c r="F19" s="109">
        <v>2013</v>
      </c>
      <c r="G19" s="110">
        <v>42387.791666666664</v>
      </c>
      <c r="H19" s="110">
        <v>42398.958333333336</v>
      </c>
      <c r="I19" s="111">
        <v>42387</v>
      </c>
      <c r="J19" s="111">
        <v>42398</v>
      </c>
      <c r="K19" s="112" t="s">
        <v>526</v>
      </c>
      <c r="L19" s="112">
        <v>0.95833333333333337</v>
      </c>
      <c r="M19" s="112" t="s">
        <v>541</v>
      </c>
      <c r="N19" s="112" t="s">
        <v>523</v>
      </c>
      <c r="O19" s="112" t="s">
        <v>524</v>
      </c>
      <c r="P19" s="109" t="s">
        <v>23</v>
      </c>
      <c r="Q19" s="109" t="s">
        <v>41</v>
      </c>
      <c r="R19" s="109" t="s">
        <v>113</v>
      </c>
      <c r="S19" s="109">
        <v>5</v>
      </c>
      <c r="T19" s="109">
        <v>12</v>
      </c>
      <c r="U19" s="139">
        <v>47</v>
      </c>
      <c r="V19" s="140">
        <v>564</v>
      </c>
    </row>
    <row r="20" spans="1:22" x14ac:dyDescent="0.25">
      <c r="A20" s="103">
        <v>4373</v>
      </c>
      <c r="B20" s="104" t="s">
        <v>19</v>
      </c>
      <c r="C20" s="104" t="s">
        <v>176</v>
      </c>
      <c r="D20" s="104" t="s">
        <v>70</v>
      </c>
      <c r="E20" s="104" t="s">
        <v>174</v>
      </c>
      <c r="F20" s="104">
        <v>2013</v>
      </c>
      <c r="G20" s="105">
        <v>42387.791666666664</v>
      </c>
      <c r="H20" s="105">
        <v>42398.958333333336</v>
      </c>
      <c r="I20" s="106">
        <v>42387</v>
      </c>
      <c r="J20" s="106">
        <v>42398</v>
      </c>
      <c r="K20" s="107" t="s">
        <v>526</v>
      </c>
      <c r="L20" s="107">
        <v>0.95833333333333337</v>
      </c>
      <c r="M20" s="107" t="s">
        <v>541</v>
      </c>
      <c r="N20" s="107" t="s">
        <v>523</v>
      </c>
      <c r="O20" s="107" t="s">
        <v>524</v>
      </c>
      <c r="P20" s="104" t="s">
        <v>23</v>
      </c>
      <c r="Q20" s="104" t="s">
        <v>44</v>
      </c>
      <c r="R20" s="104" t="s">
        <v>113</v>
      </c>
      <c r="S20" s="104">
        <v>3</v>
      </c>
      <c r="T20" s="104">
        <v>12</v>
      </c>
      <c r="U20" s="137">
        <v>62</v>
      </c>
      <c r="V20" s="138">
        <v>744</v>
      </c>
    </row>
    <row r="21" spans="1:22" x14ac:dyDescent="0.25">
      <c r="A21" s="108">
        <v>4374</v>
      </c>
      <c r="B21" s="109" t="s">
        <v>22</v>
      </c>
      <c r="C21" s="109" t="s">
        <v>176</v>
      </c>
      <c r="D21" s="109" t="s">
        <v>64</v>
      </c>
      <c r="E21" s="109" t="s">
        <v>172</v>
      </c>
      <c r="F21" s="109">
        <v>2013</v>
      </c>
      <c r="G21" s="110">
        <v>42387.791666666664</v>
      </c>
      <c r="H21" s="110">
        <v>42398.958333333336</v>
      </c>
      <c r="I21" s="111">
        <v>42387</v>
      </c>
      <c r="J21" s="111">
        <v>42398</v>
      </c>
      <c r="K21" s="112" t="s">
        <v>526</v>
      </c>
      <c r="L21" s="112">
        <v>0.95833333333333337</v>
      </c>
      <c r="M21" s="112" t="s">
        <v>541</v>
      </c>
      <c r="N21" s="112" t="s">
        <v>523</v>
      </c>
      <c r="O21" s="112" t="s">
        <v>524</v>
      </c>
      <c r="P21" s="109" t="s">
        <v>9</v>
      </c>
      <c r="Q21" s="109" t="s">
        <v>18</v>
      </c>
      <c r="R21" s="109" t="s">
        <v>113</v>
      </c>
      <c r="S21" s="109">
        <v>3</v>
      </c>
      <c r="T21" s="109">
        <v>8</v>
      </c>
      <c r="U21" s="139">
        <v>73</v>
      </c>
      <c r="V21" s="140">
        <v>584</v>
      </c>
    </row>
    <row r="22" spans="1:22" x14ac:dyDescent="0.25">
      <c r="A22" s="103">
        <v>4375</v>
      </c>
      <c r="B22" s="104" t="s">
        <v>11</v>
      </c>
      <c r="C22" s="104" t="s">
        <v>175</v>
      </c>
      <c r="D22" s="104" t="s">
        <v>73</v>
      </c>
      <c r="E22" s="104" t="s">
        <v>169</v>
      </c>
      <c r="F22" s="104">
        <v>2013</v>
      </c>
      <c r="G22" s="105">
        <v>42387.791666666664</v>
      </c>
      <c r="H22" s="105">
        <v>42398.958333333336</v>
      </c>
      <c r="I22" s="106">
        <v>42387</v>
      </c>
      <c r="J22" s="106">
        <v>42398</v>
      </c>
      <c r="K22" s="107" t="s">
        <v>526</v>
      </c>
      <c r="L22" s="107">
        <v>0.95833333333333337</v>
      </c>
      <c r="M22" s="107" t="s">
        <v>541</v>
      </c>
      <c r="N22" s="107" t="s">
        <v>523</v>
      </c>
      <c r="O22" s="107" t="s">
        <v>524</v>
      </c>
      <c r="P22" s="104" t="s">
        <v>23</v>
      </c>
      <c r="Q22" s="104" t="s">
        <v>22</v>
      </c>
      <c r="R22" s="104" t="s">
        <v>109</v>
      </c>
      <c r="S22" s="104">
        <v>2</v>
      </c>
      <c r="T22" s="104">
        <v>12</v>
      </c>
      <c r="U22" s="137">
        <v>61</v>
      </c>
      <c r="V22" s="138">
        <v>732</v>
      </c>
    </row>
    <row r="23" spans="1:22" x14ac:dyDescent="0.25">
      <c r="A23" s="108">
        <v>4376</v>
      </c>
      <c r="B23" s="109" t="s">
        <v>7</v>
      </c>
      <c r="C23" s="109" t="s">
        <v>175</v>
      </c>
      <c r="D23" s="109" t="s">
        <v>63</v>
      </c>
      <c r="E23" s="109" t="s">
        <v>172</v>
      </c>
      <c r="F23" s="109">
        <v>2013</v>
      </c>
      <c r="G23" s="110">
        <v>42390.375</v>
      </c>
      <c r="H23" s="110">
        <v>42396.75</v>
      </c>
      <c r="I23" s="111">
        <v>42390</v>
      </c>
      <c r="J23" s="111">
        <v>42396</v>
      </c>
      <c r="K23" s="112" t="s">
        <v>525</v>
      </c>
      <c r="L23" s="112">
        <v>0.75</v>
      </c>
      <c r="M23" s="112" t="s">
        <v>540</v>
      </c>
      <c r="N23" s="112" t="s">
        <v>523</v>
      </c>
      <c r="O23" s="112" t="s">
        <v>524</v>
      </c>
      <c r="P23" s="109" t="s">
        <v>9</v>
      </c>
      <c r="Q23" s="109" t="s">
        <v>190</v>
      </c>
      <c r="R23" s="109" t="s">
        <v>109</v>
      </c>
      <c r="S23" s="109">
        <v>5</v>
      </c>
      <c r="T23" s="109">
        <v>10</v>
      </c>
      <c r="U23" s="139">
        <v>51</v>
      </c>
      <c r="V23" s="140">
        <v>510</v>
      </c>
    </row>
    <row r="24" spans="1:22" x14ac:dyDescent="0.25">
      <c r="A24" s="103">
        <v>4377</v>
      </c>
      <c r="B24" s="104" t="s">
        <v>39</v>
      </c>
      <c r="C24" s="104" t="s">
        <v>177</v>
      </c>
      <c r="D24" s="104" t="s">
        <v>71</v>
      </c>
      <c r="E24" s="104" t="s">
        <v>170</v>
      </c>
      <c r="F24" s="104">
        <v>2013</v>
      </c>
      <c r="G24" s="105">
        <v>42390.375</v>
      </c>
      <c r="H24" s="105">
        <v>42396.75</v>
      </c>
      <c r="I24" s="106">
        <v>42390</v>
      </c>
      <c r="J24" s="106">
        <v>42396</v>
      </c>
      <c r="K24" s="107" t="s">
        <v>525</v>
      </c>
      <c r="L24" s="107">
        <v>0.75</v>
      </c>
      <c r="M24" s="107" t="s">
        <v>540</v>
      </c>
      <c r="N24" s="107" t="s">
        <v>523</v>
      </c>
      <c r="O24" s="107" t="s">
        <v>524</v>
      </c>
      <c r="P24" s="104" t="s">
        <v>9</v>
      </c>
      <c r="Q24" s="104" t="s">
        <v>35</v>
      </c>
      <c r="R24" s="104" t="s">
        <v>109</v>
      </c>
      <c r="S24" s="104">
        <v>3</v>
      </c>
      <c r="T24" s="104">
        <v>12</v>
      </c>
      <c r="U24" s="137">
        <v>41</v>
      </c>
      <c r="V24" s="138">
        <v>492</v>
      </c>
    </row>
    <row r="25" spans="1:22" x14ac:dyDescent="0.25">
      <c r="A25" s="108">
        <v>4378</v>
      </c>
      <c r="B25" s="109" t="s">
        <v>19</v>
      </c>
      <c r="C25" s="109" t="s">
        <v>176</v>
      </c>
      <c r="D25" s="109" t="s">
        <v>65</v>
      </c>
      <c r="E25" s="109" t="s">
        <v>173</v>
      </c>
      <c r="F25" s="109">
        <v>2013</v>
      </c>
      <c r="G25" s="110">
        <v>42391.333333333336</v>
      </c>
      <c r="H25" s="110">
        <v>42404.5</v>
      </c>
      <c r="I25" s="111">
        <v>42391</v>
      </c>
      <c r="J25" s="111">
        <v>42404</v>
      </c>
      <c r="K25" s="112" t="s">
        <v>522</v>
      </c>
      <c r="L25" s="112">
        <v>0.5</v>
      </c>
      <c r="M25" s="112" t="s">
        <v>539</v>
      </c>
      <c r="N25" s="112" t="s">
        <v>523</v>
      </c>
      <c r="O25" s="112" t="s">
        <v>524</v>
      </c>
      <c r="P25" s="109" t="s">
        <v>23</v>
      </c>
      <c r="Q25" s="109" t="s">
        <v>44</v>
      </c>
      <c r="R25" s="109" t="s">
        <v>113</v>
      </c>
      <c r="S25" s="109">
        <v>3</v>
      </c>
      <c r="T25" s="109">
        <v>8</v>
      </c>
      <c r="U25" s="139">
        <v>31</v>
      </c>
      <c r="V25" s="140">
        <v>248</v>
      </c>
    </row>
    <row r="26" spans="1:22" x14ac:dyDescent="0.25">
      <c r="A26" s="103">
        <v>4379</v>
      </c>
      <c r="B26" s="104" t="s">
        <v>7</v>
      </c>
      <c r="C26" s="104" t="s">
        <v>175</v>
      </c>
      <c r="D26" s="104" t="s">
        <v>65</v>
      </c>
      <c r="E26" s="104" t="s">
        <v>173</v>
      </c>
      <c r="F26" s="104">
        <v>2013</v>
      </c>
      <c r="G26" s="105">
        <v>42391.333333333336</v>
      </c>
      <c r="H26" s="105">
        <v>42404.5</v>
      </c>
      <c r="I26" s="106">
        <v>42391</v>
      </c>
      <c r="J26" s="106">
        <v>42404</v>
      </c>
      <c r="K26" s="107" t="s">
        <v>522</v>
      </c>
      <c r="L26" s="107">
        <v>0.5</v>
      </c>
      <c r="M26" s="107" t="s">
        <v>539</v>
      </c>
      <c r="N26" s="107" t="s">
        <v>523</v>
      </c>
      <c r="O26" s="107" t="s">
        <v>524</v>
      </c>
      <c r="P26" s="104" t="s">
        <v>23</v>
      </c>
      <c r="Q26" s="104" t="s">
        <v>38</v>
      </c>
      <c r="R26" s="104" t="s">
        <v>113</v>
      </c>
      <c r="S26" s="104">
        <v>2</v>
      </c>
      <c r="T26" s="104">
        <v>8</v>
      </c>
      <c r="U26" s="137">
        <v>31</v>
      </c>
      <c r="V26" s="138">
        <v>248</v>
      </c>
    </row>
    <row r="27" spans="1:22" x14ac:dyDescent="0.25">
      <c r="A27" s="108">
        <v>4380</v>
      </c>
      <c r="B27" s="109" t="s">
        <v>39</v>
      </c>
      <c r="C27" s="109" t="s">
        <v>177</v>
      </c>
      <c r="D27" s="109" t="s">
        <v>67</v>
      </c>
      <c r="E27" s="109" t="s">
        <v>170</v>
      </c>
      <c r="F27" s="109">
        <v>2013</v>
      </c>
      <c r="G27" s="110">
        <v>42394.791666666664</v>
      </c>
      <c r="H27" s="110">
        <v>42405.958333333336</v>
      </c>
      <c r="I27" s="111">
        <v>42394</v>
      </c>
      <c r="J27" s="111">
        <v>42405</v>
      </c>
      <c r="K27" s="112" t="s">
        <v>526</v>
      </c>
      <c r="L27" s="112">
        <v>0.95833333333333337</v>
      </c>
      <c r="M27" s="112" t="s">
        <v>541</v>
      </c>
      <c r="N27" s="112" t="s">
        <v>523</v>
      </c>
      <c r="O27" s="112" t="s">
        <v>524</v>
      </c>
      <c r="P27" s="109" t="s">
        <v>23</v>
      </c>
      <c r="Q27" s="109" t="s">
        <v>190</v>
      </c>
      <c r="R27" s="109" t="s">
        <v>109</v>
      </c>
      <c r="S27" s="109">
        <v>3</v>
      </c>
      <c r="T27" s="109">
        <v>12</v>
      </c>
      <c r="U27" s="139">
        <v>47</v>
      </c>
      <c r="V27" s="140">
        <v>564</v>
      </c>
    </row>
    <row r="28" spans="1:22" x14ac:dyDescent="0.25">
      <c r="A28" s="103">
        <v>4381</v>
      </c>
      <c r="B28" s="104" t="s">
        <v>39</v>
      </c>
      <c r="C28" s="104" t="s">
        <v>177</v>
      </c>
      <c r="D28" s="104" t="s">
        <v>72</v>
      </c>
      <c r="E28" s="104" t="s">
        <v>172</v>
      </c>
      <c r="F28" s="104">
        <v>2013</v>
      </c>
      <c r="G28" s="105">
        <v>42394.791666666664</v>
      </c>
      <c r="H28" s="105">
        <v>42405.958333333336</v>
      </c>
      <c r="I28" s="106">
        <v>42394</v>
      </c>
      <c r="J28" s="106">
        <v>42405</v>
      </c>
      <c r="K28" s="107" t="s">
        <v>526</v>
      </c>
      <c r="L28" s="107">
        <v>0.95833333333333337</v>
      </c>
      <c r="M28" s="107" t="s">
        <v>541</v>
      </c>
      <c r="N28" s="107" t="s">
        <v>523</v>
      </c>
      <c r="O28" s="107" t="s">
        <v>524</v>
      </c>
      <c r="P28" s="104" t="s">
        <v>9</v>
      </c>
      <c r="Q28" s="104" t="s">
        <v>31</v>
      </c>
      <c r="R28" s="104" t="s">
        <v>113</v>
      </c>
      <c r="S28" s="104">
        <v>3</v>
      </c>
      <c r="T28" s="104">
        <v>8</v>
      </c>
      <c r="U28" s="137">
        <v>33</v>
      </c>
      <c r="V28" s="138">
        <v>264</v>
      </c>
    </row>
    <row r="29" spans="1:22" x14ac:dyDescent="0.25">
      <c r="A29" s="108">
        <v>4382</v>
      </c>
      <c r="B29" s="109" t="s">
        <v>7</v>
      </c>
      <c r="C29" s="109" t="s">
        <v>175</v>
      </c>
      <c r="D29" s="109" t="s">
        <v>66</v>
      </c>
      <c r="E29" s="109" t="s">
        <v>169</v>
      </c>
      <c r="F29" s="109">
        <v>2013</v>
      </c>
      <c r="G29" s="110">
        <v>42394.791666666664</v>
      </c>
      <c r="H29" s="110">
        <v>42405.958333333336</v>
      </c>
      <c r="I29" s="111">
        <v>42394</v>
      </c>
      <c r="J29" s="111">
        <v>42405</v>
      </c>
      <c r="K29" s="112" t="s">
        <v>526</v>
      </c>
      <c r="L29" s="112">
        <v>0.95833333333333337</v>
      </c>
      <c r="M29" s="112" t="s">
        <v>541</v>
      </c>
      <c r="N29" s="112" t="s">
        <v>523</v>
      </c>
      <c r="O29" s="112" t="s">
        <v>524</v>
      </c>
      <c r="P29" s="109" t="s">
        <v>9</v>
      </c>
      <c r="Q29" s="109" t="s">
        <v>37</v>
      </c>
      <c r="R29" s="109" t="s">
        <v>113</v>
      </c>
      <c r="S29" s="109">
        <v>2</v>
      </c>
      <c r="T29" s="109">
        <v>9</v>
      </c>
      <c r="U29" s="139">
        <v>47</v>
      </c>
      <c r="V29" s="140">
        <v>423</v>
      </c>
    </row>
    <row r="30" spans="1:22" x14ac:dyDescent="0.25">
      <c r="A30" s="103">
        <v>4383</v>
      </c>
      <c r="B30" s="104" t="s">
        <v>22</v>
      </c>
      <c r="C30" s="104" t="s">
        <v>176</v>
      </c>
      <c r="D30" s="104" t="s">
        <v>75</v>
      </c>
      <c r="E30" s="104" t="s">
        <v>174</v>
      </c>
      <c r="F30" s="104">
        <v>2013</v>
      </c>
      <c r="G30" s="105">
        <v>42395.791666666664</v>
      </c>
      <c r="H30" s="105">
        <v>42408.958333333336</v>
      </c>
      <c r="I30" s="106">
        <v>42395</v>
      </c>
      <c r="J30" s="106">
        <v>42408</v>
      </c>
      <c r="K30" s="107" t="s">
        <v>526</v>
      </c>
      <c r="L30" s="107">
        <v>0.95833333333333337</v>
      </c>
      <c r="M30" s="107" t="s">
        <v>541</v>
      </c>
      <c r="N30" s="107" t="s">
        <v>523</v>
      </c>
      <c r="O30" s="107" t="s">
        <v>524</v>
      </c>
      <c r="P30" s="104" t="s">
        <v>9</v>
      </c>
      <c r="Q30" s="104" t="s">
        <v>18</v>
      </c>
      <c r="R30" s="104" t="s">
        <v>113</v>
      </c>
      <c r="S30" s="104">
        <v>3</v>
      </c>
      <c r="T30" s="104">
        <v>11</v>
      </c>
      <c r="U30" s="137">
        <v>52</v>
      </c>
      <c r="V30" s="138">
        <v>572</v>
      </c>
    </row>
    <row r="31" spans="1:22" x14ac:dyDescent="0.25">
      <c r="A31" s="108">
        <v>4384</v>
      </c>
      <c r="B31" s="109" t="s">
        <v>11</v>
      </c>
      <c r="C31" s="109" t="s">
        <v>175</v>
      </c>
      <c r="D31" s="109" t="s">
        <v>67</v>
      </c>
      <c r="E31" s="109" t="s">
        <v>170</v>
      </c>
      <c r="F31" s="109">
        <v>2013</v>
      </c>
      <c r="G31" s="110">
        <v>42395.791666666664</v>
      </c>
      <c r="H31" s="110">
        <v>42408.958333333336</v>
      </c>
      <c r="I31" s="111">
        <v>42395</v>
      </c>
      <c r="J31" s="111">
        <v>42408</v>
      </c>
      <c r="K31" s="112" t="s">
        <v>526</v>
      </c>
      <c r="L31" s="112">
        <v>0.95833333333333337</v>
      </c>
      <c r="M31" s="112" t="s">
        <v>541</v>
      </c>
      <c r="N31" s="112" t="s">
        <v>523</v>
      </c>
      <c r="O31" s="112" t="s">
        <v>524</v>
      </c>
      <c r="P31" s="109" t="s">
        <v>9</v>
      </c>
      <c r="Q31" s="109" t="s">
        <v>38</v>
      </c>
      <c r="R31" s="109" t="s">
        <v>113</v>
      </c>
      <c r="S31" s="109">
        <v>3</v>
      </c>
      <c r="T31" s="109">
        <v>8</v>
      </c>
      <c r="U31" s="139">
        <v>47</v>
      </c>
      <c r="V31" s="140">
        <v>376</v>
      </c>
    </row>
    <row r="32" spans="1:22" x14ac:dyDescent="0.25">
      <c r="A32" s="103">
        <v>4385</v>
      </c>
      <c r="B32" s="104" t="s">
        <v>22</v>
      </c>
      <c r="C32" s="104" t="s">
        <v>176</v>
      </c>
      <c r="D32" s="104" t="s">
        <v>75</v>
      </c>
      <c r="E32" s="104" t="s">
        <v>174</v>
      </c>
      <c r="F32" s="104">
        <v>2013</v>
      </c>
      <c r="G32" s="105">
        <v>42395.791666666664</v>
      </c>
      <c r="H32" s="105">
        <v>42408.958333333336</v>
      </c>
      <c r="I32" s="106">
        <v>42395</v>
      </c>
      <c r="J32" s="106">
        <v>42408</v>
      </c>
      <c r="K32" s="107" t="s">
        <v>526</v>
      </c>
      <c r="L32" s="107">
        <v>0.95833333333333337</v>
      </c>
      <c r="M32" s="107" t="s">
        <v>541</v>
      </c>
      <c r="N32" s="107" t="s">
        <v>523</v>
      </c>
      <c r="O32" s="107" t="s">
        <v>524</v>
      </c>
      <c r="P32" s="104" t="s">
        <v>9</v>
      </c>
      <c r="Q32" s="104" t="s">
        <v>18</v>
      </c>
      <c r="R32" s="104" t="s">
        <v>113</v>
      </c>
      <c r="S32" s="104">
        <v>4</v>
      </c>
      <c r="T32" s="104">
        <v>9</v>
      </c>
      <c r="U32" s="137">
        <v>52</v>
      </c>
      <c r="V32" s="138">
        <v>468</v>
      </c>
    </row>
    <row r="33" spans="1:22" x14ac:dyDescent="0.25">
      <c r="A33" s="108">
        <v>4386</v>
      </c>
      <c r="B33" s="109" t="s">
        <v>22</v>
      </c>
      <c r="C33" s="109" t="s">
        <v>176</v>
      </c>
      <c r="D33" s="109" t="s">
        <v>67</v>
      </c>
      <c r="E33" s="109" t="s">
        <v>170</v>
      </c>
      <c r="F33" s="109">
        <v>2013</v>
      </c>
      <c r="G33" s="110">
        <v>42396.583333333336</v>
      </c>
      <c r="H33" s="110">
        <v>42409.75</v>
      </c>
      <c r="I33" s="111">
        <v>42396</v>
      </c>
      <c r="J33" s="111">
        <v>42409</v>
      </c>
      <c r="K33" s="112" t="s">
        <v>527</v>
      </c>
      <c r="L33" s="112">
        <v>0.75</v>
      </c>
      <c r="M33" s="112" t="s">
        <v>542</v>
      </c>
      <c r="N33" s="112" t="s">
        <v>523</v>
      </c>
      <c r="O33" s="112" t="s">
        <v>524</v>
      </c>
      <c r="P33" s="109" t="s">
        <v>23</v>
      </c>
      <c r="Q33" s="109" t="s">
        <v>35</v>
      </c>
      <c r="R33" s="109" t="s">
        <v>109</v>
      </c>
      <c r="S33" s="109">
        <v>2</v>
      </c>
      <c r="T33" s="109">
        <v>11</v>
      </c>
      <c r="U33" s="139">
        <v>47</v>
      </c>
      <c r="V33" s="140">
        <v>517</v>
      </c>
    </row>
    <row r="34" spans="1:22" x14ac:dyDescent="0.25">
      <c r="A34" s="103">
        <v>4387</v>
      </c>
      <c r="B34" s="104" t="s">
        <v>29</v>
      </c>
      <c r="C34" s="104" t="s">
        <v>177</v>
      </c>
      <c r="D34" s="104" t="s">
        <v>70</v>
      </c>
      <c r="E34" s="104" t="s">
        <v>174</v>
      </c>
      <c r="F34" s="104">
        <v>2013</v>
      </c>
      <c r="G34" s="105">
        <v>42397.375</v>
      </c>
      <c r="H34" s="105">
        <v>42403.75</v>
      </c>
      <c r="I34" s="106">
        <v>42397</v>
      </c>
      <c r="J34" s="106">
        <v>42403</v>
      </c>
      <c r="K34" s="107" t="s">
        <v>525</v>
      </c>
      <c r="L34" s="107">
        <v>0.75</v>
      </c>
      <c r="M34" s="107" t="s">
        <v>540</v>
      </c>
      <c r="N34" s="107" t="s">
        <v>523</v>
      </c>
      <c r="O34" s="107" t="s">
        <v>524</v>
      </c>
      <c r="P34" s="104" t="s">
        <v>9</v>
      </c>
      <c r="Q34" s="104" t="s">
        <v>31</v>
      </c>
      <c r="R34" s="104" t="s">
        <v>113</v>
      </c>
      <c r="S34" s="104">
        <v>4</v>
      </c>
      <c r="T34" s="104">
        <v>11</v>
      </c>
      <c r="U34" s="137">
        <v>62</v>
      </c>
      <c r="V34" s="138">
        <v>682</v>
      </c>
    </row>
    <row r="35" spans="1:22" x14ac:dyDescent="0.25">
      <c r="A35" s="108">
        <v>4388</v>
      </c>
      <c r="B35" s="109" t="s">
        <v>45</v>
      </c>
      <c r="C35" s="109" t="s">
        <v>177</v>
      </c>
      <c r="D35" s="109" t="s">
        <v>65</v>
      </c>
      <c r="E35" s="109" t="s">
        <v>173</v>
      </c>
      <c r="F35" s="109">
        <v>2013</v>
      </c>
      <c r="G35" s="110">
        <v>42399.375</v>
      </c>
      <c r="H35" s="110">
        <v>42404.75</v>
      </c>
      <c r="I35" s="111">
        <v>42399</v>
      </c>
      <c r="J35" s="111">
        <v>42404</v>
      </c>
      <c r="K35" s="112" t="s">
        <v>525</v>
      </c>
      <c r="L35" s="112">
        <v>0.75</v>
      </c>
      <c r="M35" s="112" t="s">
        <v>540</v>
      </c>
      <c r="N35" s="112" t="s">
        <v>523</v>
      </c>
      <c r="O35" s="112" t="s">
        <v>524</v>
      </c>
      <c r="P35" s="109" t="s">
        <v>23</v>
      </c>
      <c r="Q35" s="109" t="s">
        <v>26</v>
      </c>
      <c r="R35" s="109" t="s">
        <v>113</v>
      </c>
      <c r="S35" s="109">
        <v>4</v>
      </c>
      <c r="T35" s="109">
        <v>10</v>
      </c>
      <c r="U35" s="139">
        <v>31</v>
      </c>
      <c r="V35" s="140">
        <v>310</v>
      </c>
    </row>
    <row r="36" spans="1:22" x14ac:dyDescent="0.25">
      <c r="A36" s="103">
        <v>4389</v>
      </c>
      <c r="B36" s="104" t="s">
        <v>29</v>
      </c>
      <c r="C36" s="104" t="s">
        <v>177</v>
      </c>
      <c r="D36" s="104" t="s">
        <v>67</v>
      </c>
      <c r="E36" s="104" t="s">
        <v>170</v>
      </c>
      <c r="F36" s="104">
        <v>2013</v>
      </c>
      <c r="G36" s="105">
        <v>42399.375</v>
      </c>
      <c r="H36" s="105">
        <v>42404.75</v>
      </c>
      <c r="I36" s="106">
        <v>42399</v>
      </c>
      <c r="J36" s="106">
        <v>42404</v>
      </c>
      <c r="K36" s="107" t="s">
        <v>525</v>
      </c>
      <c r="L36" s="107">
        <v>0.75</v>
      </c>
      <c r="M36" s="107" t="s">
        <v>540</v>
      </c>
      <c r="N36" s="107" t="s">
        <v>523</v>
      </c>
      <c r="O36" s="107" t="s">
        <v>524</v>
      </c>
      <c r="P36" s="104" t="s">
        <v>23</v>
      </c>
      <c r="Q36" s="104" t="s">
        <v>190</v>
      </c>
      <c r="R36" s="104" t="s">
        <v>109</v>
      </c>
      <c r="S36" s="104">
        <v>5</v>
      </c>
      <c r="T36" s="104">
        <v>9</v>
      </c>
      <c r="U36" s="137">
        <v>47</v>
      </c>
      <c r="V36" s="138">
        <v>423</v>
      </c>
    </row>
    <row r="37" spans="1:22" x14ac:dyDescent="0.25">
      <c r="A37" s="108">
        <v>4390</v>
      </c>
      <c r="B37" s="109" t="s">
        <v>14</v>
      </c>
      <c r="C37" s="109" t="s">
        <v>175</v>
      </c>
      <c r="D37" s="109" t="s">
        <v>64</v>
      </c>
      <c r="E37" s="109" t="s">
        <v>172</v>
      </c>
      <c r="F37" s="109">
        <v>2013</v>
      </c>
      <c r="G37" s="110">
        <v>42401.791666666664</v>
      </c>
      <c r="H37" s="110">
        <v>42412.958333333336</v>
      </c>
      <c r="I37" s="111">
        <v>42401</v>
      </c>
      <c r="J37" s="111">
        <v>42412</v>
      </c>
      <c r="K37" s="112" t="s">
        <v>526</v>
      </c>
      <c r="L37" s="112">
        <v>0.95833333333333337</v>
      </c>
      <c r="M37" s="112" t="s">
        <v>541</v>
      </c>
      <c r="N37" s="112" t="s">
        <v>528</v>
      </c>
      <c r="O37" s="112" t="s">
        <v>524</v>
      </c>
      <c r="P37" s="109" t="s">
        <v>9</v>
      </c>
      <c r="Q37" s="109" t="s">
        <v>21</v>
      </c>
      <c r="R37" s="109" t="s">
        <v>113</v>
      </c>
      <c r="S37" s="109">
        <v>3</v>
      </c>
      <c r="T37" s="109">
        <v>11</v>
      </c>
      <c r="U37" s="139">
        <v>73</v>
      </c>
      <c r="V37" s="140">
        <v>803</v>
      </c>
    </row>
    <row r="38" spans="1:22" x14ac:dyDescent="0.25">
      <c r="A38" s="103">
        <v>4391</v>
      </c>
      <c r="B38" s="104" t="s">
        <v>17</v>
      </c>
      <c r="C38" s="104" t="s">
        <v>176</v>
      </c>
      <c r="D38" s="104" t="s">
        <v>66</v>
      </c>
      <c r="E38" s="104" t="s">
        <v>169</v>
      </c>
      <c r="F38" s="104">
        <v>2013</v>
      </c>
      <c r="G38" s="105">
        <v>42401.791666666664</v>
      </c>
      <c r="H38" s="105">
        <v>42412.958333333336</v>
      </c>
      <c r="I38" s="106">
        <v>42401</v>
      </c>
      <c r="J38" s="106">
        <v>42412</v>
      </c>
      <c r="K38" s="107" t="s">
        <v>526</v>
      </c>
      <c r="L38" s="107">
        <v>0.95833333333333337</v>
      </c>
      <c r="M38" s="107" t="s">
        <v>541</v>
      </c>
      <c r="N38" s="107" t="s">
        <v>528</v>
      </c>
      <c r="O38" s="107" t="s">
        <v>524</v>
      </c>
      <c r="P38" s="104" t="s">
        <v>9</v>
      </c>
      <c r="Q38" s="104" t="s">
        <v>31</v>
      </c>
      <c r="R38" s="104" t="s">
        <v>113</v>
      </c>
      <c r="S38" s="104">
        <v>3</v>
      </c>
      <c r="T38" s="104">
        <v>11</v>
      </c>
      <c r="U38" s="137">
        <v>47</v>
      </c>
      <c r="V38" s="138">
        <v>517</v>
      </c>
    </row>
    <row r="39" spans="1:22" x14ac:dyDescent="0.25">
      <c r="A39" s="108">
        <v>4392</v>
      </c>
      <c r="B39" s="109" t="s">
        <v>45</v>
      </c>
      <c r="C39" s="109" t="s">
        <v>177</v>
      </c>
      <c r="D39" s="109" t="s">
        <v>70</v>
      </c>
      <c r="E39" s="109" t="s">
        <v>174</v>
      </c>
      <c r="F39" s="109">
        <v>2013</v>
      </c>
      <c r="G39" s="110">
        <v>42401.791666666664</v>
      </c>
      <c r="H39" s="110">
        <v>42412.958333333336</v>
      </c>
      <c r="I39" s="111">
        <v>42401</v>
      </c>
      <c r="J39" s="111">
        <v>42412</v>
      </c>
      <c r="K39" s="112" t="s">
        <v>526</v>
      </c>
      <c r="L39" s="112">
        <v>0.95833333333333337</v>
      </c>
      <c r="M39" s="112" t="s">
        <v>541</v>
      </c>
      <c r="N39" s="112" t="s">
        <v>528</v>
      </c>
      <c r="O39" s="112" t="s">
        <v>524</v>
      </c>
      <c r="P39" s="109" t="s">
        <v>9</v>
      </c>
      <c r="Q39" s="109" t="s">
        <v>12</v>
      </c>
      <c r="R39" s="109" t="s">
        <v>113</v>
      </c>
      <c r="S39" s="109">
        <v>4</v>
      </c>
      <c r="T39" s="109">
        <v>8</v>
      </c>
      <c r="U39" s="139">
        <v>62</v>
      </c>
      <c r="V39" s="140">
        <v>496</v>
      </c>
    </row>
    <row r="40" spans="1:22" x14ac:dyDescent="0.25">
      <c r="A40" s="103">
        <v>4393</v>
      </c>
      <c r="B40" s="104" t="s">
        <v>17</v>
      </c>
      <c r="C40" s="104" t="s">
        <v>176</v>
      </c>
      <c r="D40" s="104" t="s">
        <v>65</v>
      </c>
      <c r="E40" s="104" t="s">
        <v>173</v>
      </c>
      <c r="F40" s="104">
        <v>2013</v>
      </c>
      <c r="G40" s="105">
        <v>42401.791666666664</v>
      </c>
      <c r="H40" s="105">
        <v>42412.958333333336</v>
      </c>
      <c r="I40" s="106">
        <v>42401</v>
      </c>
      <c r="J40" s="106">
        <v>42412</v>
      </c>
      <c r="K40" s="107" t="s">
        <v>526</v>
      </c>
      <c r="L40" s="107">
        <v>0.95833333333333337</v>
      </c>
      <c r="M40" s="107" t="s">
        <v>541</v>
      </c>
      <c r="N40" s="107" t="s">
        <v>528</v>
      </c>
      <c r="O40" s="107" t="s">
        <v>524</v>
      </c>
      <c r="P40" s="104" t="s">
        <v>23</v>
      </c>
      <c r="Q40" s="104" t="s">
        <v>38</v>
      </c>
      <c r="R40" s="104" t="s">
        <v>113</v>
      </c>
      <c r="S40" s="104">
        <v>2</v>
      </c>
      <c r="T40" s="104">
        <v>8</v>
      </c>
      <c r="U40" s="137">
        <v>31</v>
      </c>
      <c r="V40" s="138">
        <v>248</v>
      </c>
    </row>
    <row r="41" spans="1:22" x14ac:dyDescent="0.25">
      <c r="A41" s="108">
        <v>4394</v>
      </c>
      <c r="B41" s="109" t="s">
        <v>45</v>
      </c>
      <c r="C41" s="109" t="s">
        <v>177</v>
      </c>
      <c r="D41" s="109" t="s">
        <v>70</v>
      </c>
      <c r="E41" s="109" t="s">
        <v>174</v>
      </c>
      <c r="F41" s="109">
        <v>2013</v>
      </c>
      <c r="G41" s="110">
        <v>42401.791666666664</v>
      </c>
      <c r="H41" s="110">
        <v>42412.958333333336</v>
      </c>
      <c r="I41" s="111">
        <v>42401</v>
      </c>
      <c r="J41" s="111">
        <v>42412</v>
      </c>
      <c r="K41" s="112" t="s">
        <v>526</v>
      </c>
      <c r="L41" s="112">
        <v>0.95833333333333337</v>
      </c>
      <c r="M41" s="112" t="s">
        <v>541</v>
      </c>
      <c r="N41" s="112" t="s">
        <v>528</v>
      </c>
      <c r="O41" s="112" t="s">
        <v>524</v>
      </c>
      <c r="P41" s="109" t="s">
        <v>9</v>
      </c>
      <c r="Q41" s="109" t="s">
        <v>38</v>
      </c>
      <c r="R41" s="109" t="s">
        <v>113</v>
      </c>
      <c r="S41" s="109">
        <v>2</v>
      </c>
      <c r="T41" s="109">
        <v>8</v>
      </c>
      <c r="U41" s="139">
        <v>62</v>
      </c>
      <c r="V41" s="140">
        <v>496</v>
      </c>
    </row>
    <row r="42" spans="1:22" x14ac:dyDescent="0.25">
      <c r="A42" s="103">
        <v>4395</v>
      </c>
      <c r="B42" s="104" t="s">
        <v>22</v>
      </c>
      <c r="C42" s="104" t="s">
        <v>176</v>
      </c>
      <c r="D42" s="104" t="s">
        <v>62</v>
      </c>
      <c r="E42" s="104" t="s">
        <v>172</v>
      </c>
      <c r="F42" s="104">
        <v>2013</v>
      </c>
      <c r="G42" s="105">
        <v>42401.791666666664</v>
      </c>
      <c r="H42" s="105">
        <v>42412.958333333336</v>
      </c>
      <c r="I42" s="106">
        <v>42401</v>
      </c>
      <c r="J42" s="106">
        <v>42412</v>
      </c>
      <c r="K42" s="107" t="s">
        <v>526</v>
      </c>
      <c r="L42" s="107">
        <v>0.95833333333333337</v>
      </c>
      <c r="M42" s="107" t="s">
        <v>541</v>
      </c>
      <c r="N42" s="107" t="s">
        <v>528</v>
      </c>
      <c r="O42" s="107" t="s">
        <v>524</v>
      </c>
      <c r="P42" s="104" t="s">
        <v>23</v>
      </c>
      <c r="Q42" s="104" t="s">
        <v>38</v>
      </c>
      <c r="R42" s="104" t="s">
        <v>113</v>
      </c>
      <c r="S42" s="104">
        <v>3</v>
      </c>
      <c r="T42" s="104">
        <v>8</v>
      </c>
      <c r="U42" s="137">
        <v>61</v>
      </c>
      <c r="V42" s="138">
        <v>488</v>
      </c>
    </row>
    <row r="43" spans="1:22" x14ac:dyDescent="0.25">
      <c r="A43" s="108">
        <v>4396</v>
      </c>
      <c r="B43" s="109" t="s">
        <v>19</v>
      </c>
      <c r="C43" s="109" t="s">
        <v>176</v>
      </c>
      <c r="D43" s="109" t="s">
        <v>68</v>
      </c>
      <c r="E43" s="109" t="s">
        <v>172</v>
      </c>
      <c r="F43" s="109">
        <v>2013</v>
      </c>
      <c r="G43" s="110">
        <v>42401.791666666664</v>
      </c>
      <c r="H43" s="110">
        <v>42412.958333333336</v>
      </c>
      <c r="I43" s="111">
        <v>42401</v>
      </c>
      <c r="J43" s="111">
        <v>42412</v>
      </c>
      <c r="K43" s="112" t="s">
        <v>526</v>
      </c>
      <c r="L43" s="112">
        <v>0.95833333333333337</v>
      </c>
      <c r="M43" s="112" t="s">
        <v>541</v>
      </c>
      <c r="N43" s="112" t="s">
        <v>528</v>
      </c>
      <c r="O43" s="112" t="s">
        <v>524</v>
      </c>
      <c r="P43" s="109" t="s">
        <v>9</v>
      </c>
      <c r="Q43" s="109" t="s">
        <v>18</v>
      </c>
      <c r="R43" s="109" t="s">
        <v>113</v>
      </c>
      <c r="S43" s="109">
        <v>3</v>
      </c>
      <c r="T43" s="109">
        <v>10</v>
      </c>
      <c r="U43" s="139">
        <v>42</v>
      </c>
      <c r="V43" s="140">
        <v>420</v>
      </c>
    </row>
    <row r="44" spans="1:22" x14ac:dyDescent="0.25">
      <c r="A44" s="103">
        <v>4397</v>
      </c>
      <c r="B44" s="104" t="s">
        <v>19</v>
      </c>
      <c r="C44" s="104" t="s">
        <v>176</v>
      </c>
      <c r="D44" s="104" t="s">
        <v>71</v>
      </c>
      <c r="E44" s="104" t="s">
        <v>170</v>
      </c>
      <c r="F44" s="104">
        <v>2013</v>
      </c>
      <c r="G44" s="105">
        <v>42401.791666666664</v>
      </c>
      <c r="H44" s="105">
        <v>42412.958333333336</v>
      </c>
      <c r="I44" s="106">
        <v>42401</v>
      </c>
      <c r="J44" s="106">
        <v>42412</v>
      </c>
      <c r="K44" s="107" t="s">
        <v>526</v>
      </c>
      <c r="L44" s="107">
        <v>0.95833333333333337</v>
      </c>
      <c r="M44" s="107" t="s">
        <v>541</v>
      </c>
      <c r="N44" s="107" t="s">
        <v>528</v>
      </c>
      <c r="O44" s="107" t="s">
        <v>524</v>
      </c>
      <c r="P44" s="104" t="s">
        <v>9</v>
      </c>
      <c r="Q44" s="104" t="s">
        <v>16</v>
      </c>
      <c r="R44" s="104" t="s">
        <v>109</v>
      </c>
      <c r="S44" s="104">
        <v>3</v>
      </c>
      <c r="T44" s="104">
        <v>11</v>
      </c>
      <c r="U44" s="137">
        <v>41</v>
      </c>
      <c r="V44" s="138">
        <v>451</v>
      </c>
    </row>
    <row r="45" spans="1:22" x14ac:dyDescent="0.25">
      <c r="A45" s="108">
        <v>4398</v>
      </c>
      <c r="B45" s="109" t="s">
        <v>39</v>
      </c>
      <c r="C45" s="109" t="s">
        <v>177</v>
      </c>
      <c r="D45" s="109" t="s">
        <v>65</v>
      </c>
      <c r="E45" s="109" t="s">
        <v>173</v>
      </c>
      <c r="F45" s="109">
        <v>2013</v>
      </c>
      <c r="G45" s="110">
        <v>42404.375</v>
      </c>
      <c r="H45" s="110">
        <v>42410.75</v>
      </c>
      <c r="I45" s="111">
        <v>42404</v>
      </c>
      <c r="J45" s="111">
        <v>42410</v>
      </c>
      <c r="K45" s="112" t="s">
        <v>525</v>
      </c>
      <c r="L45" s="112">
        <v>0.75</v>
      </c>
      <c r="M45" s="112" t="s">
        <v>540</v>
      </c>
      <c r="N45" s="112" t="s">
        <v>528</v>
      </c>
      <c r="O45" s="112" t="s">
        <v>524</v>
      </c>
      <c r="P45" s="109" t="s">
        <v>9</v>
      </c>
      <c r="Q45" s="109" t="s">
        <v>24</v>
      </c>
      <c r="R45" s="109" t="s">
        <v>113</v>
      </c>
      <c r="S45" s="109">
        <v>3</v>
      </c>
      <c r="T45" s="109">
        <v>9</v>
      </c>
      <c r="U45" s="139">
        <v>31</v>
      </c>
      <c r="V45" s="140">
        <v>279</v>
      </c>
    </row>
    <row r="46" spans="1:22" x14ac:dyDescent="0.25">
      <c r="A46" s="103">
        <v>4399</v>
      </c>
      <c r="B46" s="104" t="s">
        <v>11</v>
      </c>
      <c r="C46" s="104" t="s">
        <v>175</v>
      </c>
      <c r="D46" s="104" t="s">
        <v>65</v>
      </c>
      <c r="E46" s="104" t="s">
        <v>173</v>
      </c>
      <c r="F46" s="104">
        <v>2013</v>
      </c>
      <c r="G46" s="105">
        <v>42404.375</v>
      </c>
      <c r="H46" s="105">
        <v>42410.75</v>
      </c>
      <c r="I46" s="106">
        <v>42404</v>
      </c>
      <c r="J46" s="106">
        <v>42410</v>
      </c>
      <c r="K46" s="107" t="s">
        <v>525</v>
      </c>
      <c r="L46" s="107">
        <v>0.75</v>
      </c>
      <c r="M46" s="107" t="s">
        <v>540</v>
      </c>
      <c r="N46" s="107" t="s">
        <v>528</v>
      </c>
      <c r="O46" s="107" t="s">
        <v>524</v>
      </c>
      <c r="P46" s="104" t="s">
        <v>23</v>
      </c>
      <c r="Q46" s="104" t="s">
        <v>26</v>
      </c>
      <c r="R46" s="104" t="s">
        <v>113</v>
      </c>
      <c r="S46" s="104">
        <v>5</v>
      </c>
      <c r="T46" s="104">
        <v>11</v>
      </c>
      <c r="U46" s="137">
        <v>31</v>
      </c>
      <c r="V46" s="138">
        <v>341</v>
      </c>
    </row>
    <row r="47" spans="1:22" x14ac:dyDescent="0.25">
      <c r="A47" s="108">
        <v>4400</v>
      </c>
      <c r="B47" s="109" t="s">
        <v>22</v>
      </c>
      <c r="C47" s="109" t="s">
        <v>176</v>
      </c>
      <c r="D47" s="109" t="s">
        <v>74</v>
      </c>
      <c r="E47" s="109" t="s">
        <v>168</v>
      </c>
      <c r="F47" s="109">
        <v>2013</v>
      </c>
      <c r="G47" s="110">
        <v>42405.333333333336</v>
      </c>
      <c r="H47" s="110">
        <v>42418.5</v>
      </c>
      <c r="I47" s="111">
        <v>42405</v>
      </c>
      <c r="J47" s="111">
        <v>42418</v>
      </c>
      <c r="K47" s="112" t="s">
        <v>522</v>
      </c>
      <c r="L47" s="112">
        <v>0.5</v>
      </c>
      <c r="M47" s="112" t="s">
        <v>539</v>
      </c>
      <c r="N47" s="112" t="s">
        <v>528</v>
      </c>
      <c r="O47" s="112" t="s">
        <v>524</v>
      </c>
      <c r="P47" s="109" t="s">
        <v>23</v>
      </c>
      <c r="Q47" s="109" t="s">
        <v>41</v>
      </c>
      <c r="R47" s="109" t="s">
        <v>113</v>
      </c>
      <c r="S47" s="109">
        <v>4</v>
      </c>
      <c r="T47" s="109">
        <v>12</v>
      </c>
      <c r="U47" s="139">
        <v>47</v>
      </c>
      <c r="V47" s="140">
        <v>564</v>
      </c>
    </row>
    <row r="48" spans="1:22" x14ac:dyDescent="0.25">
      <c r="A48" s="103">
        <v>4401</v>
      </c>
      <c r="B48" s="104" t="s">
        <v>17</v>
      </c>
      <c r="C48" s="104" t="s">
        <v>176</v>
      </c>
      <c r="D48" s="104" t="s">
        <v>71</v>
      </c>
      <c r="E48" s="104" t="s">
        <v>170</v>
      </c>
      <c r="F48" s="104">
        <v>2013</v>
      </c>
      <c r="G48" s="105">
        <v>42405.333333333336</v>
      </c>
      <c r="H48" s="105">
        <v>42418.5</v>
      </c>
      <c r="I48" s="106">
        <v>42405</v>
      </c>
      <c r="J48" s="106">
        <v>42418</v>
      </c>
      <c r="K48" s="107" t="s">
        <v>522</v>
      </c>
      <c r="L48" s="107">
        <v>0.5</v>
      </c>
      <c r="M48" s="107" t="s">
        <v>539</v>
      </c>
      <c r="N48" s="107" t="s">
        <v>528</v>
      </c>
      <c r="O48" s="107" t="s">
        <v>524</v>
      </c>
      <c r="P48" s="104" t="s">
        <v>9</v>
      </c>
      <c r="Q48" s="104" t="s">
        <v>16</v>
      </c>
      <c r="R48" s="104" t="s">
        <v>109</v>
      </c>
      <c r="S48" s="104">
        <v>3</v>
      </c>
      <c r="T48" s="104">
        <v>12</v>
      </c>
      <c r="U48" s="137">
        <v>41</v>
      </c>
      <c r="V48" s="138">
        <v>492</v>
      </c>
    </row>
    <row r="49" spans="1:22" x14ac:dyDescent="0.25">
      <c r="A49" s="108">
        <v>4402</v>
      </c>
      <c r="B49" s="109" t="s">
        <v>14</v>
      </c>
      <c r="C49" s="109" t="s">
        <v>175</v>
      </c>
      <c r="D49" s="109" t="s">
        <v>62</v>
      </c>
      <c r="E49" s="109" t="s">
        <v>172</v>
      </c>
      <c r="F49" s="109">
        <v>2013</v>
      </c>
      <c r="G49" s="110">
        <v>42406.375</v>
      </c>
      <c r="H49" s="110">
        <v>42411.75</v>
      </c>
      <c r="I49" s="111">
        <v>42406</v>
      </c>
      <c r="J49" s="111">
        <v>42411</v>
      </c>
      <c r="K49" s="112" t="s">
        <v>525</v>
      </c>
      <c r="L49" s="112">
        <v>0.75</v>
      </c>
      <c r="M49" s="112" t="s">
        <v>540</v>
      </c>
      <c r="N49" s="112" t="s">
        <v>528</v>
      </c>
      <c r="O49" s="112" t="s">
        <v>524</v>
      </c>
      <c r="P49" s="109" t="s">
        <v>23</v>
      </c>
      <c r="Q49" s="109" t="s">
        <v>24</v>
      </c>
      <c r="R49" s="109" t="s">
        <v>113</v>
      </c>
      <c r="S49" s="109">
        <v>5</v>
      </c>
      <c r="T49" s="109">
        <v>8</v>
      </c>
      <c r="U49" s="139">
        <v>61</v>
      </c>
      <c r="V49" s="140">
        <v>488</v>
      </c>
    </row>
    <row r="50" spans="1:22" x14ac:dyDescent="0.25">
      <c r="A50" s="103">
        <v>4403</v>
      </c>
      <c r="B50" s="104" t="s">
        <v>29</v>
      </c>
      <c r="C50" s="104" t="s">
        <v>177</v>
      </c>
      <c r="D50" s="104" t="s">
        <v>74</v>
      </c>
      <c r="E50" s="104" t="s">
        <v>168</v>
      </c>
      <c r="F50" s="104">
        <v>2013</v>
      </c>
      <c r="G50" s="105">
        <v>42408.791666666664</v>
      </c>
      <c r="H50" s="105">
        <v>42419.958333333336</v>
      </c>
      <c r="I50" s="106">
        <v>42408</v>
      </c>
      <c r="J50" s="106">
        <v>42419</v>
      </c>
      <c r="K50" s="107" t="s">
        <v>526</v>
      </c>
      <c r="L50" s="107">
        <v>0.95833333333333337</v>
      </c>
      <c r="M50" s="107" t="s">
        <v>541</v>
      </c>
      <c r="N50" s="107" t="s">
        <v>528</v>
      </c>
      <c r="O50" s="107" t="s">
        <v>524</v>
      </c>
      <c r="P50" s="104" t="s">
        <v>23</v>
      </c>
      <c r="Q50" s="104" t="s">
        <v>37</v>
      </c>
      <c r="R50" s="104" t="s">
        <v>113</v>
      </c>
      <c r="S50" s="104">
        <v>5</v>
      </c>
      <c r="T50" s="104">
        <v>12</v>
      </c>
      <c r="U50" s="137">
        <v>47</v>
      </c>
      <c r="V50" s="138">
        <v>564</v>
      </c>
    </row>
    <row r="51" spans="1:22" x14ac:dyDescent="0.25">
      <c r="A51" s="108">
        <v>4404</v>
      </c>
      <c r="B51" s="109" t="s">
        <v>7</v>
      </c>
      <c r="C51" s="109" t="s">
        <v>175</v>
      </c>
      <c r="D51" s="109" t="s">
        <v>65</v>
      </c>
      <c r="E51" s="109" t="s">
        <v>173</v>
      </c>
      <c r="F51" s="109">
        <v>2013</v>
      </c>
      <c r="G51" s="110">
        <v>42409.791666666664</v>
      </c>
      <c r="H51" s="110">
        <v>42422.958333333336</v>
      </c>
      <c r="I51" s="111">
        <v>42409</v>
      </c>
      <c r="J51" s="111">
        <v>42422</v>
      </c>
      <c r="K51" s="112" t="s">
        <v>526</v>
      </c>
      <c r="L51" s="112">
        <v>0.95833333333333337</v>
      </c>
      <c r="M51" s="112" t="s">
        <v>541</v>
      </c>
      <c r="N51" s="112" t="s">
        <v>528</v>
      </c>
      <c r="O51" s="112" t="s">
        <v>524</v>
      </c>
      <c r="P51" s="109" t="s">
        <v>9</v>
      </c>
      <c r="Q51" s="109" t="s">
        <v>190</v>
      </c>
      <c r="R51" s="109" t="s">
        <v>109</v>
      </c>
      <c r="S51" s="109">
        <v>3</v>
      </c>
      <c r="T51" s="109">
        <v>9</v>
      </c>
      <c r="U51" s="139">
        <v>31</v>
      </c>
      <c r="V51" s="140">
        <v>279</v>
      </c>
    </row>
    <row r="52" spans="1:22" x14ac:dyDescent="0.25">
      <c r="A52" s="103">
        <v>4405</v>
      </c>
      <c r="B52" s="104" t="s">
        <v>7</v>
      </c>
      <c r="C52" s="104" t="s">
        <v>175</v>
      </c>
      <c r="D52" s="104" t="s">
        <v>71</v>
      </c>
      <c r="E52" s="104" t="s">
        <v>170</v>
      </c>
      <c r="F52" s="104">
        <v>2013</v>
      </c>
      <c r="G52" s="105">
        <v>42409.791666666664</v>
      </c>
      <c r="H52" s="105">
        <v>42422.958333333336</v>
      </c>
      <c r="I52" s="106">
        <v>42409</v>
      </c>
      <c r="J52" s="106">
        <v>42422</v>
      </c>
      <c r="K52" s="107" t="s">
        <v>526</v>
      </c>
      <c r="L52" s="107">
        <v>0.95833333333333337</v>
      </c>
      <c r="M52" s="107" t="s">
        <v>541</v>
      </c>
      <c r="N52" s="107" t="s">
        <v>528</v>
      </c>
      <c r="O52" s="107" t="s">
        <v>524</v>
      </c>
      <c r="P52" s="104" t="s">
        <v>9</v>
      </c>
      <c r="Q52" s="104" t="s">
        <v>21</v>
      </c>
      <c r="R52" s="104" t="s">
        <v>113</v>
      </c>
      <c r="S52" s="104">
        <v>5</v>
      </c>
      <c r="T52" s="104">
        <v>10</v>
      </c>
      <c r="U52" s="137">
        <v>41</v>
      </c>
      <c r="V52" s="138">
        <v>410</v>
      </c>
    </row>
    <row r="53" spans="1:22" x14ac:dyDescent="0.25">
      <c r="A53" s="108">
        <v>4406</v>
      </c>
      <c r="B53" s="109" t="s">
        <v>14</v>
      </c>
      <c r="C53" s="109" t="s">
        <v>175</v>
      </c>
      <c r="D53" s="109" t="s">
        <v>67</v>
      </c>
      <c r="E53" s="109" t="s">
        <v>170</v>
      </c>
      <c r="F53" s="109">
        <v>2013</v>
      </c>
      <c r="G53" s="110">
        <v>42409.791666666664</v>
      </c>
      <c r="H53" s="110">
        <v>42422.958333333336</v>
      </c>
      <c r="I53" s="111">
        <v>42409</v>
      </c>
      <c r="J53" s="111">
        <v>42422</v>
      </c>
      <c r="K53" s="112" t="s">
        <v>526</v>
      </c>
      <c r="L53" s="112">
        <v>0.95833333333333337</v>
      </c>
      <c r="M53" s="112" t="s">
        <v>541</v>
      </c>
      <c r="N53" s="112" t="s">
        <v>528</v>
      </c>
      <c r="O53" s="112" t="s">
        <v>524</v>
      </c>
      <c r="P53" s="109" t="s">
        <v>23</v>
      </c>
      <c r="Q53" s="109" t="s">
        <v>44</v>
      </c>
      <c r="R53" s="109" t="s">
        <v>113</v>
      </c>
      <c r="S53" s="109">
        <v>4</v>
      </c>
      <c r="T53" s="109">
        <v>10</v>
      </c>
      <c r="U53" s="139">
        <v>47</v>
      </c>
      <c r="V53" s="140">
        <v>470</v>
      </c>
    </row>
    <row r="54" spans="1:22" x14ac:dyDescent="0.25">
      <c r="A54" s="103">
        <v>4407</v>
      </c>
      <c r="B54" s="104" t="s">
        <v>45</v>
      </c>
      <c r="C54" s="104" t="s">
        <v>177</v>
      </c>
      <c r="D54" s="104" t="s">
        <v>73</v>
      </c>
      <c r="E54" s="104" t="s">
        <v>169</v>
      </c>
      <c r="F54" s="104">
        <v>2013</v>
      </c>
      <c r="G54" s="105">
        <v>42409.791666666664</v>
      </c>
      <c r="H54" s="105">
        <v>42422.958333333336</v>
      </c>
      <c r="I54" s="106">
        <v>42409</v>
      </c>
      <c r="J54" s="106">
        <v>42422</v>
      </c>
      <c r="K54" s="107" t="s">
        <v>526</v>
      </c>
      <c r="L54" s="107">
        <v>0.95833333333333337</v>
      </c>
      <c r="M54" s="107" t="s">
        <v>541</v>
      </c>
      <c r="N54" s="107" t="s">
        <v>528</v>
      </c>
      <c r="O54" s="107" t="s">
        <v>524</v>
      </c>
      <c r="P54" s="104" t="s">
        <v>23</v>
      </c>
      <c r="Q54" s="104" t="s">
        <v>28</v>
      </c>
      <c r="R54" s="104" t="s">
        <v>109</v>
      </c>
      <c r="S54" s="104">
        <v>2</v>
      </c>
      <c r="T54" s="104">
        <v>9</v>
      </c>
      <c r="U54" s="137">
        <v>61</v>
      </c>
      <c r="V54" s="138">
        <v>549</v>
      </c>
    </row>
    <row r="55" spans="1:22" x14ac:dyDescent="0.25">
      <c r="A55" s="108">
        <v>4408</v>
      </c>
      <c r="B55" s="109" t="s">
        <v>7</v>
      </c>
      <c r="C55" s="109" t="s">
        <v>175</v>
      </c>
      <c r="D55" s="109" t="s">
        <v>64</v>
      </c>
      <c r="E55" s="109" t="s">
        <v>172</v>
      </c>
      <c r="F55" s="109">
        <v>2013</v>
      </c>
      <c r="G55" s="110">
        <v>42410.583333333336</v>
      </c>
      <c r="H55" s="110">
        <v>42423.75</v>
      </c>
      <c r="I55" s="111">
        <v>42410</v>
      </c>
      <c r="J55" s="111">
        <v>42423</v>
      </c>
      <c r="K55" s="112" t="s">
        <v>527</v>
      </c>
      <c r="L55" s="112">
        <v>0.75</v>
      </c>
      <c r="M55" s="112" t="s">
        <v>542</v>
      </c>
      <c r="N55" s="112" t="s">
        <v>528</v>
      </c>
      <c r="O55" s="112" t="s">
        <v>524</v>
      </c>
      <c r="P55" s="109" t="s">
        <v>9</v>
      </c>
      <c r="Q55" s="109" t="s">
        <v>44</v>
      </c>
      <c r="R55" s="109" t="s">
        <v>113</v>
      </c>
      <c r="S55" s="109">
        <v>4</v>
      </c>
      <c r="T55" s="109">
        <v>12</v>
      </c>
      <c r="U55" s="139">
        <v>73</v>
      </c>
      <c r="V55" s="140">
        <v>876</v>
      </c>
    </row>
    <row r="56" spans="1:22" x14ac:dyDescent="0.25">
      <c r="A56" s="103">
        <v>4409</v>
      </c>
      <c r="B56" s="104" t="s">
        <v>11</v>
      </c>
      <c r="C56" s="104" t="s">
        <v>175</v>
      </c>
      <c r="D56" s="104" t="s">
        <v>71</v>
      </c>
      <c r="E56" s="104" t="s">
        <v>170</v>
      </c>
      <c r="F56" s="104">
        <v>2013</v>
      </c>
      <c r="G56" s="105">
        <v>42410.583333333336</v>
      </c>
      <c r="H56" s="105">
        <v>42423.75</v>
      </c>
      <c r="I56" s="106">
        <v>42410</v>
      </c>
      <c r="J56" s="106">
        <v>42423</v>
      </c>
      <c r="K56" s="107" t="s">
        <v>527</v>
      </c>
      <c r="L56" s="107">
        <v>0.75</v>
      </c>
      <c r="M56" s="107" t="s">
        <v>542</v>
      </c>
      <c r="N56" s="107" t="s">
        <v>528</v>
      </c>
      <c r="O56" s="107" t="s">
        <v>524</v>
      </c>
      <c r="P56" s="104" t="s">
        <v>9</v>
      </c>
      <c r="Q56" s="104" t="s">
        <v>38</v>
      </c>
      <c r="R56" s="104" t="s">
        <v>113</v>
      </c>
      <c r="S56" s="104">
        <v>5</v>
      </c>
      <c r="T56" s="104">
        <v>11</v>
      </c>
      <c r="U56" s="137">
        <v>41</v>
      </c>
      <c r="V56" s="138">
        <v>451</v>
      </c>
    </row>
    <row r="57" spans="1:22" x14ac:dyDescent="0.25">
      <c r="A57" s="108">
        <v>4410</v>
      </c>
      <c r="B57" s="109" t="s">
        <v>17</v>
      </c>
      <c r="C57" s="109" t="s">
        <v>176</v>
      </c>
      <c r="D57" s="109" t="s">
        <v>68</v>
      </c>
      <c r="E57" s="109" t="s">
        <v>172</v>
      </c>
      <c r="F57" s="109">
        <v>2013</v>
      </c>
      <c r="G57" s="110">
        <v>42410.583333333336</v>
      </c>
      <c r="H57" s="110">
        <v>42423.75</v>
      </c>
      <c r="I57" s="111">
        <v>42410</v>
      </c>
      <c r="J57" s="111">
        <v>42423</v>
      </c>
      <c r="K57" s="112" t="s">
        <v>527</v>
      </c>
      <c r="L57" s="112">
        <v>0.75</v>
      </c>
      <c r="M57" s="112" t="s">
        <v>542</v>
      </c>
      <c r="N57" s="112" t="s">
        <v>528</v>
      </c>
      <c r="O57" s="112" t="s">
        <v>524</v>
      </c>
      <c r="P57" s="109" t="s">
        <v>9</v>
      </c>
      <c r="Q57" s="109" t="s">
        <v>44</v>
      </c>
      <c r="R57" s="109" t="s">
        <v>113</v>
      </c>
      <c r="S57" s="109">
        <v>3</v>
      </c>
      <c r="T57" s="109">
        <v>9</v>
      </c>
      <c r="U57" s="139">
        <v>42</v>
      </c>
      <c r="V57" s="140">
        <v>378</v>
      </c>
    </row>
    <row r="58" spans="1:22" x14ac:dyDescent="0.25">
      <c r="A58" s="103">
        <v>4411</v>
      </c>
      <c r="B58" s="104" t="s">
        <v>17</v>
      </c>
      <c r="C58" s="104" t="s">
        <v>176</v>
      </c>
      <c r="D58" s="104" t="s">
        <v>73</v>
      </c>
      <c r="E58" s="104" t="s">
        <v>169</v>
      </c>
      <c r="F58" s="104">
        <v>2013</v>
      </c>
      <c r="G58" s="105">
        <v>42413.375</v>
      </c>
      <c r="H58" s="105">
        <v>42418.75</v>
      </c>
      <c r="I58" s="106">
        <v>42413</v>
      </c>
      <c r="J58" s="106">
        <v>42418</v>
      </c>
      <c r="K58" s="107" t="s">
        <v>525</v>
      </c>
      <c r="L58" s="107">
        <v>0.75</v>
      </c>
      <c r="M58" s="107" t="s">
        <v>540</v>
      </c>
      <c r="N58" s="107" t="s">
        <v>528</v>
      </c>
      <c r="O58" s="107" t="s">
        <v>524</v>
      </c>
      <c r="P58" s="104" t="s">
        <v>23</v>
      </c>
      <c r="Q58" s="104" t="s">
        <v>22</v>
      </c>
      <c r="R58" s="104" t="s">
        <v>109</v>
      </c>
      <c r="S58" s="104">
        <v>5</v>
      </c>
      <c r="T58" s="104">
        <v>9</v>
      </c>
      <c r="U58" s="137">
        <v>61</v>
      </c>
      <c r="V58" s="138">
        <v>549</v>
      </c>
    </row>
    <row r="59" spans="1:22" x14ac:dyDescent="0.25">
      <c r="A59" s="108">
        <v>4412</v>
      </c>
      <c r="B59" s="109" t="s">
        <v>11</v>
      </c>
      <c r="C59" s="109" t="s">
        <v>175</v>
      </c>
      <c r="D59" s="109" t="s">
        <v>70</v>
      </c>
      <c r="E59" s="109" t="s">
        <v>174</v>
      </c>
      <c r="F59" s="109">
        <v>2013</v>
      </c>
      <c r="G59" s="110">
        <v>42413.375</v>
      </c>
      <c r="H59" s="110">
        <v>42418.75</v>
      </c>
      <c r="I59" s="111">
        <v>42413</v>
      </c>
      <c r="J59" s="111">
        <v>42418</v>
      </c>
      <c r="K59" s="112" t="s">
        <v>525</v>
      </c>
      <c r="L59" s="112">
        <v>0.75</v>
      </c>
      <c r="M59" s="112" t="s">
        <v>540</v>
      </c>
      <c r="N59" s="112" t="s">
        <v>528</v>
      </c>
      <c r="O59" s="112" t="s">
        <v>524</v>
      </c>
      <c r="P59" s="109" t="s">
        <v>23</v>
      </c>
      <c r="Q59" s="109" t="s">
        <v>190</v>
      </c>
      <c r="R59" s="109" t="s">
        <v>109</v>
      </c>
      <c r="S59" s="109">
        <v>4</v>
      </c>
      <c r="T59" s="109">
        <v>10</v>
      </c>
      <c r="U59" s="139">
        <v>62</v>
      </c>
      <c r="V59" s="140">
        <v>620</v>
      </c>
    </row>
    <row r="60" spans="1:22" x14ac:dyDescent="0.25">
      <c r="A60" s="103">
        <v>4413</v>
      </c>
      <c r="B60" s="104" t="s">
        <v>19</v>
      </c>
      <c r="C60" s="104" t="s">
        <v>176</v>
      </c>
      <c r="D60" s="104" t="s">
        <v>68</v>
      </c>
      <c r="E60" s="104" t="s">
        <v>172</v>
      </c>
      <c r="F60" s="104">
        <v>2013</v>
      </c>
      <c r="G60" s="105">
        <v>42415.791666666664</v>
      </c>
      <c r="H60" s="105">
        <v>42426.958333333336</v>
      </c>
      <c r="I60" s="106">
        <v>42415</v>
      </c>
      <c r="J60" s="106">
        <v>42426</v>
      </c>
      <c r="K60" s="107" t="s">
        <v>526</v>
      </c>
      <c r="L60" s="107">
        <v>0.95833333333333337</v>
      </c>
      <c r="M60" s="107" t="s">
        <v>541</v>
      </c>
      <c r="N60" s="107" t="s">
        <v>528</v>
      </c>
      <c r="O60" s="107" t="s">
        <v>524</v>
      </c>
      <c r="P60" s="104" t="s">
        <v>9</v>
      </c>
      <c r="Q60" s="104" t="s">
        <v>24</v>
      </c>
      <c r="R60" s="104" t="s">
        <v>113</v>
      </c>
      <c r="S60" s="104">
        <v>5</v>
      </c>
      <c r="T60" s="104">
        <v>11</v>
      </c>
      <c r="U60" s="137">
        <v>42</v>
      </c>
      <c r="V60" s="138">
        <v>462</v>
      </c>
    </row>
    <row r="61" spans="1:22" x14ac:dyDescent="0.25">
      <c r="A61" s="108">
        <v>4414</v>
      </c>
      <c r="B61" s="109" t="s">
        <v>19</v>
      </c>
      <c r="C61" s="109" t="s">
        <v>176</v>
      </c>
      <c r="D61" s="109" t="s">
        <v>66</v>
      </c>
      <c r="E61" s="109" t="s">
        <v>169</v>
      </c>
      <c r="F61" s="109">
        <v>2013</v>
      </c>
      <c r="G61" s="110">
        <v>42416.791666666664</v>
      </c>
      <c r="H61" s="110">
        <v>42429.958333333336</v>
      </c>
      <c r="I61" s="111">
        <v>42416</v>
      </c>
      <c r="J61" s="111">
        <v>42429</v>
      </c>
      <c r="K61" s="112" t="s">
        <v>526</v>
      </c>
      <c r="L61" s="112">
        <v>0.95833333333333337</v>
      </c>
      <c r="M61" s="112" t="s">
        <v>541</v>
      </c>
      <c r="N61" s="112" t="s">
        <v>528</v>
      </c>
      <c r="O61" s="112" t="s">
        <v>524</v>
      </c>
      <c r="P61" s="109" t="s">
        <v>23</v>
      </c>
      <c r="Q61" s="109" t="s">
        <v>31</v>
      </c>
      <c r="R61" s="109" t="s">
        <v>113</v>
      </c>
      <c r="S61" s="109">
        <v>5</v>
      </c>
      <c r="T61" s="109">
        <v>8</v>
      </c>
      <c r="U61" s="139">
        <v>47</v>
      </c>
      <c r="V61" s="140">
        <v>376</v>
      </c>
    </row>
    <row r="62" spans="1:22" x14ac:dyDescent="0.25">
      <c r="A62" s="103">
        <v>4415</v>
      </c>
      <c r="B62" s="104" t="s">
        <v>11</v>
      </c>
      <c r="C62" s="104" t="s">
        <v>175</v>
      </c>
      <c r="D62" s="104" t="s">
        <v>65</v>
      </c>
      <c r="E62" s="104" t="s">
        <v>173</v>
      </c>
      <c r="F62" s="104">
        <v>2013</v>
      </c>
      <c r="G62" s="105">
        <v>42418.375</v>
      </c>
      <c r="H62" s="105">
        <v>42424.75</v>
      </c>
      <c r="I62" s="106">
        <v>42418</v>
      </c>
      <c r="J62" s="106">
        <v>42424</v>
      </c>
      <c r="K62" s="107" t="s">
        <v>525</v>
      </c>
      <c r="L62" s="107">
        <v>0.75</v>
      </c>
      <c r="M62" s="107" t="s">
        <v>540</v>
      </c>
      <c r="N62" s="107" t="s">
        <v>528</v>
      </c>
      <c r="O62" s="107" t="s">
        <v>524</v>
      </c>
      <c r="P62" s="104" t="s">
        <v>23</v>
      </c>
      <c r="Q62" s="104" t="s">
        <v>190</v>
      </c>
      <c r="R62" s="104" t="s">
        <v>109</v>
      </c>
      <c r="S62" s="104">
        <v>5</v>
      </c>
      <c r="T62" s="104">
        <v>11</v>
      </c>
      <c r="U62" s="137">
        <v>31</v>
      </c>
      <c r="V62" s="138">
        <v>341</v>
      </c>
    </row>
    <row r="63" spans="1:22" x14ac:dyDescent="0.25">
      <c r="A63" s="108">
        <v>4416</v>
      </c>
      <c r="B63" s="109" t="s">
        <v>22</v>
      </c>
      <c r="C63" s="109" t="s">
        <v>176</v>
      </c>
      <c r="D63" s="109" t="s">
        <v>64</v>
      </c>
      <c r="E63" s="109" t="s">
        <v>172</v>
      </c>
      <c r="F63" s="109">
        <v>2013</v>
      </c>
      <c r="G63" s="110">
        <v>42419.333333333336</v>
      </c>
      <c r="H63" s="110">
        <v>42432.5</v>
      </c>
      <c r="I63" s="111">
        <v>42419</v>
      </c>
      <c r="J63" s="111">
        <v>42432</v>
      </c>
      <c r="K63" s="112" t="s">
        <v>522</v>
      </c>
      <c r="L63" s="112">
        <v>0.5</v>
      </c>
      <c r="M63" s="112" t="s">
        <v>539</v>
      </c>
      <c r="N63" s="112" t="s">
        <v>528</v>
      </c>
      <c r="O63" s="112" t="s">
        <v>524</v>
      </c>
      <c r="P63" s="109" t="s">
        <v>23</v>
      </c>
      <c r="Q63" s="109" t="s">
        <v>18</v>
      </c>
      <c r="R63" s="109" t="s">
        <v>113</v>
      </c>
      <c r="S63" s="109">
        <v>4</v>
      </c>
      <c r="T63" s="109">
        <v>12</v>
      </c>
      <c r="U63" s="139">
        <v>73</v>
      </c>
      <c r="V63" s="140">
        <v>876</v>
      </c>
    </row>
    <row r="64" spans="1:22" x14ac:dyDescent="0.25">
      <c r="A64" s="103">
        <v>4417</v>
      </c>
      <c r="B64" s="104" t="s">
        <v>19</v>
      </c>
      <c r="C64" s="104" t="s">
        <v>176</v>
      </c>
      <c r="D64" s="104" t="s">
        <v>66</v>
      </c>
      <c r="E64" s="104" t="s">
        <v>169</v>
      </c>
      <c r="F64" s="104">
        <v>2013</v>
      </c>
      <c r="G64" s="105">
        <v>42419.333333333336</v>
      </c>
      <c r="H64" s="105">
        <v>42432.5</v>
      </c>
      <c r="I64" s="106">
        <v>42419</v>
      </c>
      <c r="J64" s="106">
        <v>42432</v>
      </c>
      <c r="K64" s="107" t="s">
        <v>522</v>
      </c>
      <c r="L64" s="107">
        <v>0.5</v>
      </c>
      <c r="M64" s="107" t="s">
        <v>539</v>
      </c>
      <c r="N64" s="107" t="s">
        <v>528</v>
      </c>
      <c r="O64" s="107" t="s">
        <v>524</v>
      </c>
      <c r="P64" s="104" t="s">
        <v>23</v>
      </c>
      <c r="Q64" s="104" t="s">
        <v>190</v>
      </c>
      <c r="R64" s="104" t="s">
        <v>109</v>
      </c>
      <c r="S64" s="104">
        <v>2</v>
      </c>
      <c r="T64" s="104">
        <v>12</v>
      </c>
      <c r="U64" s="137">
        <v>47</v>
      </c>
      <c r="V64" s="138">
        <v>564</v>
      </c>
    </row>
    <row r="65" spans="1:22" x14ac:dyDescent="0.25">
      <c r="A65" s="108">
        <v>4418</v>
      </c>
      <c r="B65" s="109" t="s">
        <v>17</v>
      </c>
      <c r="C65" s="109" t="s">
        <v>176</v>
      </c>
      <c r="D65" s="109" t="s">
        <v>64</v>
      </c>
      <c r="E65" s="109" t="s">
        <v>172</v>
      </c>
      <c r="F65" s="109">
        <v>2013</v>
      </c>
      <c r="G65" s="110">
        <v>42420.375</v>
      </c>
      <c r="H65" s="110">
        <v>42425.75</v>
      </c>
      <c r="I65" s="111">
        <v>42420</v>
      </c>
      <c r="J65" s="111">
        <v>42425</v>
      </c>
      <c r="K65" s="112" t="s">
        <v>525</v>
      </c>
      <c r="L65" s="112">
        <v>0.75</v>
      </c>
      <c r="M65" s="112" t="s">
        <v>540</v>
      </c>
      <c r="N65" s="112" t="s">
        <v>528</v>
      </c>
      <c r="O65" s="112" t="s">
        <v>524</v>
      </c>
      <c r="P65" s="109" t="s">
        <v>9</v>
      </c>
      <c r="Q65" s="109" t="s">
        <v>37</v>
      </c>
      <c r="R65" s="109" t="s">
        <v>113</v>
      </c>
      <c r="S65" s="109">
        <v>4</v>
      </c>
      <c r="T65" s="109">
        <v>9</v>
      </c>
      <c r="U65" s="139">
        <v>73</v>
      </c>
      <c r="V65" s="140">
        <v>657</v>
      </c>
    </row>
    <row r="66" spans="1:22" x14ac:dyDescent="0.25">
      <c r="A66" s="103">
        <v>4419</v>
      </c>
      <c r="B66" s="104" t="s">
        <v>29</v>
      </c>
      <c r="C66" s="104" t="s">
        <v>177</v>
      </c>
      <c r="D66" s="104" t="s">
        <v>65</v>
      </c>
      <c r="E66" s="104" t="s">
        <v>173</v>
      </c>
      <c r="F66" s="104">
        <v>2013</v>
      </c>
      <c r="G66" s="105">
        <v>42422.791666666664</v>
      </c>
      <c r="H66" s="105">
        <v>42433.958333333336</v>
      </c>
      <c r="I66" s="106">
        <v>42422</v>
      </c>
      <c r="J66" s="106">
        <v>42433</v>
      </c>
      <c r="K66" s="107" t="s">
        <v>526</v>
      </c>
      <c r="L66" s="107">
        <v>0.95833333333333337</v>
      </c>
      <c r="M66" s="107" t="s">
        <v>541</v>
      </c>
      <c r="N66" s="107" t="s">
        <v>528</v>
      </c>
      <c r="O66" s="107" t="s">
        <v>524</v>
      </c>
      <c r="P66" s="104" t="s">
        <v>23</v>
      </c>
      <c r="Q66" s="104" t="s">
        <v>16</v>
      </c>
      <c r="R66" s="104" t="s">
        <v>109</v>
      </c>
      <c r="S66" s="104">
        <v>2</v>
      </c>
      <c r="T66" s="104">
        <v>9</v>
      </c>
      <c r="U66" s="137">
        <v>31</v>
      </c>
      <c r="V66" s="138">
        <v>279</v>
      </c>
    </row>
    <row r="67" spans="1:22" x14ac:dyDescent="0.25">
      <c r="A67" s="108">
        <v>4420</v>
      </c>
      <c r="B67" s="109" t="s">
        <v>22</v>
      </c>
      <c r="C67" s="109" t="s">
        <v>176</v>
      </c>
      <c r="D67" s="109" t="s">
        <v>72</v>
      </c>
      <c r="E67" s="109" t="s">
        <v>172</v>
      </c>
      <c r="F67" s="109">
        <v>2013</v>
      </c>
      <c r="G67" s="110">
        <v>42423.791666666664</v>
      </c>
      <c r="H67" s="110">
        <v>42436.958333333336</v>
      </c>
      <c r="I67" s="111">
        <v>42423</v>
      </c>
      <c r="J67" s="111">
        <v>42436</v>
      </c>
      <c r="K67" s="112" t="s">
        <v>526</v>
      </c>
      <c r="L67" s="112">
        <v>0.95833333333333337</v>
      </c>
      <c r="M67" s="112" t="s">
        <v>541</v>
      </c>
      <c r="N67" s="112" t="s">
        <v>528</v>
      </c>
      <c r="O67" s="112" t="s">
        <v>524</v>
      </c>
      <c r="P67" s="109" t="s">
        <v>9</v>
      </c>
      <c r="Q67" s="109" t="s">
        <v>16</v>
      </c>
      <c r="R67" s="109" t="s">
        <v>109</v>
      </c>
      <c r="S67" s="109">
        <v>3</v>
      </c>
      <c r="T67" s="109">
        <v>10</v>
      </c>
      <c r="U67" s="139">
        <v>33</v>
      </c>
      <c r="V67" s="140">
        <v>330</v>
      </c>
    </row>
    <row r="68" spans="1:22" x14ac:dyDescent="0.25">
      <c r="A68" s="103">
        <v>4421</v>
      </c>
      <c r="B68" s="104" t="s">
        <v>17</v>
      </c>
      <c r="C68" s="104" t="s">
        <v>176</v>
      </c>
      <c r="D68" s="104" t="s">
        <v>72</v>
      </c>
      <c r="E68" s="104" t="s">
        <v>172</v>
      </c>
      <c r="F68" s="104">
        <v>2013</v>
      </c>
      <c r="G68" s="105">
        <v>42423.791666666664</v>
      </c>
      <c r="H68" s="105">
        <v>42436.958333333336</v>
      </c>
      <c r="I68" s="106">
        <v>42423</v>
      </c>
      <c r="J68" s="106">
        <v>42436</v>
      </c>
      <c r="K68" s="107" t="s">
        <v>526</v>
      </c>
      <c r="L68" s="107">
        <v>0.95833333333333337</v>
      </c>
      <c r="M68" s="107" t="s">
        <v>541</v>
      </c>
      <c r="N68" s="107" t="s">
        <v>528</v>
      </c>
      <c r="O68" s="107" t="s">
        <v>524</v>
      </c>
      <c r="P68" s="104" t="s">
        <v>23</v>
      </c>
      <c r="Q68" s="104" t="s">
        <v>38</v>
      </c>
      <c r="R68" s="104" t="s">
        <v>113</v>
      </c>
      <c r="S68" s="104">
        <v>5</v>
      </c>
      <c r="T68" s="104">
        <v>11</v>
      </c>
      <c r="U68" s="137">
        <v>33</v>
      </c>
      <c r="V68" s="138">
        <v>363</v>
      </c>
    </row>
    <row r="69" spans="1:22" x14ac:dyDescent="0.25">
      <c r="A69" s="108">
        <v>4422</v>
      </c>
      <c r="B69" s="109" t="s">
        <v>19</v>
      </c>
      <c r="C69" s="109" t="s">
        <v>176</v>
      </c>
      <c r="D69" s="109" t="s">
        <v>66</v>
      </c>
      <c r="E69" s="109" t="s">
        <v>169</v>
      </c>
      <c r="F69" s="109">
        <v>2013</v>
      </c>
      <c r="G69" s="110">
        <v>42424.583333333336</v>
      </c>
      <c r="H69" s="110">
        <v>42437.75</v>
      </c>
      <c r="I69" s="111">
        <v>42424</v>
      </c>
      <c r="J69" s="111">
        <v>42437</v>
      </c>
      <c r="K69" s="112" t="s">
        <v>527</v>
      </c>
      <c r="L69" s="112">
        <v>0.75</v>
      </c>
      <c r="M69" s="112" t="s">
        <v>542</v>
      </c>
      <c r="N69" s="112" t="s">
        <v>528</v>
      </c>
      <c r="O69" s="112" t="s">
        <v>524</v>
      </c>
      <c r="P69" s="109" t="s">
        <v>9</v>
      </c>
      <c r="Q69" s="109" t="s">
        <v>12</v>
      </c>
      <c r="R69" s="109" t="s">
        <v>113</v>
      </c>
      <c r="S69" s="109">
        <v>2</v>
      </c>
      <c r="T69" s="109">
        <v>12</v>
      </c>
      <c r="U69" s="139">
        <v>47</v>
      </c>
      <c r="V69" s="140">
        <v>564</v>
      </c>
    </row>
    <row r="70" spans="1:22" x14ac:dyDescent="0.25">
      <c r="A70" s="103">
        <v>4423</v>
      </c>
      <c r="B70" s="104" t="s">
        <v>11</v>
      </c>
      <c r="C70" s="104" t="s">
        <v>175</v>
      </c>
      <c r="D70" s="104" t="s">
        <v>64</v>
      </c>
      <c r="E70" s="104" t="s">
        <v>172</v>
      </c>
      <c r="F70" s="104">
        <v>2013</v>
      </c>
      <c r="G70" s="105">
        <v>42424.583333333336</v>
      </c>
      <c r="H70" s="105">
        <v>42437.75</v>
      </c>
      <c r="I70" s="106">
        <v>42424</v>
      </c>
      <c r="J70" s="106">
        <v>42437</v>
      </c>
      <c r="K70" s="107" t="s">
        <v>527</v>
      </c>
      <c r="L70" s="107">
        <v>0.75</v>
      </c>
      <c r="M70" s="107" t="s">
        <v>542</v>
      </c>
      <c r="N70" s="107" t="s">
        <v>528</v>
      </c>
      <c r="O70" s="107" t="s">
        <v>524</v>
      </c>
      <c r="P70" s="104" t="s">
        <v>23</v>
      </c>
      <c r="Q70" s="104" t="s">
        <v>16</v>
      </c>
      <c r="R70" s="104" t="s">
        <v>109</v>
      </c>
      <c r="S70" s="104">
        <v>3</v>
      </c>
      <c r="T70" s="104">
        <v>11</v>
      </c>
      <c r="U70" s="137">
        <v>73</v>
      </c>
      <c r="V70" s="138">
        <v>803</v>
      </c>
    </row>
    <row r="71" spans="1:22" x14ac:dyDescent="0.25">
      <c r="A71" s="108">
        <v>4424</v>
      </c>
      <c r="B71" s="109" t="s">
        <v>29</v>
      </c>
      <c r="C71" s="109" t="s">
        <v>177</v>
      </c>
      <c r="D71" s="109" t="s">
        <v>63</v>
      </c>
      <c r="E71" s="109" t="s">
        <v>172</v>
      </c>
      <c r="F71" s="109">
        <v>2013</v>
      </c>
      <c r="G71" s="110">
        <v>42426.333333333336</v>
      </c>
      <c r="H71" s="110">
        <v>42439.5</v>
      </c>
      <c r="I71" s="111">
        <v>42426</v>
      </c>
      <c r="J71" s="111">
        <v>42439</v>
      </c>
      <c r="K71" s="112" t="s">
        <v>522</v>
      </c>
      <c r="L71" s="112">
        <v>0.5</v>
      </c>
      <c r="M71" s="112" t="s">
        <v>539</v>
      </c>
      <c r="N71" s="112" t="s">
        <v>528</v>
      </c>
      <c r="O71" s="112" t="s">
        <v>524</v>
      </c>
      <c r="P71" s="109" t="s">
        <v>23</v>
      </c>
      <c r="Q71" s="109" t="s">
        <v>16</v>
      </c>
      <c r="R71" s="109" t="s">
        <v>109</v>
      </c>
      <c r="S71" s="109">
        <v>4</v>
      </c>
      <c r="T71" s="109">
        <v>12</v>
      </c>
      <c r="U71" s="139">
        <v>51</v>
      </c>
      <c r="V71" s="140">
        <v>612</v>
      </c>
    </row>
    <row r="72" spans="1:22" x14ac:dyDescent="0.25">
      <c r="A72" s="103">
        <v>4425</v>
      </c>
      <c r="B72" s="104" t="s">
        <v>19</v>
      </c>
      <c r="C72" s="104" t="s">
        <v>176</v>
      </c>
      <c r="D72" s="104" t="s">
        <v>67</v>
      </c>
      <c r="E72" s="104" t="s">
        <v>170</v>
      </c>
      <c r="F72" s="104">
        <v>2013</v>
      </c>
      <c r="G72" s="105">
        <v>42426.333333333336</v>
      </c>
      <c r="H72" s="105">
        <v>42439.5</v>
      </c>
      <c r="I72" s="106">
        <v>42426</v>
      </c>
      <c r="J72" s="106">
        <v>42439</v>
      </c>
      <c r="K72" s="107" t="s">
        <v>522</v>
      </c>
      <c r="L72" s="107">
        <v>0.5</v>
      </c>
      <c r="M72" s="107" t="s">
        <v>539</v>
      </c>
      <c r="N72" s="107" t="s">
        <v>528</v>
      </c>
      <c r="O72" s="107" t="s">
        <v>524</v>
      </c>
      <c r="P72" s="104" t="s">
        <v>9</v>
      </c>
      <c r="Q72" s="104" t="s">
        <v>16</v>
      </c>
      <c r="R72" s="104" t="s">
        <v>109</v>
      </c>
      <c r="S72" s="104">
        <v>3</v>
      </c>
      <c r="T72" s="104">
        <v>8</v>
      </c>
      <c r="U72" s="137">
        <v>47</v>
      </c>
      <c r="V72" s="138">
        <v>376</v>
      </c>
    </row>
    <row r="73" spans="1:22" x14ac:dyDescent="0.25">
      <c r="A73" s="108">
        <v>4426</v>
      </c>
      <c r="B73" s="109" t="s">
        <v>11</v>
      </c>
      <c r="C73" s="109" t="s">
        <v>175</v>
      </c>
      <c r="D73" s="109" t="s">
        <v>70</v>
      </c>
      <c r="E73" s="109" t="s">
        <v>174</v>
      </c>
      <c r="F73" s="109">
        <v>2013</v>
      </c>
      <c r="G73" s="110">
        <v>42427.375</v>
      </c>
      <c r="H73" s="110">
        <v>42432.75</v>
      </c>
      <c r="I73" s="111">
        <v>42427</v>
      </c>
      <c r="J73" s="111">
        <v>42432</v>
      </c>
      <c r="K73" s="112" t="s">
        <v>525</v>
      </c>
      <c r="L73" s="112">
        <v>0.75</v>
      </c>
      <c r="M73" s="112" t="s">
        <v>540</v>
      </c>
      <c r="N73" s="112" t="s">
        <v>528</v>
      </c>
      <c r="O73" s="112" t="s">
        <v>524</v>
      </c>
      <c r="P73" s="109" t="s">
        <v>23</v>
      </c>
      <c r="Q73" s="109" t="s">
        <v>33</v>
      </c>
      <c r="R73" s="109" t="s">
        <v>113</v>
      </c>
      <c r="S73" s="109">
        <v>4</v>
      </c>
      <c r="T73" s="109">
        <v>12</v>
      </c>
      <c r="U73" s="139">
        <v>62</v>
      </c>
      <c r="V73" s="140">
        <v>744</v>
      </c>
    </row>
    <row r="74" spans="1:22" x14ac:dyDescent="0.25">
      <c r="A74" s="103">
        <v>4427</v>
      </c>
      <c r="B74" s="104" t="s">
        <v>7</v>
      </c>
      <c r="C74" s="104" t="s">
        <v>175</v>
      </c>
      <c r="D74" s="104" t="s">
        <v>70</v>
      </c>
      <c r="E74" s="104" t="s">
        <v>174</v>
      </c>
      <c r="F74" s="104">
        <v>2013</v>
      </c>
      <c r="G74" s="105">
        <v>42427.375</v>
      </c>
      <c r="H74" s="105">
        <v>42432.75</v>
      </c>
      <c r="I74" s="106">
        <v>42427</v>
      </c>
      <c r="J74" s="106">
        <v>42432</v>
      </c>
      <c r="K74" s="107" t="s">
        <v>525</v>
      </c>
      <c r="L74" s="107">
        <v>0.75</v>
      </c>
      <c r="M74" s="107" t="s">
        <v>540</v>
      </c>
      <c r="N74" s="107" t="s">
        <v>528</v>
      </c>
      <c r="O74" s="107" t="s">
        <v>524</v>
      </c>
      <c r="P74" s="104" t="s">
        <v>9</v>
      </c>
      <c r="Q74" s="104" t="s">
        <v>190</v>
      </c>
      <c r="R74" s="104" t="s">
        <v>109</v>
      </c>
      <c r="S74" s="104">
        <v>2</v>
      </c>
      <c r="T74" s="104">
        <v>12</v>
      </c>
      <c r="U74" s="137">
        <v>62</v>
      </c>
      <c r="V74" s="138">
        <v>744</v>
      </c>
    </row>
    <row r="75" spans="1:22" x14ac:dyDescent="0.25">
      <c r="A75" s="108">
        <v>4428</v>
      </c>
      <c r="B75" s="109" t="s">
        <v>11</v>
      </c>
      <c r="C75" s="109" t="s">
        <v>175</v>
      </c>
      <c r="D75" s="109" t="s">
        <v>74</v>
      </c>
      <c r="E75" s="109" t="s">
        <v>168</v>
      </c>
      <c r="F75" s="109">
        <v>2013</v>
      </c>
      <c r="G75" s="110">
        <v>42429.791666666664</v>
      </c>
      <c r="H75" s="110">
        <v>42440.958333333336</v>
      </c>
      <c r="I75" s="111">
        <v>42429</v>
      </c>
      <c r="J75" s="111">
        <v>42440</v>
      </c>
      <c r="K75" s="112" t="s">
        <v>526</v>
      </c>
      <c r="L75" s="112">
        <v>0.95833333333333337</v>
      </c>
      <c r="M75" s="112" t="s">
        <v>541</v>
      </c>
      <c r="N75" s="112" t="s">
        <v>528</v>
      </c>
      <c r="O75" s="112" t="s">
        <v>524</v>
      </c>
      <c r="P75" s="109" t="s">
        <v>23</v>
      </c>
      <c r="Q75" s="109" t="s">
        <v>28</v>
      </c>
      <c r="R75" s="109" t="s">
        <v>109</v>
      </c>
      <c r="S75" s="109">
        <v>5</v>
      </c>
      <c r="T75" s="109">
        <v>12</v>
      </c>
      <c r="U75" s="139">
        <v>47</v>
      </c>
      <c r="V75" s="140">
        <v>564</v>
      </c>
    </row>
    <row r="76" spans="1:22" x14ac:dyDescent="0.25">
      <c r="A76" s="103">
        <v>4429</v>
      </c>
      <c r="B76" s="104" t="s">
        <v>29</v>
      </c>
      <c r="C76" s="104" t="s">
        <v>177</v>
      </c>
      <c r="D76" s="104" t="s">
        <v>65</v>
      </c>
      <c r="E76" s="104" t="s">
        <v>173</v>
      </c>
      <c r="F76" s="104">
        <v>2013</v>
      </c>
      <c r="G76" s="105">
        <v>42430.791666666664</v>
      </c>
      <c r="H76" s="105">
        <v>42443.958333333336</v>
      </c>
      <c r="I76" s="106">
        <v>42430</v>
      </c>
      <c r="J76" s="106">
        <v>42443</v>
      </c>
      <c r="K76" s="107" t="s">
        <v>526</v>
      </c>
      <c r="L76" s="107">
        <v>0.95833333333333337</v>
      </c>
      <c r="M76" s="107" t="s">
        <v>541</v>
      </c>
      <c r="N76" s="107" t="s">
        <v>529</v>
      </c>
      <c r="O76" s="107" t="s">
        <v>524</v>
      </c>
      <c r="P76" s="104" t="s">
        <v>23</v>
      </c>
      <c r="Q76" s="104" t="s">
        <v>31</v>
      </c>
      <c r="R76" s="104" t="s">
        <v>113</v>
      </c>
      <c r="S76" s="104">
        <v>5</v>
      </c>
      <c r="T76" s="104">
        <v>8</v>
      </c>
      <c r="U76" s="137">
        <v>31</v>
      </c>
      <c r="V76" s="138">
        <v>248</v>
      </c>
    </row>
    <row r="77" spans="1:22" x14ac:dyDescent="0.25">
      <c r="A77" s="108">
        <v>4430</v>
      </c>
      <c r="B77" s="109" t="s">
        <v>11</v>
      </c>
      <c r="C77" s="109" t="s">
        <v>175</v>
      </c>
      <c r="D77" s="109" t="s">
        <v>65</v>
      </c>
      <c r="E77" s="109" t="s">
        <v>173</v>
      </c>
      <c r="F77" s="109">
        <v>2013</v>
      </c>
      <c r="G77" s="110">
        <v>42430.791666666664</v>
      </c>
      <c r="H77" s="110">
        <v>42443.958333333336</v>
      </c>
      <c r="I77" s="111">
        <v>42430</v>
      </c>
      <c r="J77" s="111">
        <v>42443</v>
      </c>
      <c r="K77" s="112" t="s">
        <v>526</v>
      </c>
      <c r="L77" s="112">
        <v>0.95833333333333337</v>
      </c>
      <c r="M77" s="112" t="s">
        <v>541</v>
      </c>
      <c r="N77" s="112" t="s">
        <v>529</v>
      </c>
      <c r="O77" s="112" t="s">
        <v>524</v>
      </c>
      <c r="P77" s="109" t="s">
        <v>23</v>
      </c>
      <c r="Q77" s="109" t="s">
        <v>18</v>
      </c>
      <c r="R77" s="109" t="s">
        <v>113</v>
      </c>
      <c r="S77" s="109">
        <v>3</v>
      </c>
      <c r="T77" s="109">
        <v>11</v>
      </c>
      <c r="U77" s="139">
        <v>31</v>
      </c>
      <c r="V77" s="140">
        <v>341</v>
      </c>
    </row>
    <row r="78" spans="1:22" x14ac:dyDescent="0.25">
      <c r="A78" s="103">
        <v>4431</v>
      </c>
      <c r="B78" s="104" t="s">
        <v>29</v>
      </c>
      <c r="C78" s="104" t="s">
        <v>177</v>
      </c>
      <c r="D78" s="104" t="s">
        <v>72</v>
      </c>
      <c r="E78" s="104" t="s">
        <v>172</v>
      </c>
      <c r="F78" s="104">
        <v>2013</v>
      </c>
      <c r="G78" s="105">
        <v>42430.791666666664</v>
      </c>
      <c r="H78" s="105">
        <v>42443.958333333336</v>
      </c>
      <c r="I78" s="106">
        <v>42430</v>
      </c>
      <c r="J78" s="106">
        <v>42443</v>
      </c>
      <c r="K78" s="107" t="s">
        <v>526</v>
      </c>
      <c r="L78" s="107">
        <v>0.95833333333333337</v>
      </c>
      <c r="M78" s="107" t="s">
        <v>541</v>
      </c>
      <c r="N78" s="107" t="s">
        <v>529</v>
      </c>
      <c r="O78" s="107" t="s">
        <v>524</v>
      </c>
      <c r="P78" s="104" t="s">
        <v>9</v>
      </c>
      <c r="Q78" s="104" t="s">
        <v>33</v>
      </c>
      <c r="R78" s="104" t="s">
        <v>113</v>
      </c>
      <c r="S78" s="104">
        <v>3</v>
      </c>
      <c r="T78" s="104">
        <v>11</v>
      </c>
      <c r="U78" s="137">
        <v>33</v>
      </c>
      <c r="V78" s="138">
        <v>363</v>
      </c>
    </row>
    <row r="79" spans="1:22" x14ac:dyDescent="0.25">
      <c r="A79" s="108">
        <v>4432</v>
      </c>
      <c r="B79" s="109" t="s">
        <v>29</v>
      </c>
      <c r="C79" s="109" t="s">
        <v>177</v>
      </c>
      <c r="D79" s="109" t="s">
        <v>70</v>
      </c>
      <c r="E79" s="109" t="s">
        <v>174</v>
      </c>
      <c r="F79" s="109">
        <v>2013</v>
      </c>
      <c r="G79" s="110">
        <v>42430.791666666664</v>
      </c>
      <c r="H79" s="110">
        <v>42443.958333333336</v>
      </c>
      <c r="I79" s="111">
        <v>42430</v>
      </c>
      <c r="J79" s="111">
        <v>42443</v>
      </c>
      <c r="K79" s="112" t="s">
        <v>526</v>
      </c>
      <c r="L79" s="112">
        <v>0.95833333333333337</v>
      </c>
      <c r="M79" s="112" t="s">
        <v>541</v>
      </c>
      <c r="N79" s="112" t="s">
        <v>529</v>
      </c>
      <c r="O79" s="112" t="s">
        <v>524</v>
      </c>
      <c r="P79" s="109" t="s">
        <v>9</v>
      </c>
      <c r="Q79" s="109" t="s">
        <v>26</v>
      </c>
      <c r="R79" s="109" t="s">
        <v>113</v>
      </c>
      <c r="S79" s="109">
        <v>3</v>
      </c>
      <c r="T79" s="109">
        <v>12</v>
      </c>
      <c r="U79" s="139">
        <v>62</v>
      </c>
      <c r="V79" s="140">
        <v>744</v>
      </c>
    </row>
    <row r="80" spans="1:22" x14ac:dyDescent="0.25">
      <c r="A80" s="103">
        <v>4433</v>
      </c>
      <c r="B80" s="104" t="s">
        <v>17</v>
      </c>
      <c r="C80" s="104" t="s">
        <v>176</v>
      </c>
      <c r="D80" s="104" t="s">
        <v>71</v>
      </c>
      <c r="E80" s="104" t="s">
        <v>170</v>
      </c>
      <c r="F80" s="104">
        <v>2013</v>
      </c>
      <c r="G80" s="105">
        <v>42431.583333333336</v>
      </c>
      <c r="H80" s="105">
        <v>42444.75</v>
      </c>
      <c r="I80" s="106">
        <v>42431</v>
      </c>
      <c r="J80" s="106">
        <v>42444</v>
      </c>
      <c r="K80" s="107" t="s">
        <v>527</v>
      </c>
      <c r="L80" s="107">
        <v>0.75</v>
      </c>
      <c r="M80" s="107" t="s">
        <v>542</v>
      </c>
      <c r="N80" s="107" t="s">
        <v>529</v>
      </c>
      <c r="O80" s="107" t="s">
        <v>524</v>
      </c>
      <c r="P80" s="104" t="s">
        <v>23</v>
      </c>
      <c r="Q80" s="104" t="s">
        <v>38</v>
      </c>
      <c r="R80" s="104" t="s">
        <v>113</v>
      </c>
      <c r="S80" s="104">
        <v>3</v>
      </c>
      <c r="T80" s="104">
        <v>10</v>
      </c>
      <c r="U80" s="137">
        <v>41</v>
      </c>
      <c r="V80" s="138">
        <v>410</v>
      </c>
    </row>
    <row r="81" spans="1:22" x14ac:dyDescent="0.25">
      <c r="A81" s="108">
        <v>4434</v>
      </c>
      <c r="B81" s="109" t="s">
        <v>17</v>
      </c>
      <c r="C81" s="109" t="s">
        <v>176</v>
      </c>
      <c r="D81" s="109" t="s">
        <v>65</v>
      </c>
      <c r="E81" s="109" t="s">
        <v>173</v>
      </c>
      <c r="F81" s="109">
        <v>2013</v>
      </c>
      <c r="G81" s="110">
        <v>42431.583333333336</v>
      </c>
      <c r="H81" s="110">
        <v>42444.75</v>
      </c>
      <c r="I81" s="111">
        <v>42431</v>
      </c>
      <c r="J81" s="111">
        <v>42444</v>
      </c>
      <c r="K81" s="112" t="s">
        <v>527</v>
      </c>
      <c r="L81" s="112">
        <v>0.75</v>
      </c>
      <c r="M81" s="112" t="s">
        <v>542</v>
      </c>
      <c r="N81" s="112" t="s">
        <v>529</v>
      </c>
      <c r="O81" s="112" t="s">
        <v>524</v>
      </c>
      <c r="P81" s="109" t="s">
        <v>23</v>
      </c>
      <c r="Q81" s="109" t="s">
        <v>12</v>
      </c>
      <c r="R81" s="109" t="s">
        <v>113</v>
      </c>
      <c r="S81" s="109">
        <v>5</v>
      </c>
      <c r="T81" s="109">
        <v>12</v>
      </c>
      <c r="U81" s="139">
        <v>31</v>
      </c>
      <c r="V81" s="140">
        <v>372</v>
      </c>
    </row>
    <row r="82" spans="1:22" x14ac:dyDescent="0.25">
      <c r="A82" s="103">
        <v>4435</v>
      </c>
      <c r="B82" s="104" t="s">
        <v>7</v>
      </c>
      <c r="C82" s="104" t="s">
        <v>175</v>
      </c>
      <c r="D82" s="104" t="s">
        <v>71</v>
      </c>
      <c r="E82" s="104" t="s">
        <v>170</v>
      </c>
      <c r="F82" s="104">
        <v>2013</v>
      </c>
      <c r="G82" s="105">
        <v>42431.583333333336</v>
      </c>
      <c r="H82" s="105">
        <v>42444.75</v>
      </c>
      <c r="I82" s="106">
        <v>42431</v>
      </c>
      <c r="J82" s="106">
        <v>42444</v>
      </c>
      <c r="K82" s="107" t="s">
        <v>527</v>
      </c>
      <c r="L82" s="107">
        <v>0.75</v>
      </c>
      <c r="M82" s="107" t="s">
        <v>542</v>
      </c>
      <c r="N82" s="107" t="s">
        <v>529</v>
      </c>
      <c r="O82" s="107" t="s">
        <v>524</v>
      </c>
      <c r="P82" s="104" t="s">
        <v>23</v>
      </c>
      <c r="Q82" s="104" t="s">
        <v>44</v>
      </c>
      <c r="R82" s="104" t="s">
        <v>113</v>
      </c>
      <c r="S82" s="104">
        <v>3</v>
      </c>
      <c r="T82" s="104">
        <v>11</v>
      </c>
      <c r="U82" s="137">
        <v>41</v>
      </c>
      <c r="V82" s="138">
        <v>451</v>
      </c>
    </row>
    <row r="83" spans="1:22" x14ac:dyDescent="0.25">
      <c r="A83" s="108">
        <v>4436</v>
      </c>
      <c r="B83" s="109" t="s">
        <v>7</v>
      </c>
      <c r="C83" s="109" t="s">
        <v>175</v>
      </c>
      <c r="D83" s="109" t="s">
        <v>63</v>
      </c>
      <c r="E83" s="109" t="s">
        <v>172</v>
      </c>
      <c r="F83" s="109">
        <v>2013</v>
      </c>
      <c r="G83" s="110">
        <v>42432.375</v>
      </c>
      <c r="H83" s="110">
        <v>42438.75</v>
      </c>
      <c r="I83" s="111">
        <v>42432</v>
      </c>
      <c r="J83" s="111">
        <v>42438</v>
      </c>
      <c r="K83" s="112" t="s">
        <v>525</v>
      </c>
      <c r="L83" s="112">
        <v>0.75</v>
      </c>
      <c r="M83" s="112" t="s">
        <v>540</v>
      </c>
      <c r="N83" s="112" t="s">
        <v>529</v>
      </c>
      <c r="O83" s="112" t="s">
        <v>524</v>
      </c>
      <c r="P83" s="109" t="s">
        <v>23</v>
      </c>
      <c r="Q83" s="109" t="s">
        <v>37</v>
      </c>
      <c r="R83" s="109" t="s">
        <v>113</v>
      </c>
      <c r="S83" s="109">
        <v>5</v>
      </c>
      <c r="T83" s="109">
        <v>11</v>
      </c>
      <c r="U83" s="139">
        <v>51</v>
      </c>
      <c r="V83" s="140">
        <v>561</v>
      </c>
    </row>
    <row r="84" spans="1:22" x14ac:dyDescent="0.25">
      <c r="A84" s="103">
        <v>4437</v>
      </c>
      <c r="B84" s="104" t="s">
        <v>29</v>
      </c>
      <c r="C84" s="104" t="s">
        <v>177</v>
      </c>
      <c r="D84" s="104" t="s">
        <v>65</v>
      </c>
      <c r="E84" s="104" t="s">
        <v>173</v>
      </c>
      <c r="F84" s="104">
        <v>2013</v>
      </c>
      <c r="G84" s="105">
        <v>42433.333333333336</v>
      </c>
      <c r="H84" s="105">
        <v>42446.5</v>
      </c>
      <c r="I84" s="106">
        <v>42433</v>
      </c>
      <c r="J84" s="106">
        <v>42446</v>
      </c>
      <c r="K84" s="107" t="s">
        <v>522</v>
      </c>
      <c r="L84" s="107">
        <v>0.5</v>
      </c>
      <c r="M84" s="107" t="s">
        <v>539</v>
      </c>
      <c r="N84" s="107" t="s">
        <v>529</v>
      </c>
      <c r="O84" s="107" t="s">
        <v>524</v>
      </c>
      <c r="P84" s="104" t="s">
        <v>23</v>
      </c>
      <c r="Q84" s="104" t="s">
        <v>31</v>
      </c>
      <c r="R84" s="104" t="s">
        <v>113</v>
      </c>
      <c r="S84" s="104">
        <v>5</v>
      </c>
      <c r="T84" s="104">
        <v>9</v>
      </c>
      <c r="U84" s="137">
        <v>31</v>
      </c>
      <c r="V84" s="138">
        <v>279</v>
      </c>
    </row>
    <row r="85" spans="1:22" x14ac:dyDescent="0.25">
      <c r="A85" s="108">
        <v>4438</v>
      </c>
      <c r="B85" s="109" t="s">
        <v>11</v>
      </c>
      <c r="C85" s="109" t="s">
        <v>175</v>
      </c>
      <c r="D85" s="109" t="s">
        <v>73</v>
      </c>
      <c r="E85" s="109" t="s">
        <v>169</v>
      </c>
      <c r="F85" s="109">
        <v>2013</v>
      </c>
      <c r="G85" s="110">
        <v>42433.333333333336</v>
      </c>
      <c r="H85" s="110">
        <v>42446.5</v>
      </c>
      <c r="I85" s="111">
        <v>42433</v>
      </c>
      <c r="J85" s="111">
        <v>42446</v>
      </c>
      <c r="K85" s="112" t="s">
        <v>522</v>
      </c>
      <c r="L85" s="112">
        <v>0.5</v>
      </c>
      <c r="M85" s="112" t="s">
        <v>539</v>
      </c>
      <c r="N85" s="112" t="s">
        <v>529</v>
      </c>
      <c r="O85" s="112" t="s">
        <v>524</v>
      </c>
      <c r="P85" s="109" t="s">
        <v>9</v>
      </c>
      <c r="Q85" s="109" t="s">
        <v>24</v>
      </c>
      <c r="R85" s="109" t="s">
        <v>113</v>
      </c>
      <c r="S85" s="109">
        <v>2</v>
      </c>
      <c r="T85" s="109">
        <v>10</v>
      </c>
      <c r="U85" s="139">
        <v>61</v>
      </c>
      <c r="V85" s="140">
        <v>610</v>
      </c>
    </row>
    <row r="86" spans="1:22" x14ac:dyDescent="0.25">
      <c r="A86" s="103">
        <v>4439</v>
      </c>
      <c r="B86" s="104" t="s">
        <v>17</v>
      </c>
      <c r="C86" s="104" t="s">
        <v>176</v>
      </c>
      <c r="D86" s="104" t="s">
        <v>75</v>
      </c>
      <c r="E86" s="104" t="s">
        <v>174</v>
      </c>
      <c r="F86" s="104">
        <v>2013</v>
      </c>
      <c r="G86" s="105">
        <v>42433.333333333336</v>
      </c>
      <c r="H86" s="105">
        <v>42446.5</v>
      </c>
      <c r="I86" s="106">
        <v>42433</v>
      </c>
      <c r="J86" s="106">
        <v>42446</v>
      </c>
      <c r="K86" s="107" t="s">
        <v>522</v>
      </c>
      <c r="L86" s="107">
        <v>0.5</v>
      </c>
      <c r="M86" s="107" t="s">
        <v>539</v>
      </c>
      <c r="N86" s="107" t="s">
        <v>529</v>
      </c>
      <c r="O86" s="107" t="s">
        <v>524</v>
      </c>
      <c r="P86" s="104" t="s">
        <v>9</v>
      </c>
      <c r="Q86" s="104" t="s">
        <v>12</v>
      </c>
      <c r="R86" s="104" t="s">
        <v>113</v>
      </c>
      <c r="S86" s="104">
        <v>5</v>
      </c>
      <c r="T86" s="104">
        <v>12</v>
      </c>
      <c r="U86" s="137">
        <v>52</v>
      </c>
      <c r="V86" s="138">
        <v>624</v>
      </c>
    </row>
    <row r="87" spans="1:22" x14ac:dyDescent="0.25">
      <c r="A87" s="108">
        <v>4440</v>
      </c>
      <c r="B87" s="109" t="s">
        <v>29</v>
      </c>
      <c r="C87" s="109" t="s">
        <v>177</v>
      </c>
      <c r="D87" s="109" t="s">
        <v>72</v>
      </c>
      <c r="E87" s="109" t="s">
        <v>172</v>
      </c>
      <c r="F87" s="109">
        <v>2013</v>
      </c>
      <c r="G87" s="110">
        <v>42434.375</v>
      </c>
      <c r="H87" s="110">
        <v>42439.75</v>
      </c>
      <c r="I87" s="111">
        <v>42434</v>
      </c>
      <c r="J87" s="111">
        <v>42439</v>
      </c>
      <c r="K87" s="112" t="s">
        <v>525</v>
      </c>
      <c r="L87" s="112">
        <v>0.75</v>
      </c>
      <c r="M87" s="112" t="s">
        <v>540</v>
      </c>
      <c r="N87" s="112" t="s">
        <v>529</v>
      </c>
      <c r="O87" s="112" t="s">
        <v>524</v>
      </c>
      <c r="P87" s="109" t="s">
        <v>23</v>
      </c>
      <c r="Q87" s="109" t="s">
        <v>18</v>
      </c>
      <c r="R87" s="109" t="s">
        <v>113</v>
      </c>
      <c r="S87" s="109">
        <v>5</v>
      </c>
      <c r="T87" s="109">
        <v>8</v>
      </c>
      <c r="U87" s="139">
        <v>33</v>
      </c>
      <c r="V87" s="140">
        <v>264</v>
      </c>
    </row>
    <row r="88" spans="1:22" x14ac:dyDescent="0.25">
      <c r="A88" s="103">
        <v>4441</v>
      </c>
      <c r="B88" s="104" t="s">
        <v>11</v>
      </c>
      <c r="C88" s="104" t="s">
        <v>175</v>
      </c>
      <c r="D88" s="104" t="s">
        <v>71</v>
      </c>
      <c r="E88" s="104" t="s">
        <v>170</v>
      </c>
      <c r="F88" s="104">
        <v>2013</v>
      </c>
      <c r="G88" s="105">
        <v>42434.375</v>
      </c>
      <c r="H88" s="105">
        <v>42439.75</v>
      </c>
      <c r="I88" s="106">
        <v>42434</v>
      </c>
      <c r="J88" s="106">
        <v>42439</v>
      </c>
      <c r="K88" s="107" t="s">
        <v>525</v>
      </c>
      <c r="L88" s="107">
        <v>0.75</v>
      </c>
      <c r="M88" s="107" t="s">
        <v>540</v>
      </c>
      <c r="N88" s="107" t="s">
        <v>529</v>
      </c>
      <c r="O88" s="107" t="s">
        <v>524</v>
      </c>
      <c r="P88" s="104" t="s">
        <v>9</v>
      </c>
      <c r="Q88" s="104" t="s">
        <v>26</v>
      </c>
      <c r="R88" s="104" t="s">
        <v>113</v>
      </c>
      <c r="S88" s="104">
        <v>5</v>
      </c>
      <c r="T88" s="104">
        <v>10</v>
      </c>
      <c r="U88" s="137">
        <v>41</v>
      </c>
      <c r="V88" s="138">
        <v>410</v>
      </c>
    </row>
    <row r="89" spans="1:22" x14ac:dyDescent="0.25">
      <c r="A89" s="108">
        <v>4442</v>
      </c>
      <c r="B89" s="109" t="s">
        <v>29</v>
      </c>
      <c r="C89" s="109" t="s">
        <v>177</v>
      </c>
      <c r="D89" s="109" t="s">
        <v>73</v>
      </c>
      <c r="E89" s="109" t="s">
        <v>169</v>
      </c>
      <c r="F89" s="109">
        <v>2013</v>
      </c>
      <c r="G89" s="110">
        <v>42434.375</v>
      </c>
      <c r="H89" s="110">
        <v>42439.75</v>
      </c>
      <c r="I89" s="111">
        <v>42434</v>
      </c>
      <c r="J89" s="111">
        <v>42439</v>
      </c>
      <c r="K89" s="112" t="s">
        <v>525</v>
      </c>
      <c r="L89" s="112">
        <v>0.75</v>
      </c>
      <c r="M89" s="112" t="s">
        <v>540</v>
      </c>
      <c r="N89" s="112" t="s">
        <v>529</v>
      </c>
      <c r="O89" s="112" t="s">
        <v>524</v>
      </c>
      <c r="P89" s="109" t="s">
        <v>9</v>
      </c>
      <c r="Q89" s="109" t="s">
        <v>190</v>
      </c>
      <c r="R89" s="109" t="s">
        <v>109</v>
      </c>
      <c r="S89" s="109">
        <v>2</v>
      </c>
      <c r="T89" s="109">
        <v>10</v>
      </c>
      <c r="U89" s="139">
        <v>61</v>
      </c>
      <c r="V89" s="140">
        <v>610</v>
      </c>
    </row>
    <row r="90" spans="1:22" x14ac:dyDescent="0.25">
      <c r="A90" s="103">
        <v>4443</v>
      </c>
      <c r="B90" s="104" t="s">
        <v>22</v>
      </c>
      <c r="C90" s="104" t="s">
        <v>176</v>
      </c>
      <c r="D90" s="104" t="s">
        <v>72</v>
      </c>
      <c r="E90" s="104" t="s">
        <v>172</v>
      </c>
      <c r="F90" s="104">
        <v>2013</v>
      </c>
      <c r="G90" s="105">
        <v>42436.791666666664</v>
      </c>
      <c r="H90" s="105">
        <v>42447.958333333336</v>
      </c>
      <c r="I90" s="106">
        <v>42436</v>
      </c>
      <c r="J90" s="106">
        <v>42447</v>
      </c>
      <c r="K90" s="107" t="s">
        <v>526</v>
      </c>
      <c r="L90" s="107">
        <v>0.95833333333333337</v>
      </c>
      <c r="M90" s="107" t="s">
        <v>541</v>
      </c>
      <c r="N90" s="107" t="s">
        <v>529</v>
      </c>
      <c r="O90" s="107" t="s">
        <v>524</v>
      </c>
      <c r="P90" s="104" t="s">
        <v>9</v>
      </c>
      <c r="Q90" s="104" t="s">
        <v>24</v>
      </c>
      <c r="R90" s="104" t="s">
        <v>113</v>
      </c>
      <c r="S90" s="104">
        <v>3</v>
      </c>
      <c r="T90" s="104">
        <v>8</v>
      </c>
      <c r="U90" s="137">
        <v>33</v>
      </c>
      <c r="V90" s="138">
        <v>264</v>
      </c>
    </row>
    <row r="91" spans="1:22" x14ac:dyDescent="0.25">
      <c r="A91" s="108">
        <v>4444</v>
      </c>
      <c r="B91" s="109" t="s">
        <v>19</v>
      </c>
      <c r="C91" s="109" t="s">
        <v>176</v>
      </c>
      <c r="D91" s="109" t="s">
        <v>68</v>
      </c>
      <c r="E91" s="109" t="s">
        <v>172</v>
      </c>
      <c r="F91" s="109">
        <v>2013</v>
      </c>
      <c r="G91" s="110">
        <v>42437.791666666664</v>
      </c>
      <c r="H91" s="110">
        <v>42450.958333333336</v>
      </c>
      <c r="I91" s="111">
        <v>42437</v>
      </c>
      <c r="J91" s="111">
        <v>42450</v>
      </c>
      <c r="K91" s="112" t="s">
        <v>526</v>
      </c>
      <c r="L91" s="112">
        <v>0.95833333333333337</v>
      </c>
      <c r="M91" s="112" t="s">
        <v>541</v>
      </c>
      <c r="N91" s="112" t="s">
        <v>529</v>
      </c>
      <c r="O91" s="112" t="s">
        <v>524</v>
      </c>
      <c r="P91" s="109" t="s">
        <v>9</v>
      </c>
      <c r="Q91" s="109" t="s">
        <v>33</v>
      </c>
      <c r="R91" s="109" t="s">
        <v>113</v>
      </c>
      <c r="S91" s="109">
        <v>3</v>
      </c>
      <c r="T91" s="109">
        <v>12</v>
      </c>
      <c r="U91" s="139">
        <v>42</v>
      </c>
      <c r="V91" s="140">
        <v>504</v>
      </c>
    </row>
    <row r="92" spans="1:22" x14ac:dyDescent="0.25">
      <c r="A92" s="103">
        <v>4445</v>
      </c>
      <c r="B92" s="104" t="s">
        <v>17</v>
      </c>
      <c r="C92" s="104" t="s">
        <v>176</v>
      </c>
      <c r="D92" s="104" t="s">
        <v>71</v>
      </c>
      <c r="E92" s="104" t="s">
        <v>170</v>
      </c>
      <c r="F92" s="104">
        <v>2013</v>
      </c>
      <c r="G92" s="105">
        <v>42438.583333333336</v>
      </c>
      <c r="H92" s="105">
        <v>42451.75</v>
      </c>
      <c r="I92" s="106">
        <v>42438</v>
      </c>
      <c r="J92" s="106">
        <v>42451</v>
      </c>
      <c r="K92" s="107" t="s">
        <v>527</v>
      </c>
      <c r="L92" s="107">
        <v>0.75</v>
      </c>
      <c r="M92" s="107" t="s">
        <v>542</v>
      </c>
      <c r="N92" s="107" t="s">
        <v>529</v>
      </c>
      <c r="O92" s="107" t="s">
        <v>524</v>
      </c>
      <c r="P92" s="104" t="s">
        <v>23</v>
      </c>
      <c r="Q92" s="104" t="s">
        <v>41</v>
      </c>
      <c r="R92" s="104" t="s">
        <v>113</v>
      </c>
      <c r="S92" s="104">
        <v>4</v>
      </c>
      <c r="T92" s="104">
        <v>12</v>
      </c>
      <c r="U92" s="137">
        <v>41</v>
      </c>
      <c r="V92" s="138">
        <v>492</v>
      </c>
    </row>
    <row r="93" spans="1:22" x14ac:dyDescent="0.25">
      <c r="A93" s="108">
        <v>4446</v>
      </c>
      <c r="B93" s="109" t="s">
        <v>14</v>
      </c>
      <c r="C93" s="109" t="s">
        <v>175</v>
      </c>
      <c r="D93" s="109" t="s">
        <v>68</v>
      </c>
      <c r="E93" s="109" t="s">
        <v>172</v>
      </c>
      <c r="F93" s="109">
        <v>2013</v>
      </c>
      <c r="G93" s="110">
        <v>42438.583333333336</v>
      </c>
      <c r="H93" s="110">
        <v>42451.75</v>
      </c>
      <c r="I93" s="111">
        <v>42438</v>
      </c>
      <c r="J93" s="111">
        <v>42451</v>
      </c>
      <c r="K93" s="112" t="s">
        <v>527</v>
      </c>
      <c r="L93" s="112">
        <v>0.75</v>
      </c>
      <c r="M93" s="112" t="s">
        <v>542</v>
      </c>
      <c r="N93" s="112" t="s">
        <v>529</v>
      </c>
      <c r="O93" s="112" t="s">
        <v>524</v>
      </c>
      <c r="P93" s="109" t="s">
        <v>9</v>
      </c>
      <c r="Q93" s="109" t="s">
        <v>37</v>
      </c>
      <c r="R93" s="109" t="s">
        <v>113</v>
      </c>
      <c r="S93" s="109">
        <v>5</v>
      </c>
      <c r="T93" s="109">
        <v>8</v>
      </c>
      <c r="U93" s="139">
        <v>42</v>
      </c>
      <c r="V93" s="140">
        <v>336</v>
      </c>
    </row>
    <row r="94" spans="1:22" x14ac:dyDescent="0.25">
      <c r="A94" s="103">
        <v>4447</v>
      </c>
      <c r="B94" s="104" t="s">
        <v>11</v>
      </c>
      <c r="C94" s="104" t="s">
        <v>175</v>
      </c>
      <c r="D94" s="104" t="s">
        <v>65</v>
      </c>
      <c r="E94" s="104" t="s">
        <v>173</v>
      </c>
      <c r="F94" s="104">
        <v>2013</v>
      </c>
      <c r="G94" s="105">
        <v>42439.375</v>
      </c>
      <c r="H94" s="105">
        <v>42445.75</v>
      </c>
      <c r="I94" s="106">
        <v>42439</v>
      </c>
      <c r="J94" s="106">
        <v>42445</v>
      </c>
      <c r="K94" s="107" t="s">
        <v>525</v>
      </c>
      <c r="L94" s="107">
        <v>0.75</v>
      </c>
      <c r="M94" s="107" t="s">
        <v>540</v>
      </c>
      <c r="N94" s="107" t="s">
        <v>529</v>
      </c>
      <c r="O94" s="107" t="s">
        <v>524</v>
      </c>
      <c r="P94" s="104" t="s">
        <v>9</v>
      </c>
      <c r="Q94" s="104" t="s">
        <v>22</v>
      </c>
      <c r="R94" s="104" t="s">
        <v>109</v>
      </c>
      <c r="S94" s="104">
        <v>5</v>
      </c>
      <c r="T94" s="104">
        <v>10</v>
      </c>
      <c r="U94" s="137">
        <v>31</v>
      </c>
      <c r="V94" s="138">
        <v>310</v>
      </c>
    </row>
    <row r="95" spans="1:22" x14ac:dyDescent="0.25">
      <c r="A95" s="108">
        <v>4448</v>
      </c>
      <c r="B95" s="109" t="s">
        <v>22</v>
      </c>
      <c r="C95" s="109" t="s">
        <v>176</v>
      </c>
      <c r="D95" s="109" t="s">
        <v>70</v>
      </c>
      <c r="E95" s="109" t="s">
        <v>174</v>
      </c>
      <c r="F95" s="109">
        <v>2013</v>
      </c>
      <c r="G95" s="110">
        <v>42444.791666666664</v>
      </c>
      <c r="H95" s="110">
        <v>42457.958333333336</v>
      </c>
      <c r="I95" s="111">
        <v>42444</v>
      </c>
      <c r="J95" s="111">
        <v>42457</v>
      </c>
      <c r="K95" s="112" t="s">
        <v>526</v>
      </c>
      <c r="L95" s="112">
        <v>0.95833333333333337</v>
      </c>
      <c r="M95" s="112" t="s">
        <v>541</v>
      </c>
      <c r="N95" s="112" t="s">
        <v>529</v>
      </c>
      <c r="O95" s="112" t="s">
        <v>524</v>
      </c>
      <c r="P95" s="109" t="s">
        <v>23</v>
      </c>
      <c r="Q95" s="109" t="s">
        <v>16</v>
      </c>
      <c r="R95" s="109" t="s">
        <v>109</v>
      </c>
      <c r="S95" s="109">
        <v>4</v>
      </c>
      <c r="T95" s="109">
        <v>8</v>
      </c>
      <c r="U95" s="139">
        <v>62</v>
      </c>
      <c r="V95" s="140">
        <v>496</v>
      </c>
    </row>
    <row r="96" spans="1:22" x14ac:dyDescent="0.25">
      <c r="A96" s="103">
        <v>4449</v>
      </c>
      <c r="B96" s="104" t="s">
        <v>11</v>
      </c>
      <c r="C96" s="104" t="s">
        <v>175</v>
      </c>
      <c r="D96" s="104" t="s">
        <v>64</v>
      </c>
      <c r="E96" s="104" t="s">
        <v>172</v>
      </c>
      <c r="F96" s="104">
        <v>2013</v>
      </c>
      <c r="G96" s="105">
        <v>42445.583333333336</v>
      </c>
      <c r="H96" s="105">
        <v>42458.75</v>
      </c>
      <c r="I96" s="106">
        <v>42445</v>
      </c>
      <c r="J96" s="106">
        <v>42458</v>
      </c>
      <c r="K96" s="107" t="s">
        <v>527</v>
      </c>
      <c r="L96" s="107">
        <v>0.75</v>
      </c>
      <c r="M96" s="107" t="s">
        <v>542</v>
      </c>
      <c r="N96" s="107" t="s">
        <v>529</v>
      </c>
      <c r="O96" s="107" t="s">
        <v>524</v>
      </c>
      <c r="P96" s="104" t="s">
        <v>23</v>
      </c>
      <c r="Q96" s="104" t="s">
        <v>38</v>
      </c>
      <c r="R96" s="104" t="s">
        <v>113</v>
      </c>
      <c r="S96" s="104">
        <v>5</v>
      </c>
      <c r="T96" s="104">
        <v>12</v>
      </c>
      <c r="U96" s="137">
        <v>73</v>
      </c>
      <c r="V96" s="138">
        <v>876</v>
      </c>
    </row>
    <row r="97" spans="1:22" x14ac:dyDescent="0.25">
      <c r="A97" s="108">
        <v>4450</v>
      </c>
      <c r="B97" s="109" t="s">
        <v>45</v>
      </c>
      <c r="C97" s="109" t="s">
        <v>177</v>
      </c>
      <c r="D97" s="109" t="s">
        <v>74</v>
      </c>
      <c r="E97" s="109" t="s">
        <v>168</v>
      </c>
      <c r="F97" s="109">
        <v>2013</v>
      </c>
      <c r="G97" s="110">
        <v>42447.333333333336</v>
      </c>
      <c r="H97" s="110">
        <v>42460.5</v>
      </c>
      <c r="I97" s="111">
        <v>42447</v>
      </c>
      <c r="J97" s="111">
        <v>42460</v>
      </c>
      <c r="K97" s="112" t="s">
        <v>522</v>
      </c>
      <c r="L97" s="112">
        <v>0.5</v>
      </c>
      <c r="M97" s="112" t="s">
        <v>539</v>
      </c>
      <c r="N97" s="112" t="s">
        <v>529</v>
      </c>
      <c r="O97" s="112" t="s">
        <v>524</v>
      </c>
      <c r="P97" s="109" t="s">
        <v>9</v>
      </c>
      <c r="Q97" s="109" t="s">
        <v>41</v>
      </c>
      <c r="R97" s="109" t="s">
        <v>113</v>
      </c>
      <c r="S97" s="109">
        <v>3</v>
      </c>
      <c r="T97" s="109">
        <v>9</v>
      </c>
      <c r="U97" s="139">
        <v>47</v>
      </c>
      <c r="V97" s="140">
        <v>423</v>
      </c>
    </row>
    <row r="98" spans="1:22" x14ac:dyDescent="0.25">
      <c r="A98" s="103">
        <v>4451</v>
      </c>
      <c r="B98" s="104" t="s">
        <v>17</v>
      </c>
      <c r="C98" s="104" t="s">
        <v>176</v>
      </c>
      <c r="D98" s="104" t="s">
        <v>71</v>
      </c>
      <c r="E98" s="104" t="s">
        <v>170</v>
      </c>
      <c r="F98" s="104">
        <v>2013</v>
      </c>
      <c r="G98" s="105">
        <v>42448.375</v>
      </c>
      <c r="H98" s="105">
        <v>42453.75</v>
      </c>
      <c r="I98" s="106">
        <v>42448</v>
      </c>
      <c r="J98" s="106">
        <v>42453</v>
      </c>
      <c r="K98" s="107" t="s">
        <v>525</v>
      </c>
      <c r="L98" s="107">
        <v>0.75</v>
      </c>
      <c r="M98" s="107" t="s">
        <v>540</v>
      </c>
      <c r="N98" s="107" t="s">
        <v>529</v>
      </c>
      <c r="O98" s="107" t="s">
        <v>524</v>
      </c>
      <c r="P98" s="104" t="s">
        <v>23</v>
      </c>
      <c r="Q98" s="104" t="s">
        <v>31</v>
      </c>
      <c r="R98" s="104" t="s">
        <v>113</v>
      </c>
      <c r="S98" s="104">
        <v>5</v>
      </c>
      <c r="T98" s="104">
        <v>9</v>
      </c>
      <c r="U98" s="137">
        <v>41</v>
      </c>
      <c r="V98" s="138">
        <v>369</v>
      </c>
    </row>
    <row r="99" spans="1:22" x14ac:dyDescent="0.25">
      <c r="A99" s="108">
        <v>4452</v>
      </c>
      <c r="B99" s="109" t="s">
        <v>14</v>
      </c>
      <c r="C99" s="109" t="s">
        <v>175</v>
      </c>
      <c r="D99" s="109" t="s">
        <v>72</v>
      </c>
      <c r="E99" s="109" t="s">
        <v>172</v>
      </c>
      <c r="F99" s="109">
        <v>2013</v>
      </c>
      <c r="G99" s="110">
        <v>42448.375</v>
      </c>
      <c r="H99" s="110">
        <v>42453.75</v>
      </c>
      <c r="I99" s="111">
        <v>42448</v>
      </c>
      <c r="J99" s="111">
        <v>42453</v>
      </c>
      <c r="K99" s="112" t="s">
        <v>525</v>
      </c>
      <c r="L99" s="112">
        <v>0.75</v>
      </c>
      <c r="M99" s="112" t="s">
        <v>540</v>
      </c>
      <c r="N99" s="112" t="s">
        <v>529</v>
      </c>
      <c r="O99" s="112" t="s">
        <v>524</v>
      </c>
      <c r="P99" s="109" t="s">
        <v>9</v>
      </c>
      <c r="Q99" s="109" t="s">
        <v>190</v>
      </c>
      <c r="R99" s="109" t="s">
        <v>109</v>
      </c>
      <c r="S99" s="109">
        <v>5</v>
      </c>
      <c r="T99" s="109">
        <v>8</v>
      </c>
      <c r="U99" s="139">
        <v>33</v>
      </c>
      <c r="V99" s="140">
        <v>264</v>
      </c>
    </row>
    <row r="100" spans="1:22" x14ac:dyDescent="0.25">
      <c r="A100" s="103">
        <v>4453</v>
      </c>
      <c r="B100" s="104" t="s">
        <v>39</v>
      </c>
      <c r="C100" s="104" t="s">
        <v>177</v>
      </c>
      <c r="D100" s="104" t="s">
        <v>73</v>
      </c>
      <c r="E100" s="104" t="s">
        <v>169</v>
      </c>
      <c r="F100" s="104">
        <v>2013</v>
      </c>
      <c r="G100" s="105">
        <v>42448.375</v>
      </c>
      <c r="H100" s="105">
        <v>42453.75</v>
      </c>
      <c r="I100" s="106">
        <v>42448</v>
      </c>
      <c r="J100" s="106">
        <v>42453</v>
      </c>
      <c r="K100" s="107" t="s">
        <v>525</v>
      </c>
      <c r="L100" s="107">
        <v>0.75</v>
      </c>
      <c r="M100" s="107" t="s">
        <v>540</v>
      </c>
      <c r="N100" s="107" t="s">
        <v>529</v>
      </c>
      <c r="O100" s="107" t="s">
        <v>524</v>
      </c>
      <c r="P100" s="104" t="s">
        <v>23</v>
      </c>
      <c r="Q100" s="104" t="s">
        <v>28</v>
      </c>
      <c r="R100" s="104" t="s">
        <v>109</v>
      </c>
      <c r="S100" s="104">
        <v>4</v>
      </c>
      <c r="T100" s="104">
        <v>12</v>
      </c>
      <c r="U100" s="137">
        <v>61</v>
      </c>
      <c r="V100" s="138">
        <v>732</v>
      </c>
    </row>
    <row r="101" spans="1:22" x14ac:dyDescent="0.25">
      <c r="A101" s="108">
        <v>4454</v>
      </c>
      <c r="B101" s="109" t="s">
        <v>39</v>
      </c>
      <c r="C101" s="109" t="s">
        <v>177</v>
      </c>
      <c r="D101" s="109" t="s">
        <v>72</v>
      </c>
      <c r="E101" s="109" t="s">
        <v>172</v>
      </c>
      <c r="F101" s="109">
        <v>2013</v>
      </c>
      <c r="G101" s="110">
        <v>42448.375</v>
      </c>
      <c r="H101" s="110">
        <v>42453.75</v>
      </c>
      <c r="I101" s="111">
        <v>42448</v>
      </c>
      <c r="J101" s="111">
        <v>42453</v>
      </c>
      <c r="K101" s="112" t="s">
        <v>525</v>
      </c>
      <c r="L101" s="112">
        <v>0.75</v>
      </c>
      <c r="M101" s="112" t="s">
        <v>540</v>
      </c>
      <c r="N101" s="112" t="s">
        <v>529</v>
      </c>
      <c r="O101" s="112" t="s">
        <v>524</v>
      </c>
      <c r="P101" s="109" t="s">
        <v>9</v>
      </c>
      <c r="Q101" s="109" t="s">
        <v>12</v>
      </c>
      <c r="R101" s="109" t="s">
        <v>113</v>
      </c>
      <c r="S101" s="109">
        <v>3</v>
      </c>
      <c r="T101" s="109">
        <v>11</v>
      </c>
      <c r="U101" s="139">
        <v>33</v>
      </c>
      <c r="V101" s="140">
        <v>363</v>
      </c>
    </row>
    <row r="102" spans="1:22" x14ac:dyDescent="0.25">
      <c r="A102" s="103">
        <v>4455</v>
      </c>
      <c r="B102" s="104" t="s">
        <v>45</v>
      </c>
      <c r="C102" s="104" t="s">
        <v>177</v>
      </c>
      <c r="D102" s="104" t="s">
        <v>73</v>
      </c>
      <c r="E102" s="104" t="s">
        <v>169</v>
      </c>
      <c r="F102" s="104">
        <v>2013</v>
      </c>
      <c r="G102" s="105">
        <v>42450.791666666664</v>
      </c>
      <c r="H102" s="105">
        <v>42461.958333333336</v>
      </c>
      <c r="I102" s="106">
        <v>42450</v>
      </c>
      <c r="J102" s="106">
        <v>42461</v>
      </c>
      <c r="K102" s="107" t="s">
        <v>526</v>
      </c>
      <c r="L102" s="107">
        <v>0.95833333333333337</v>
      </c>
      <c r="M102" s="107" t="s">
        <v>541</v>
      </c>
      <c r="N102" s="107" t="s">
        <v>529</v>
      </c>
      <c r="O102" s="107" t="s">
        <v>524</v>
      </c>
      <c r="P102" s="104" t="s">
        <v>23</v>
      </c>
      <c r="Q102" s="104" t="s">
        <v>24</v>
      </c>
      <c r="R102" s="104" t="s">
        <v>113</v>
      </c>
      <c r="S102" s="104">
        <v>3</v>
      </c>
      <c r="T102" s="104">
        <v>10</v>
      </c>
      <c r="U102" s="137">
        <v>61</v>
      </c>
      <c r="V102" s="138">
        <v>610</v>
      </c>
    </row>
    <row r="103" spans="1:22" x14ac:dyDescent="0.25">
      <c r="A103" s="108">
        <v>4456</v>
      </c>
      <c r="B103" s="109" t="s">
        <v>7</v>
      </c>
      <c r="C103" s="109" t="s">
        <v>175</v>
      </c>
      <c r="D103" s="109" t="s">
        <v>75</v>
      </c>
      <c r="E103" s="109" t="s">
        <v>174</v>
      </c>
      <c r="F103" s="109">
        <v>2013</v>
      </c>
      <c r="G103" s="110">
        <v>42450.791666666664</v>
      </c>
      <c r="H103" s="110">
        <v>42461.958333333336</v>
      </c>
      <c r="I103" s="111">
        <v>42450</v>
      </c>
      <c r="J103" s="111">
        <v>42461</v>
      </c>
      <c r="K103" s="112" t="s">
        <v>526</v>
      </c>
      <c r="L103" s="112">
        <v>0.95833333333333337</v>
      </c>
      <c r="M103" s="112" t="s">
        <v>541</v>
      </c>
      <c r="N103" s="112" t="s">
        <v>529</v>
      </c>
      <c r="O103" s="112" t="s">
        <v>524</v>
      </c>
      <c r="P103" s="109" t="s">
        <v>9</v>
      </c>
      <c r="Q103" s="109" t="s">
        <v>35</v>
      </c>
      <c r="R103" s="109" t="s">
        <v>109</v>
      </c>
      <c r="S103" s="109">
        <v>2</v>
      </c>
      <c r="T103" s="109">
        <v>9</v>
      </c>
      <c r="U103" s="139">
        <v>52</v>
      </c>
      <c r="V103" s="140">
        <v>468</v>
      </c>
    </row>
    <row r="104" spans="1:22" x14ac:dyDescent="0.25">
      <c r="A104" s="103">
        <v>4457</v>
      </c>
      <c r="B104" s="104" t="s">
        <v>29</v>
      </c>
      <c r="C104" s="104" t="s">
        <v>177</v>
      </c>
      <c r="D104" s="104" t="s">
        <v>71</v>
      </c>
      <c r="E104" s="104" t="s">
        <v>170</v>
      </c>
      <c r="F104" s="104">
        <v>2013</v>
      </c>
      <c r="G104" s="105">
        <v>42450.791666666664</v>
      </c>
      <c r="H104" s="105">
        <v>42461.958333333336</v>
      </c>
      <c r="I104" s="106">
        <v>42450</v>
      </c>
      <c r="J104" s="106">
        <v>42461</v>
      </c>
      <c r="K104" s="107" t="s">
        <v>526</v>
      </c>
      <c r="L104" s="107">
        <v>0.95833333333333337</v>
      </c>
      <c r="M104" s="107" t="s">
        <v>541</v>
      </c>
      <c r="N104" s="107" t="s">
        <v>529</v>
      </c>
      <c r="O104" s="107" t="s">
        <v>524</v>
      </c>
      <c r="P104" s="104" t="s">
        <v>9</v>
      </c>
      <c r="Q104" s="104" t="s">
        <v>190</v>
      </c>
      <c r="R104" s="104" t="s">
        <v>109</v>
      </c>
      <c r="S104" s="104">
        <v>5</v>
      </c>
      <c r="T104" s="104">
        <v>10</v>
      </c>
      <c r="U104" s="137">
        <v>41</v>
      </c>
      <c r="V104" s="138">
        <v>410</v>
      </c>
    </row>
    <row r="105" spans="1:22" x14ac:dyDescent="0.25">
      <c r="A105" s="108">
        <v>4458</v>
      </c>
      <c r="B105" s="109" t="s">
        <v>17</v>
      </c>
      <c r="C105" s="109" t="s">
        <v>176</v>
      </c>
      <c r="D105" s="109" t="s">
        <v>66</v>
      </c>
      <c r="E105" s="109" t="s">
        <v>169</v>
      </c>
      <c r="F105" s="109">
        <v>2013</v>
      </c>
      <c r="G105" s="110">
        <v>42453.375</v>
      </c>
      <c r="H105" s="110">
        <v>42459.75</v>
      </c>
      <c r="I105" s="111">
        <v>42453</v>
      </c>
      <c r="J105" s="111">
        <v>42459</v>
      </c>
      <c r="K105" s="112" t="s">
        <v>525</v>
      </c>
      <c r="L105" s="112">
        <v>0.75</v>
      </c>
      <c r="M105" s="112" t="s">
        <v>540</v>
      </c>
      <c r="N105" s="112" t="s">
        <v>529</v>
      </c>
      <c r="O105" s="112" t="s">
        <v>524</v>
      </c>
      <c r="P105" s="109" t="s">
        <v>23</v>
      </c>
      <c r="Q105" s="109" t="s">
        <v>16</v>
      </c>
      <c r="R105" s="109" t="s">
        <v>109</v>
      </c>
      <c r="S105" s="109">
        <v>2</v>
      </c>
      <c r="T105" s="109">
        <v>12</v>
      </c>
      <c r="U105" s="139">
        <v>47</v>
      </c>
      <c r="V105" s="140">
        <v>564</v>
      </c>
    </row>
    <row r="106" spans="1:22" x14ac:dyDescent="0.25">
      <c r="A106" s="103">
        <v>4459</v>
      </c>
      <c r="B106" s="104" t="s">
        <v>19</v>
      </c>
      <c r="C106" s="104" t="s">
        <v>176</v>
      </c>
      <c r="D106" s="104" t="s">
        <v>63</v>
      </c>
      <c r="E106" s="104" t="s">
        <v>172</v>
      </c>
      <c r="F106" s="104">
        <v>2013</v>
      </c>
      <c r="G106" s="105">
        <v>42453.375</v>
      </c>
      <c r="H106" s="105">
        <v>42459.75</v>
      </c>
      <c r="I106" s="106">
        <v>42453</v>
      </c>
      <c r="J106" s="106">
        <v>42459</v>
      </c>
      <c r="K106" s="107" t="s">
        <v>525</v>
      </c>
      <c r="L106" s="107">
        <v>0.75</v>
      </c>
      <c r="M106" s="107" t="s">
        <v>540</v>
      </c>
      <c r="N106" s="107" t="s">
        <v>529</v>
      </c>
      <c r="O106" s="107" t="s">
        <v>524</v>
      </c>
      <c r="P106" s="104" t="s">
        <v>23</v>
      </c>
      <c r="Q106" s="104" t="s">
        <v>28</v>
      </c>
      <c r="R106" s="104" t="s">
        <v>109</v>
      </c>
      <c r="S106" s="104">
        <v>4</v>
      </c>
      <c r="T106" s="104">
        <v>12</v>
      </c>
      <c r="U106" s="137">
        <v>51</v>
      </c>
      <c r="V106" s="138">
        <v>612</v>
      </c>
    </row>
    <row r="107" spans="1:22" x14ac:dyDescent="0.25">
      <c r="A107" s="108">
        <v>4460</v>
      </c>
      <c r="B107" s="109" t="s">
        <v>22</v>
      </c>
      <c r="C107" s="109" t="s">
        <v>176</v>
      </c>
      <c r="D107" s="109" t="s">
        <v>68</v>
      </c>
      <c r="E107" s="109" t="s">
        <v>172</v>
      </c>
      <c r="F107" s="109">
        <v>2013</v>
      </c>
      <c r="G107" s="110">
        <v>42454.333333333336</v>
      </c>
      <c r="H107" s="110">
        <v>42467.5</v>
      </c>
      <c r="I107" s="111">
        <v>42454</v>
      </c>
      <c r="J107" s="111">
        <v>42467</v>
      </c>
      <c r="K107" s="112" t="s">
        <v>522</v>
      </c>
      <c r="L107" s="112">
        <v>0.5</v>
      </c>
      <c r="M107" s="112" t="s">
        <v>539</v>
      </c>
      <c r="N107" s="112" t="s">
        <v>529</v>
      </c>
      <c r="O107" s="112" t="s">
        <v>524</v>
      </c>
      <c r="P107" s="109" t="s">
        <v>9</v>
      </c>
      <c r="Q107" s="109" t="s">
        <v>38</v>
      </c>
      <c r="R107" s="109" t="s">
        <v>113</v>
      </c>
      <c r="S107" s="109">
        <v>2</v>
      </c>
      <c r="T107" s="109">
        <v>9</v>
      </c>
      <c r="U107" s="139">
        <v>42</v>
      </c>
      <c r="V107" s="140">
        <v>378</v>
      </c>
    </row>
    <row r="108" spans="1:22" x14ac:dyDescent="0.25">
      <c r="A108" s="103">
        <v>4461</v>
      </c>
      <c r="B108" s="104" t="s">
        <v>29</v>
      </c>
      <c r="C108" s="104" t="s">
        <v>177</v>
      </c>
      <c r="D108" s="104" t="s">
        <v>62</v>
      </c>
      <c r="E108" s="104" t="s">
        <v>172</v>
      </c>
      <c r="F108" s="104">
        <v>2013</v>
      </c>
      <c r="G108" s="105">
        <v>42454.333333333336</v>
      </c>
      <c r="H108" s="105">
        <v>42467.5</v>
      </c>
      <c r="I108" s="106">
        <v>42454</v>
      </c>
      <c r="J108" s="106">
        <v>42467</v>
      </c>
      <c r="K108" s="107" t="s">
        <v>522</v>
      </c>
      <c r="L108" s="107">
        <v>0.5</v>
      </c>
      <c r="M108" s="107" t="s">
        <v>539</v>
      </c>
      <c r="N108" s="107" t="s">
        <v>529</v>
      </c>
      <c r="O108" s="107" t="s">
        <v>524</v>
      </c>
      <c r="P108" s="104" t="s">
        <v>9</v>
      </c>
      <c r="Q108" s="104" t="s">
        <v>18</v>
      </c>
      <c r="R108" s="104" t="s">
        <v>113</v>
      </c>
      <c r="S108" s="104" t="s">
        <v>191</v>
      </c>
      <c r="T108" s="104">
        <v>11</v>
      </c>
      <c r="U108" s="137">
        <v>61</v>
      </c>
      <c r="V108" s="138">
        <v>671</v>
      </c>
    </row>
    <row r="109" spans="1:22" x14ac:dyDescent="0.25">
      <c r="A109" s="108">
        <v>4462</v>
      </c>
      <c r="B109" s="109" t="s">
        <v>11</v>
      </c>
      <c r="C109" s="109" t="s">
        <v>175</v>
      </c>
      <c r="D109" s="109" t="s">
        <v>75</v>
      </c>
      <c r="E109" s="109" t="s">
        <v>174</v>
      </c>
      <c r="F109" s="109">
        <v>2013</v>
      </c>
      <c r="G109" s="110">
        <v>42454.333333333336</v>
      </c>
      <c r="H109" s="110">
        <v>42467.5</v>
      </c>
      <c r="I109" s="111">
        <v>42454</v>
      </c>
      <c r="J109" s="111">
        <v>42467</v>
      </c>
      <c r="K109" s="112" t="s">
        <v>522</v>
      </c>
      <c r="L109" s="112">
        <v>0.5</v>
      </c>
      <c r="M109" s="112" t="s">
        <v>539</v>
      </c>
      <c r="N109" s="112" t="s">
        <v>529</v>
      </c>
      <c r="O109" s="112" t="s">
        <v>524</v>
      </c>
      <c r="P109" s="109" t="s">
        <v>9</v>
      </c>
      <c r="Q109" s="109" t="s">
        <v>38</v>
      </c>
      <c r="R109" s="109" t="s">
        <v>113</v>
      </c>
      <c r="S109" s="109">
        <v>2</v>
      </c>
      <c r="T109" s="109">
        <v>9</v>
      </c>
      <c r="U109" s="139">
        <v>52</v>
      </c>
      <c r="V109" s="140">
        <v>468</v>
      </c>
    </row>
    <row r="110" spans="1:22" x14ac:dyDescent="0.25">
      <c r="A110" s="103">
        <v>4463</v>
      </c>
      <c r="B110" s="104" t="s">
        <v>19</v>
      </c>
      <c r="C110" s="104" t="s">
        <v>176</v>
      </c>
      <c r="D110" s="104" t="s">
        <v>71</v>
      </c>
      <c r="E110" s="104" t="s">
        <v>170</v>
      </c>
      <c r="F110" s="104">
        <v>2013</v>
      </c>
      <c r="G110" s="105">
        <v>42454.333333333336</v>
      </c>
      <c r="H110" s="105">
        <v>42467.5</v>
      </c>
      <c r="I110" s="106">
        <v>42454</v>
      </c>
      <c r="J110" s="106">
        <v>42467</v>
      </c>
      <c r="K110" s="107" t="s">
        <v>522</v>
      </c>
      <c r="L110" s="107">
        <v>0.5</v>
      </c>
      <c r="M110" s="107" t="s">
        <v>539</v>
      </c>
      <c r="N110" s="107" t="s">
        <v>529</v>
      </c>
      <c r="O110" s="107" t="s">
        <v>524</v>
      </c>
      <c r="P110" s="104" t="s">
        <v>9</v>
      </c>
      <c r="Q110" s="104" t="s">
        <v>12</v>
      </c>
      <c r="R110" s="104" t="s">
        <v>113</v>
      </c>
      <c r="S110" s="104">
        <v>2</v>
      </c>
      <c r="T110" s="104">
        <v>9</v>
      </c>
      <c r="U110" s="137">
        <v>41</v>
      </c>
      <c r="V110" s="138">
        <v>369</v>
      </c>
    </row>
    <row r="111" spans="1:22" x14ac:dyDescent="0.25">
      <c r="A111" s="108">
        <v>4464</v>
      </c>
      <c r="B111" s="109" t="s">
        <v>14</v>
      </c>
      <c r="C111" s="109" t="s">
        <v>175</v>
      </c>
      <c r="D111" s="109" t="s">
        <v>64</v>
      </c>
      <c r="E111" s="109" t="s">
        <v>172</v>
      </c>
      <c r="F111" s="109">
        <v>2013</v>
      </c>
      <c r="G111" s="110">
        <v>42457.791666666664</v>
      </c>
      <c r="H111" s="110">
        <v>42468.958333333336</v>
      </c>
      <c r="I111" s="111">
        <v>42457</v>
      </c>
      <c r="J111" s="111">
        <v>42468</v>
      </c>
      <c r="K111" s="112" t="s">
        <v>526</v>
      </c>
      <c r="L111" s="112">
        <v>0.95833333333333337</v>
      </c>
      <c r="M111" s="112" t="s">
        <v>541</v>
      </c>
      <c r="N111" s="112" t="s">
        <v>529</v>
      </c>
      <c r="O111" s="112" t="s">
        <v>524</v>
      </c>
      <c r="P111" s="109" t="s">
        <v>23</v>
      </c>
      <c r="Q111" s="109" t="s">
        <v>16</v>
      </c>
      <c r="R111" s="109" t="s">
        <v>109</v>
      </c>
      <c r="S111" s="109">
        <v>3</v>
      </c>
      <c r="T111" s="109">
        <v>9</v>
      </c>
      <c r="U111" s="139">
        <v>73</v>
      </c>
      <c r="V111" s="140">
        <v>657</v>
      </c>
    </row>
    <row r="112" spans="1:22" x14ac:dyDescent="0.25">
      <c r="A112" s="103">
        <v>4465</v>
      </c>
      <c r="B112" s="104" t="s">
        <v>22</v>
      </c>
      <c r="C112" s="104" t="s">
        <v>176</v>
      </c>
      <c r="D112" s="104" t="s">
        <v>75</v>
      </c>
      <c r="E112" s="104" t="s">
        <v>174</v>
      </c>
      <c r="F112" s="104">
        <v>2013</v>
      </c>
      <c r="G112" s="105">
        <v>42458.791666666664</v>
      </c>
      <c r="H112" s="105">
        <v>42471.958333333336</v>
      </c>
      <c r="I112" s="106">
        <v>42458</v>
      </c>
      <c r="J112" s="106">
        <v>42471</v>
      </c>
      <c r="K112" s="107" t="s">
        <v>526</v>
      </c>
      <c r="L112" s="107">
        <v>0.95833333333333337</v>
      </c>
      <c r="M112" s="107" t="s">
        <v>541</v>
      </c>
      <c r="N112" s="107" t="s">
        <v>529</v>
      </c>
      <c r="O112" s="107" t="s">
        <v>524</v>
      </c>
      <c r="P112" s="104" t="s">
        <v>9</v>
      </c>
      <c r="Q112" s="104" t="s">
        <v>28</v>
      </c>
      <c r="R112" s="104" t="s">
        <v>109</v>
      </c>
      <c r="S112" s="104">
        <v>5</v>
      </c>
      <c r="T112" s="104">
        <v>8</v>
      </c>
      <c r="U112" s="137">
        <v>52</v>
      </c>
      <c r="V112" s="138">
        <v>416</v>
      </c>
    </row>
    <row r="113" spans="1:22" x14ac:dyDescent="0.25">
      <c r="A113" s="108">
        <v>4466</v>
      </c>
      <c r="B113" s="109" t="s">
        <v>45</v>
      </c>
      <c r="C113" s="109" t="s">
        <v>177</v>
      </c>
      <c r="D113" s="109" t="s">
        <v>65</v>
      </c>
      <c r="E113" s="109" t="s">
        <v>173</v>
      </c>
      <c r="F113" s="109">
        <v>2013</v>
      </c>
      <c r="G113" s="110">
        <v>42459.583333333336</v>
      </c>
      <c r="H113" s="110">
        <v>42472.75</v>
      </c>
      <c r="I113" s="111">
        <v>42459</v>
      </c>
      <c r="J113" s="111">
        <v>42472</v>
      </c>
      <c r="K113" s="112" t="s">
        <v>527</v>
      </c>
      <c r="L113" s="112">
        <v>0.75</v>
      </c>
      <c r="M113" s="112" t="s">
        <v>542</v>
      </c>
      <c r="N113" s="112" t="s">
        <v>529</v>
      </c>
      <c r="O113" s="112" t="s">
        <v>524</v>
      </c>
      <c r="P113" s="109" t="s">
        <v>23</v>
      </c>
      <c r="Q113" s="109" t="s">
        <v>190</v>
      </c>
      <c r="R113" s="109" t="s">
        <v>109</v>
      </c>
      <c r="S113" s="109">
        <v>5</v>
      </c>
      <c r="T113" s="109">
        <v>9</v>
      </c>
      <c r="U113" s="139">
        <v>31</v>
      </c>
      <c r="V113" s="140">
        <v>279</v>
      </c>
    </row>
    <row r="114" spans="1:22" x14ac:dyDescent="0.25">
      <c r="A114" s="103">
        <v>4467</v>
      </c>
      <c r="B114" s="104" t="s">
        <v>17</v>
      </c>
      <c r="C114" s="104" t="s">
        <v>176</v>
      </c>
      <c r="D114" s="104" t="s">
        <v>62</v>
      </c>
      <c r="E114" s="104" t="s">
        <v>172</v>
      </c>
      <c r="F114" s="104">
        <v>2013</v>
      </c>
      <c r="G114" s="105">
        <v>42459.583333333336</v>
      </c>
      <c r="H114" s="105">
        <v>42472.75</v>
      </c>
      <c r="I114" s="106">
        <v>42459</v>
      </c>
      <c r="J114" s="106">
        <v>42472</v>
      </c>
      <c r="K114" s="107" t="s">
        <v>527</v>
      </c>
      <c r="L114" s="107">
        <v>0.75</v>
      </c>
      <c r="M114" s="107" t="s">
        <v>542</v>
      </c>
      <c r="N114" s="107" t="s">
        <v>529</v>
      </c>
      <c r="O114" s="107" t="s">
        <v>524</v>
      </c>
      <c r="P114" s="104" t="s">
        <v>9</v>
      </c>
      <c r="Q114" s="104" t="s">
        <v>24</v>
      </c>
      <c r="R114" s="104" t="s">
        <v>113</v>
      </c>
      <c r="S114" s="104">
        <v>4</v>
      </c>
      <c r="T114" s="104">
        <v>8</v>
      </c>
      <c r="U114" s="137">
        <v>61</v>
      </c>
      <c r="V114" s="138">
        <v>488</v>
      </c>
    </row>
    <row r="115" spans="1:22" x14ac:dyDescent="0.25">
      <c r="A115" s="108">
        <v>4468</v>
      </c>
      <c r="B115" s="109" t="s">
        <v>11</v>
      </c>
      <c r="C115" s="109" t="s">
        <v>175</v>
      </c>
      <c r="D115" s="109" t="s">
        <v>75</v>
      </c>
      <c r="E115" s="109" t="s">
        <v>174</v>
      </c>
      <c r="F115" s="109">
        <v>2013</v>
      </c>
      <c r="G115" s="110">
        <v>42459.583333333336</v>
      </c>
      <c r="H115" s="110">
        <v>42472.75</v>
      </c>
      <c r="I115" s="111">
        <v>42459</v>
      </c>
      <c r="J115" s="111">
        <v>42472</v>
      </c>
      <c r="K115" s="112" t="s">
        <v>527</v>
      </c>
      <c r="L115" s="112">
        <v>0.75</v>
      </c>
      <c r="M115" s="112" t="s">
        <v>542</v>
      </c>
      <c r="N115" s="112" t="s">
        <v>529</v>
      </c>
      <c r="O115" s="112" t="s">
        <v>524</v>
      </c>
      <c r="P115" s="109" t="s">
        <v>23</v>
      </c>
      <c r="Q115" s="109" t="s">
        <v>190</v>
      </c>
      <c r="R115" s="109" t="s">
        <v>109</v>
      </c>
      <c r="S115" s="109">
        <v>2</v>
      </c>
      <c r="T115" s="109">
        <v>11</v>
      </c>
      <c r="U115" s="139">
        <v>52</v>
      </c>
      <c r="V115" s="140">
        <v>572</v>
      </c>
    </row>
    <row r="116" spans="1:22" x14ac:dyDescent="0.25">
      <c r="A116" s="103">
        <v>4469</v>
      </c>
      <c r="B116" s="104" t="s">
        <v>17</v>
      </c>
      <c r="C116" s="104" t="s">
        <v>176</v>
      </c>
      <c r="D116" s="104" t="s">
        <v>62</v>
      </c>
      <c r="E116" s="104" t="s">
        <v>172</v>
      </c>
      <c r="F116" s="104">
        <v>2013</v>
      </c>
      <c r="G116" s="105">
        <v>42460.375</v>
      </c>
      <c r="H116" s="105">
        <v>42466.75</v>
      </c>
      <c r="I116" s="106">
        <v>42460</v>
      </c>
      <c r="J116" s="106">
        <v>42466</v>
      </c>
      <c r="K116" s="107" t="s">
        <v>525</v>
      </c>
      <c r="L116" s="107">
        <v>0.75</v>
      </c>
      <c r="M116" s="107" t="s">
        <v>540</v>
      </c>
      <c r="N116" s="107" t="s">
        <v>529</v>
      </c>
      <c r="O116" s="107" t="s">
        <v>524</v>
      </c>
      <c r="P116" s="104" t="s">
        <v>23</v>
      </c>
      <c r="Q116" s="104" t="s">
        <v>18</v>
      </c>
      <c r="R116" s="104" t="s">
        <v>113</v>
      </c>
      <c r="S116" s="104">
        <v>5</v>
      </c>
      <c r="T116" s="104">
        <v>12</v>
      </c>
      <c r="U116" s="137">
        <v>61</v>
      </c>
      <c r="V116" s="138">
        <v>732</v>
      </c>
    </row>
    <row r="117" spans="1:22" x14ac:dyDescent="0.25">
      <c r="A117" s="108">
        <v>4470</v>
      </c>
      <c r="B117" s="109" t="s">
        <v>39</v>
      </c>
      <c r="C117" s="109" t="s">
        <v>177</v>
      </c>
      <c r="D117" s="109" t="s">
        <v>62</v>
      </c>
      <c r="E117" s="109" t="s">
        <v>172</v>
      </c>
      <c r="F117" s="109">
        <v>2013</v>
      </c>
      <c r="G117" s="110">
        <v>42461.333333333336</v>
      </c>
      <c r="H117" s="110">
        <v>42474.5</v>
      </c>
      <c r="I117" s="111">
        <v>42461</v>
      </c>
      <c r="J117" s="111">
        <v>42474</v>
      </c>
      <c r="K117" s="112" t="s">
        <v>522</v>
      </c>
      <c r="L117" s="112">
        <v>0.5</v>
      </c>
      <c r="M117" s="112" t="s">
        <v>539</v>
      </c>
      <c r="N117" s="112" t="s">
        <v>530</v>
      </c>
      <c r="O117" s="112" t="s">
        <v>524</v>
      </c>
      <c r="P117" s="109" t="s">
        <v>23</v>
      </c>
      <c r="Q117" s="109" t="s">
        <v>190</v>
      </c>
      <c r="R117" s="109" t="s">
        <v>109</v>
      </c>
      <c r="S117" s="109">
        <v>3</v>
      </c>
      <c r="T117" s="109">
        <v>8</v>
      </c>
      <c r="U117" s="139">
        <v>61</v>
      </c>
      <c r="V117" s="140">
        <v>488</v>
      </c>
    </row>
    <row r="118" spans="1:22" x14ac:dyDescent="0.25">
      <c r="A118" s="103">
        <v>4471</v>
      </c>
      <c r="B118" s="104" t="s">
        <v>22</v>
      </c>
      <c r="C118" s="104" t="s">
        <v>176</v>
      </c>
      <c r="D118" s="104" t="s">
        <v>65</v>
      </c>
      <c r="E118" s="104" t="s">
        <v>173</v>
      </c>
      <c r="F118" s="104">
        <v>2013</v>
      </c>
      <c r="G118" s="105">
        <v>42461.333333333336</v>
      </c>
      <c r="H118" s="105">
        <v>42474.5</v>
      </c>
      <c r="I118" s="106">
        <v>42461</v>
      </c>
      <c r="J118" s="106">
        <v>42474</v>
      </c>
      <c r="K118" s="107" t="s">
        <v>522</v>
      </c>
      <c r="L118" s="107">
        <v>0.5</v>
      </c>
      <c r="M118" s="107" t="s">
        <v>539</v>
      </c>
      <c r="N118" s="107" t="s">
        <v>530</v>
      </c>
      <c r="O118" s="107" t="s">
        <v>524</v>
      </c>
      <c r="P118" s="104" t="s">
        <v>9</v>
      </c>
      <c r="Q118" s="104" t="s">
        <v>12</v>
      </c>
      <c r="R118" s="104" t="s">
        <v>113</v>
      </c>
      <c r="S118" s="104">
        <v>2</v>
      </c>
      <c r="T118" s="104">
        <v>12</v>
      </c>
      <c r="U118" s="137">
        <v>31</v>
      </c>
      <c r="V118" s="138">
        <v>372</v>
      </c>
    </row>
    <row r="119" spans="1:22" x14ac:dyDescent="0.25">
      <c r="A119" s="108">
        <v>4472</v>
      </c>
      <c r="B119" s="109" t="s">
        <v>14</v>
      </c>
      <c r="C119" s="109" t="s">
        <v>175</v>
      </c>
      <c r="D119" s="109" t="s">
        <v>64</v>
      </c>
      <c r="E119" s="109" t="s">
        <v>172</v>
      </c>
      <c r="F119" s="109">
        <v>2013</v>
      </c>
      <c r="G119" s="110">
        <v>42461.333333333336</v>
      </c>
      <c r="H119" s="110">
        <v>42474.5</v>
      </c>
      <c r="I119" s="111">
        <v>42461</v>
      </c>
      <c r="J119" s="111">
        <v>42474</v>
      </c>
      <c r="K119" s="112" t="s">
        <v>522</v>
      </c>
      <c r="L119" s="112">
        <v>0.5</v>
      </c>
      <c r="M119" s="112" t="s">
        <v>539</v>
      </c>
      <c r="N119" s="112" t="s">
        <v>530</v>
      </c>
      <c r="O119" s="112" t="s">
        <v>524</v>
      </c>
      <c r="P119" s="109" t="s">
        <v>23</v>
      </c>
      <c r="Q119" s="109" t="s">
        <v>190</v>
      </c>
      <c r="R119" s="109" t="s">
        <v>109</v>
      </c>
      <c r="S119" s="109">
        <v>2</v>
      </c>
      <c r="T119" s="109">
        <v>12</v>
      </c>
      <c r="U119" s="139">
        <v>73</v>
      </c>
      <c r="V119" s="140">
        <v>876</v>
      </c>
    </row>
    <row r="120" spans="1:22" x14ac:dyDescent="0.25">
      <c r="A120" s="103">
        <v>4473</v>
      </c>
      <c r="B120" s="104" t="s">
        <v>17</v>
      </c>
      <c r="C120" s="104" t="s">
        <v>176</v>
      </c>
      <c r="D120" s="104" t="s">
        <v>65</v>
      </c>
      <c r="E120" s="104" t="s">
        <v>173</v>
      </c>
      <c r="F120" s="104">
        <v>2013</v>
      </c>
      <c r="G120" s="105">
        <v>42462.375</v>
      </c>
      <c r="H120" s="105">
        <v>42467.75</v>
      </c>
      <c r="I120" s="106">
        <v>42462</v>
      </c>
      <c r="J120" s="106">
        <v>42467</v>
      </c>
      <c r="K120" s="107" t="s">
        <v>525</v>
      </c>
      <c r="L120" s="107">
        <v>0.75</v>
      </c>
      <c r="M120" s="107" t="s">
        <v>540</v>
      </c>
      <c r="N120" s="107" t="s">
        <v>530</v>
      </c>
      <c r="O120" s="107" t="s">
        <v>524</v>
      </c>
      <c r="P120" s="104" t="s">
        <v>23</v>
      </c>
      <c r="Q120" s="104" t="s">
        <v>38</v>
      </c>
      <c r="R120" s="104" t="s">
        <v>113</v>
      </c>
      <c r="S120" s="104">
        <v>3</v>
      </c>
      <c r="T120" s="104">
        <v>9</v>
      </c>
      <c r="U120" s="137">
        <v>31</v>
      </c>
      <c r="V120" s="138">
        <v>279</v>
      </c>
    </row>
    <row r="121" spans="1:22" x14ac:dyDescent="0.25">
      <c r="A121" s="108">
        <v>4474</v>
      </c>
      <c r="B121" s="109" t="s">
        <v>39</v>
      </c>
      <c r="C121" s="109" t="s">
        <v>177</v>
      </c>
      <c r="D121" s="109" t="s">
        <v>65</v>
      </c>
      <c r="E121" s="109" t="s">
        <v>173</v>
      </c>
      <c r="F121" s="109">
        <v>2013</v>
      </c>
      <c r="G121" s="110">
        <v>42462.375</v>
      </c>
      <c r="H121" s="110">
        <v>42467.75</v>
      </c>
      <c r="I121" s="111">
        <v>42462</v>
      </c>
      <c r="J121" s="111">
        <v>42467</v>
      </c>
      <c r="K121" s="112" t="s">
        <v>525</v>
      </c>
      <c r="L121" s="112">
        <v>0.75</v>
      </c>
      <c r="M121" s="112" t="s">
        <v>540</v>
      </c>
      <c r="N121" s="112" t="s">
        <v>530</v>
      </c>
      <c r="O121" s="112" t="s">
        <v>524</v>
      </c>
      <c r="P121" s="109" t="s">
        <v>23</v>
      </c>
      <c r="Q121" s="109" t="s">
        <v>44</v>
      </c>
      <c r="R121" s="109" t="s">
        <v>113</v>
      </c>
      <c r="S121" s="109">
        <v>3</v>
      </c>
      <c r="T121" s="109">
        <v>11</v>
      </c>
      <c r="U121" s="139">
        <v>31</v>
      </c>
      <c r="V121" s="140">
        <v>341</v>
      </c>
    </row>
    <row r="122" spans="1:22" x14ac:dyDescent="0.25">
      <c r="A122" s="103">
        <v>4475</v>
      </c>
      <c r="B122" s="104" t="s">
        <v>19</v>
      </c>
      <c r="C122" s="104" t="s">
        <v>176</v>
      </c>
      <c r="D122" s="104" t="s">
        <v>64</v>
      </c>
      <c r="E122" s="104" t="s">
        <v>172</v>
      </c>
      <c r="F122" s="104">
        <v>2013</v>
      </c>
      <c r="G122" s="105">
        <v>42464.791666666664</v>
      </c>
      <c r="H122" s="105">
        <v>42475.958333333336</v>
      </c>
      <c r="I122" s="106">
        <v>42464</v>
      </c>
      <c r="J122" s="106">
        <v>42475</v>
      </c>
      <c r="K122" s="107" t="s">
        <v>526</v>
      </c>
      <c r="L122" s="107">
        <v>0.95833333333333337</v>
      </c>
      <c r="M122" s="107" t="s">
        <v>541</v>
      </c>
      <c r="N122" s="107" t="s">
        <v>530</v>
      </c>
      <c r="O122" s="107" t="s">
        <v>524</v>
      </c>
      <c r="P122" s="104" t="s">
        <v>23</v>
      </c>
      <c r="Q122" s="104" t="s">
        <v>35</v>
      </c>
      <c r="R122" s="104" t="s">
        <v>109</v>
      </c>
      <c r="S122" s="104">
        <v>2</v>
      </c>
      <c r="T122" s="104">
        <v>8</v>
      </c>
      <c r="U122" s="137">
        <v>73</v>
      </c>
      <c r="V122" s="138">
        <v>584</v>
      </c>
    </row>
    <row r="123" spans="1:22" x14ac:dyDescent="0.25">
      <c r="A123" s="108">
        <v>4476</v>
      </c>
      <c r="B123" s="109" t="s">
        <v>29</v>
      </c>
      <c r="C123" s="109" t="s">
        <v>177</v>
      </c>
      <c r="D123" s="109" t="s">
        <v>72</v>
      </c>
      <c r="E123" s="109" t="s">
        <v>172</v>
      </c>
      <c r="F123" s="109">
        <v>2013</v>
      </c>
      <c r="G123" s="110">
        <v>42464.791666666664</v>
      </c>
      <c r="H123" s="110">
        <v>42475.958333333336</v>
      </c>
      <c r="I123" s="111">
        <v>42464</v>
      </c>
      <c r="J123" s="111">
        <v>42475</v>
      </c>
      <c r="K123" s="112" t="s">
        <v>526</v>
      </c>
      <c r="L123" s="112">
        <v>0.95833333333333337</v>
      </c>
      <c r="M123" s="112" t="s">
        <v>541</v>
      </c>
      <c r="N123" s="112" t="s">
        <v>530</v>
      </c>
      <c r="O123" s="112" t="s">
        <v>524</v>
      </c>
      <c r="P123" s="109" t="s">
        <v>23</v>
      </c>
      <c r="Q123" s="109" t="s">
        <v>26</v>
      </c>
      <c r="R123" s="109" t="s">
        <v>113</v>
      </c>
      <c r="S123" s="109">
        <v>5</v>
      </c>
      <c r="T123" s="109">
        <v>8</v>
      </c>
      <c r="U123" s="139">
        <v>33</v>
      </c>
      <c r="V123" s="140">
        <v>264</v>
      </c>
    </row>
    <row r="124" spans="1:22" x14ac:dyDescent="0.25">
      <c r="A124" s="103">
        <v>4477</v>
      </c>
      <c r="B124" s="104" t="s">
        <v>22</v>
      </c>
      <c r="C124" s="104" t="s">
        <v>176</v>
      </c>
      <c r="D124" s="104" t="s">
        <v>67</v>
      </c>
      <c r="E124" s="104" t="s">
        <v>170</v>
      </c>
      <c r="F124" s="104">
        <v>2013</v>
      </c>
      <c r="G124" s="105">
        <v>42464.791666666664</v>
      </c>
      <c r="H124" s="105">
        <v>42475.958333333336</v>
      </c>
      <c r="I124" s="106">
        <v>42464</v>
      </c>
      <c r="J124" s="106">
        <v>42475</v>
      </c>
      <c r="K124" s="107" t="s">
        <v>526</v>
      </c>
      <c r="L124" s="107">
        <v>0.95833333333333337</v>
      </c>
      <c r="M124" s="107" t="s">
        <v>541</v>
      </c>
      <c r="N124" s="107" t="s">
        <v>530</v>
      </c>
      <c r="O124" s="107" t="s">
        <v>524</v>
      </c>
      <c r="P124" s="104" t="s">
        <v>23</v>
      </c>
      <c r="Q124" s="104" t="s">
        <v>16</v>
      </c>
      <c r="R124" s="104" t="s">
        <v>109</v>
      </c>
      <c r="S124" s="104">
        <v>3</v>
      </c>
      <c r="T124" s="104">
        <v>12</v>
      </c>
      <c r="U124" s="137">
        <v>47</v>
      </c>
      <c r="V124" s="138">
        <v>564</v>
      </c>
    </row>
    <row r="125" spans="1:22" x14ac:dyDescent="0.25">
      <c r="A125" s="108">
        <v>4478</v>
      </c>
      <c r="B125" s="109" t="s">
        <v>11</v>
      </c>
      <c r="C125" s="109" t="s">
        <v>175</v>
      </c>
      <c r="D125" s="109" t="s">
        <v>75</v>
      </c>
      <c r="E125" s="109" t="s">
        <v>174</v>
      </c>
      <c r="F125" s="109">
        <v>2013</v>
      </c>
      <c r="G125" s="110">
        <v>42464.791666666664</v>
      </c>
      <c r="H125" s="110">
        <v>42475.958333333336</v>
      </c>
      <c r="I125" s="111">
        <v>42464</v>
      </c>
      <c r="J125" s="111">
        <v>42475</v>
      </c>
      <c r="K125" s="112" t="s">
        <v>526</v>
      </c>
      <c r="L125" s="112">
        <v>0.95833333333333337</v>
      </c>
      <c r="M125" s="112" t="s">
        <v>541</v>
      </c>
      <c r="N125" s="112" t="s">
        <v>530</v>
      </c>
      <c r="O125" s="112" t="s">
        <v>524</v>
      </c>
      <c r="P125" s="109" t="s">
        <v>9</v>
      </c>
      <c r="Q125" s="109" t="s">
        <v>21</v>
      </c>
      <c r="R125" s="109" t="s">
        <v>113</v>
      </c>
      <c r="S125" s="109">
        <v>2</v>
      </c>
      <c r="T125" s="109">
        <v>9</v>
      </c>
      <c r="U125" s="139">
        <v>52</v>
      </c>
      <c r="V125" s="140">
        <v>468</v>
      </c>
    </row>
    <row r="126" spans="1:22" x14ac:dyDescent="0.25">
      <c r="A126" s="103">
        <v>4479</v>
      </c>
      <c r="B126" s="104" t="s">
        <v>22</v>
      </c>
      <c r="C126" s="104" t="s">
        <v>176</v>
      </c>
      <c r="D126" s="104" t="s">
        <v>70</v>
      </c>
      <c r="E126" s="104" t="s">
        <v>174</v>
      </c>
      <c r="F126" s="104">
        <v>2013</v>
      </c>
      <c r="G126" s="105">
        <v>42464.791666666664</v>
      </c>
      <c r="H126" s="105">
        <v>42475.958333333336</v>
      </c>
      <c r="I126" s="106">
        <v>42464</v>
      </c>
      <c r="J126" s="106">
        <v>42475</v>
      </c>
      <c r="K126" s="107" t="s">
        <v>526</v>
      </c>
      <c r="L126" s="107">
        <v>0.95833333333333337</v>
      </c>
      <c r="M126" s="107" t="s">
        <v>541</v>
      </c>
      <c r="N126" s="107" t="s">
        <v>530</v>
      </c>
      <c r="O126" s="107" t="s">
        <v>524</v>
      </c>
      <c r="P126" s="104" t="s">
        <v>23</v>
      </c>
      <c r="Q126" s="104" t="s">
        <v>37</v>
      </c>
      <c r="R126" s="104" t="s">
        <v>113</v>
      </c>
      <c r="S126" s="104">
        <v>3</v>
      </c>
      <c r="T126" s="104">
        <v>8</v>
      </c>
      <c r="U126" s="137">
        <v>62</v>
      </c>
      <c r="V126" s="138">
        <v>496</v>
      </c>
    </row>
    <row r="127" spans="1:22" x14ac:dyDescent="0.25">
      <c r="A127" s="108">
        <v>4480</v>
      </c>
      <c r="B127" s="109" t="s">
        <v>17</v>
      </c>
      <c r="C127" s="109" t="s">
        <v>176</v>
      </c>
      <c r="D127" s="109" t="s">
        <v>72</v>
      </c>
      <c r="E127" s="109" t="s">
        <v>172</v>
      </c>
      <c r="F127" s="109">
        <v>2013</v>
      </c>
      <c r="G127" s="110">
        <v>42466.583333333336</v>
      </c>
      <c r="H127" s="110">
        <v>42479.75</v>
      </c>
      <c r="I127" s="111">
        <v>42466</v>
      </c>
      <c r="J127" s="111">
        <v>42479</v>
      </c>
      <c r="K127" s="112" t="s">
        <v>527</v>
      </c>
      <c r="L127" s="112">
        <v>0.75</v>
      </c>
      <c r="M127" s="112" t="s">
        <v>542</v>
      </c>
      <c r="N127" s="112" t="s">
        <v>530</v>
      </c>
      <c r="O127" s="112" t="s">
        <v>524</v>
      </c>
      <c r="P127" s="109" t="s">
        <v>9</v>
      </c>
      <c r="Q127" s="109" t="s">
        <v>26</v>
      </c>
      <c r="R127" s="109" t="s">
        <v>113</v>
      </c>
      <c r="S127" s="109">
        <v>4</v>
      </c>
      <c r="T127" s="109">
        <v>9</v>
      </c>
      <c r="U127" s="139">
        <v>33</v>
      </c>
      <c r="V127" s="140">
        <v>297</v>
      </c>
    </row>
    <row r="128" spans="1:22" x14ac:dyDescent="0.25">
      <c r="A128" s="103">
        <v>4481</v>
      </c>
      <c r="B128" s="104" t="s">
        <v>45</v>
      </c>
      <c r="C128" s="104" t="s">
        <v>177</v>
      </c>
      <c r="D128" s="104" t="s">
        <v>72</v>
      </c>
      <c r="E128" s="104" t="s">
        <v>172</v>
      </c>
      <c r="F128" s="104">
        <v>2013</v>
      </c>
      <c r="G128" s="105">
        <v>42467.375</v>
      </c>
      <c r="H128" s="105">
        <v>42473.75</v>
      </c>
      <c r="I128" s="106">
        <v>42467</v>
      </c>
      <c r="J128" s="106">
        <v>42473</v>
      </c>
      <c r="K128" s="107" t="s">
        <v>525</v>
      </c>
      <c r="L128" s="107">
        <v>0.75</v>
      </c>
      <c r="M128" s="107" t="s">
        <v>540</v>
      </c>
      <c r="N128" s="107" t="s">
        <v>530</v>
      </c>
      <c r="O128" s="107" t="s">
        <v>524</v>
      </c>
      <c r="P128" s="104" t="s">
        <v>9</v>
      </c>
      <c r="Q128" s="104" t="s">
        <v>190</v>
      </c>
      <c r="R128" s="104" t="s">
        <v>109</v>
      </c>
      <c r="S128" s="104">
        <v>5</v>
      </c>
      <c r="T128" s="104">
        <v>11</v>
      </c>
      <c r="U128" s="137">
        <v>33</v>
      </c>
      <c r="V128" s="138">
        <v>363</v>
      </c>
    </row>
    <row r="129" spans="1:22" x14ac:dyDescent="0.25">
      <c r="A129" s="108">
        <v>4482</v>
      </c>
      <c r="B129" s="109" t="s">
        <v>45</v>
      </c>
      <c r="C129" s="109" t="s">
        <v>177</v>
      </c>
      <c r="D129" s="109" t="s">
        <v>67</v>
      </c>
      <c r="E129" s="109" t="s">
        <v>170</v>
      </c>
      <c r="F129" s="109">
        <v>2013</v>
      </c>
      <c r="G129" s="110">
        <v>42467.375</v>
      </c>
      <c r="H129" s="110">
        <v>42473.75</v>
      </c>
      <c r="I129" s="111">
        <v>42467</v>
      </c>
      <c r="J129" s="111">
        <v>42473</v>
      </c>
      <c r="K129" s="112" t="s">
        <v>525</v>
      </c>
      <c r="L129" s="112">
        <v>0.75</v>
      </c>
      <c r="M129" s="112" t="s">
        <v>540</v>
      </c>
      <c r="N129" s="112" t="s">
        <v>530</v>
      </c>
      <c r="O129" s="112" t="s">
        <v>524</v>
      </c>
      <c r="P129" s="109" t="s">
        <v>23</v>
      </c>
      <c r="Q129" s="109" t="s">
        <v>22</v>
      </c>
      <c r="R129" s="109" t="s">
        <v>109</v>
      </c>
      <c r="S129" s="109">
        <v>2</v>
      </c>
      <c r="T129" s="109">
        <v>8</v>
      </c>
      <c r="U129" s="139">
        <v>47</v>
      </c>
      <c r="V129" s="140">
        <v>376</v>
      </c>
    </row>
    <row r="130" spans="1:22" x14ac:dyDescent="0.25">
      <c r="A130" s="103">
        <v>4483</v>
      </c>
      <c r="B130" s="104" t="s">
        <v>45</v>
      </c>
      <c r="C130" s="104" t="s">
        <v>177</v>
      </c>
      <c r="D130" s="104" t="s">
        <v>66</v>
      </c>
      <c r="E130" s="104" t="s">
        <v>169</v>
      </c>
      <c r="F130" s="104">
        <v>2013</v>
      </c>
      <c r="G130" s="105">
        <v>42468.333333333336</v>
      </c>
      <c r="H130" s="105">
        <v>42481.5</v>
      </c>
      <c r="I130" s="106">
        <v>42468</v>
      </c>
      <c r="J130" s="106">
        <v>42481</v>
      </c>
      <c r="K130" s="107" t="s">
        <v>522</v>
      </c>
      <c r="L130" s="107">
        <v>0.5</v>
      </c>
      <c r="M130" s="107" t="s">
        <v>539</v>
      </c>
      <c r="N130" s="107" t="s">
        <v>530</v>
      </c>
      <c r="O130" s="107" t="s">
        <v>524</v>
      </c>
      <c r="P130" s="104" t="s">
        <v>9</v>
      </c>
      <c r="Q130" s="104" t="s">
        <v>21</v>
      </c>
      <c r="R130" s="104" t="s">
        <v>113</v>
      </c>
      <c r="S130" s="104">
        <v>5</v>
      </c>
      <c r="T130" s="104">
        <v>9</v>
      </c>
      <c r="U130" s="137">
        <v>47</v>
      </c>
      <c r="V130" s="138">
        <v>423</v>
      </c>
    </row>
    <row r="131" spans="1:22" x14ac:dyDescent="0.25">
      <c r="A131" s="108">
        <v>4484</v>
      </c>
      <c r="B131" s="109" t="s">
        <v>39</v>
      </c>
      <c r="C131" s="109" t="s">
        <v>177</v>
      </c>
      <c r="D131" s="109" t="s">
        <v>70</v>
      </c>
      <c r="E131" s="109" t="s">
        <v>174</v>
      </c>
      <c r="F131" s="109">
        <v>2013</v>
      </c>
      <c r="G131" s="110">
        <v>42468.333333333336</v>
      </c>
      <c r="H131" s="110">
        <v>42481.5</v>
      </c>
      <c r="I131" s="111">
        <v>42468</v>
      </c>
      <c r="J131" s="111">
        <v>42481</v>
      </c>
      <c r="K131" s="112" t="s">
        <v>522</v>
      </c>
      <c r="L131" s="112">
        <v>0.5</v>
      </c>
      <c r="M131" s="112" t="s">
        <v>539</v>
      </c>
      <c r="N131" s="112" t="s">
        <v>530</v>
      </c>
      <c r="O131" s="112" t="s">
        <v>524</v>
      </c>
      <c r="P131" s="109" t="s">
        <v>23</v>
      </c>
      <c r="Q131" s="109" t="s">
        <v>35</v>
      </c>
      <c r="R131" s="109" t="s">
        <v>109</v>
      </c>
      <c r="S131" s="109">
        <v>5</v>
      </c>
      <c r="T131" s="109">
        <v>12</v>
      </c>
      <c r="U131" s="139">
        <v>62</v>
      </c>
      <c r="V131" s="140">
        <v>744</v>
      </c>
    </row>
    <row r="132" spans="1:22" x14ac:dyDescent="0.25">
      <c r="A132" s="103">
        <v>4485</v>
      </c>
      <c r="B132" s="104" t="s">
        <v>7</v>
      </c>
      <c r="C132" s="104" t="s">
        <v>175</v>
      </c>
      <c r="D132" s="104" t="s">
        <v>62</v>
      </c>
      <c r="E132" s="104" t="s">
        <v>172</v>
      </c>
      <c r="F132" s="104">
        <v>2013</v>
      </c>
      <c r="G132" s="105">
        <v>42471.791666666664</v>
      </c>
      <c r="H132" s="105">
        <v>42482.958333333336</v>
      </c>
      <c r="I132" s="106">
        <v>42471</v>
      </c>
      <c r="J132" s="106">
        <v>42482</v>
      </c>
      <c r="K132" s="107" t="s">
        <v>526</v>
      </c>
      <c r="L132" s="107">
        <v>0.95833333333333337</v>
      </c>
      <c r="M132" s="107" t="s">
        <v>541</v>
      </c>
      <c r="N132" s="107" t="s">
        <v>530</v>
      </c>
      <c r="O132" s="107" t="s">
        <v>524</v>
      </c>
      <c r="P132" s="104" t="s">
        <v>9</v>
      </c>
      <c r="Q132" s="104" t="s">
        <v>16</v>
      </c>
      <c r="R132" s="104" t="s">
        <v>109</v>
      </c>
      <c r="S132" s="104">
        <v>5</v>
      </c>
      <c r="T132" s="104">
        <v>8</v>
      </c>
      <c r="U132" s="137">
        <v>61</v>
      </c>
      <c r="V132" s="138">
        <v>488</v>
      </c>
    </row>
    <row r="133" spans="1:22" x14ac:dyDescent="0.25">
      <c r="A133" s="108">
        <v>4486</v>
      </c>
      <c r="B133" s="109" t="s">
        <v>39</v>
      </c>
      <c r="C133" s="109" t="s">
        <v>177</v>
      </c>
      <c r="D133" s="109" t="s">
        <v>70</v>
      </c>
      <c r="E133" s="109" t="s">
        <v>174</v>
      </c>
      <c r="F133" s="109">
        <v>2013</v>
      </c>
      <c r="G133" s="110">
        <v>42471.791666666664</v>
      </c>
      <c r="H133" s="110">
        <v>42482.958333333336</v>
      </c>
      <c r="I133" s="111">
        <v>42471</v>
      </c>
      <c r="J133" s="111">
        <v>42482</v>
      </c>
      <c r="K133" s="112" t="s">
        <v>526</v>
      </c>
      <c r="L133" s="112">
        <v>0.95833333333333337</v>
      </c>
      <c r="M133" s="112" t="s">
        <v>541</v>
      </c>
      <c r="N133" s="112" t="s">
        <v>530</v>
      </c>
      <c r="O133" s="112" t="s">
        <v>524</v>
      </c>
      <c r="P133" s="109" t="s">
        <v>9</v>
      </c>
      <c r="Q133" s="109" t="s">
        <v>41</v>
      </c>
      <c r="R133" s="109" t="s">
        <v>113</v>
      </c>
      <c r="S133" s="109">
        <v>4</v>
      </c>
      <c r="T133" s="109">
        <v>8</v>
      </c>
      <c r="U133" s="139">
        <v>62</v>
      </c>
      <c r="V133" s="140">
        <v>496</v>
      </c>
    </row>
    <row r="134" spans="1:22" x14ac:dyDescent="0.25">
      <c r="A134" s="103">
        <v>4487</v>
      </c>
      <c r="B134" s="104" t="s">
        <v>11</v>
      </c>
      <c r="C134" s="104" t="s">
        <v>175</v>
      </c>
      <c r="D134" s="104" t="s">
        <v>72</v>
      </c>
      <c r="E134" s="104" t="s">
        <v>172</v>
      </c>
      <c r="F134" s="104">
        <v>2013</v>
      </c>
      <c r="G134" s="105">
        <v>42471.791666666664</v>
      </c>
      <c r="H134" s="105">
        <v>42482.958333333336</v>
      </c>
      <c r="I134" s="106">
        <v>42471</v>
      </c>
      <c r="J134" s="106">
        <v>42482</v>
      </c>
      <c r="K134" s="107" t="s">
        <v>526</v>
      </c>
      <c r="L134" s="107">
        <v>0.95833333333333337</v>
      </c>
      <c r="M134" s="107" t="s">
        <v>541</v>
      </c>
      <c r="N134" s="107" t="s">
        <v>530</v>
      </c>
      <c r="O134" s="107" t="s">
        <v>524</v>
      </c>
      <c r="P134" s="104" t="s">
        <v>9</v>
      </c>
      <c r="Q134" s="104" t="s">
        <v>37</v>
      </c>
      <c r="R134" s="104" t="s">
        <v>113</v>
      </c>
      <c r="S134" s="104">
        <v>4</v>
      </c>
      <c r="T134" s="104">
        <v>11</v>
      </c>
      <c r="U134" s="137">
        <v>33</v>
      </c>
      <c r="V134" s="138">
        <v>363</v>
      </c>
    </row>
    <row r="135" spans="1:22" x14ac:dyDescent="0.25">
      <c r="A135" s="108">
        <v>4488</v>
      </c>
      <c r="B135" s="109" t="s">
        <v>19</v>
      </c>
      <c r="C135" s="109" t="s">
        <v>176</v>
      </c>
      <c r="D135" s="109" t="s">
        <v>66</v>
      </c>
      <c r="E135" s="109" t="s">
        <v>169</v>
      </c>
      <c r="F135" s="109">
        <v>2013</v>
      </c>
      <c r="G135" s="110">
        <v>42471.791666666664</v>
      </c>
      <c r="H135" s="110">
        <v>42482.958333333336</v>
      </c>
      <c r="I135" s="111">
        <v>42471</v>
      </c>
      <c r="J135" s="111">
        <v>42482</v>
      </c>
      <c r="K135" s="112" t="s">
        <v>526</v>
      </c>
      <c r="L135" s="112">
        <v>0.95833333333333337</v>
      </c>
      <c r="M135" s="112" t="s">
        <v>541</v>
      </c>
      <c r="N135" s="112" t="s">
        <v>530</v>
      </c>
      <c r="O135" s="112" t="s">
        <v>524</v>
      </c>
      <c r="P135" s="109" t="s">
        <v>23</v>
      </c>
      <c r="Q135" s="109" t="s">
        <v>44</v>
      </c>
      <c r="R135" s="109" t="s">
        <v>113</v>
      </c>
      <c r="S135" s="109">
        <v>5</v>
      </c>
      <c r="T135" s="109">
        <v>8</v>
      </c>
      <c r="U135" s="139">
        <v>47</v>
      </c>
      <c r="V135" s="140">
        <v>376</v>
      </c>
    </row>
    <row r="136" spans="1:22" x14ac:dyDescent="0.25">
      <c r="A136" s="103">
        <v>4489</v>
      </c>
      <c r="B136" s="104" t="s">
        <v>17</v>
      </c>
      <c r="C136" s="104" t="s">
        <v>176</v>
      </c>
      <c r="D136" s="104" t="s">
        <v>72</v>
      </c>
      <c r="E136" s="104" t="s">
        <v>172</v>
      </c>
      <c r="F136" s="104">
        <v>2013</v>
      </c>
      <c r="G136" s="105">
        <v>42471.791666666664</v>
      </c>
      <c r="H136" s="105">
        <v>42482.958333333336</v>
      </c>
      <c r="I136" s="106">
        <v>42471</v>
      </c>
      <c r="J136" s="106">
        <v>42482</v>
      </c>
      <c r="K136" s="107" t="s">
        <v>526</v>
      </c>
      <c r="L136" s="107">
        <v>0.95833333333333337</v>
      </c>
      <c r="M136" s="107" t="s">
        <v>541</v>
      </c>
      <c r="N136" s="107" t="s">
        <v>530</v>
      </c>
      <c r="O136" s="107" t="s">
        <v>524</v>
      </c>
      <c r="P136" s="104" t="s">
        <v>9</v>
      </c>
      <c r="Q136" s="104" t="s">
        <v>190</v>
      </c>
      <c r="R136" s="104" t="s">
        <v>109</v>
      </c>
      <c r="S136" s="104">
        <v>4</v>
      </c>
      <c r="T136" s="104">
        <v>8</v>
      </c>
      <c r="U136" s="137">
        <v>33</v>
      </c>
      <c r="V136" s="138">
        <v>264</v>
      </c>
    </row>
    <row r="137" spans="1:22" x14ac:dyDescent="0.25">
      <c r="A137" s="108">
        <v>4490</v>
      </c>
      <c r="B137" s="109" t="s">
        <v>14</v>
      </c>
      <c r="C137" s="109" t="s">
        <v>175</v>
      </c>
      <c r="D137" s="109" t="s">
        <v>73</v>
      </c>
      <c r="E137" s="109" t="s">
        <v>169</v>
      </c>
      <c r="F137" s="109">
        <v>2013</v>
      </c>
      <c r="G137" s="110">
        <v>42472.791666666664</v>
      </c>
      <c r="H137" s="110">
        <v>42485.958333333336</v>
      </c>
      <c r="I137" s="111">
        <v>42472</v>
      </c>
      <c r="J137" s="111">
        <v>42485</v>
      </c>
      <c r="K137" s="112" t="s">
        <v>526</v>
      </c>
      <c r="L137" s="112">
        <v>0.95833333333333337</v>
      </c>
      <c r="M137" s="112" t="s">
        <v>541</v>
      </c>
      <c r="N137" s="112" t="s">
        <v>530</v>
      </c>
      <c r="O137" s="112" t="s">
        <v>524</v>
      </c>
      <c r="P137" s="109" t="s">
        <v>23</v>
      </c>
      <c r="Q137" s="109" t="s">
        <v>33</v>
      </c>
      <c r="R137" s="109" t="s">
        <v>113</v>
      </c>
      <c r="S137" s="109">
        <v>4</v>
      </c>
      <c r="T137" s="109">
        <v>12</v>
      </c>
      <c r="U137" s="139">
        <v>61</v>
      </c>
      <c r="V137" s="140">
        <v>732</v>
      </c>
    </row>
    <row r="138" spans="1:22" x14ac:dyDescent="0.25">
      <c r="A138" s="103">
        <v>4491</v>
      </c>
      <c r="B138" s="104" t="s">
        <v>19</v>
      </c>
      <c r="C138" s="104" t="s">
        <v>176</v>
      </c>
      <c r="D138" s="104" t="s">
        <v>72</v>
      </c>
      <c r="E138" s="104" t="s">
        <v>172</v>
      </c>
      <c r="F138" s="104">
        <v>2013</v>
      </c>
      <c r="G138" s="105">
        <v>42473.583333333336</v>
      </c>
      <c r="H138" s="105">
        <v>42486.75</v>
      </c>
      <c r="I138" s="106">
        <v>42473</v>
      </c>
      <c r="J138" s="106">
        <v>42486</v>
      </c>
      <c r="K138" s="107" t="s">
        <v>527</v>
      </c>
      <c r="L138" s="107">
        <v>0.75</v>
      </c>
      <c r="M138" s="107" t="s">
        <v>542</v>
      </c>
      <c r="N138" s="107" t="s">
        <v>530</v>
      </c>
      <c r="O138" s="107" t="s">
        <v>524</v>
      </c>
      <c r="P138" s="104" t="s">
        <v>23</v>
      </c>
      <c r="Q138" s="104" t="s">
        <v>18</v>
      </c>
      <c r="R138" s="104" t="s">
        <v>113</v>
      </c>
      <c r="S138" s="104">
        <v>2</v>
      </c>
      <c r="T138" s="104">
        <v>11</v>
      </c>
      <c r="U138" s="137">
        <v>33</v>
      </c>
      <c r="V138" s="138">
        <v>363</v>
      </c>
    </row>
    <row r="139" spans="1:22" x14ac:dyDescent="0.25">
      <c r="A139" s="108">
        <v>4492</v>
      </c>
      <c r="B139" s="109" t="s">
        <v>17</v>
      </c>
      <c r="C139" s="109" t="s">
        <v>176</v>
      </c>
      <c r="D139" s="109" t="s">
        <v>71</v>
      </c>
      <c r="E139" s="109" t="s">
        <v>170</v>
      </c>
      <c r="F139" s="109">
        <v>2013</v>
      </c>
      <c r="G139" s="110">
        <v>42473.583333333336</v>
      </c>
      <c r="H139" s="110">
        <v>42486.75</v>
      </c>
      <c r="I139" s="111">
        <v>42473</v>
      </c>
      <c r="J139" s="111">
        <v>42486</v>
      </c>
      <c r="K139" s="112" t="s">
        <v>527</v>
      </c>
      <c r="L139" s="112">
        <v>0.75</v>
      </c>
      <c r="M139" s="112" t="s">
        <v>542</v>
      </c>
      <c r="N139" s="112" t="s">
        <v>530</v>
      </c>
      <c r="O139" s="112" t="s">
        <v>524</v>
      </c>
      <c r="P139" s="109" t="s">
        <v>9</v>
      </c>
      <c r="Q139" s="109" t="s">
        <v>44</v>
      </c>
      <c r="R139" s="109" t="s">
        <v>113</v>
      </c>
      <c r="S139" s="109">
        <v>5</v>
      </c>
      <c r="T139" s="109">
        <v>10</v>
      </c>
      <c r="U139" s="139">
        <v>41</v>
      </c>
      <c r="V139" s="140">
        <v>410</v>
      </c>
    </row>
    <row r="140" spans="1:22" x14ac:dyDescent="0.25">
      <c r="A140" s="103">
        <v>4493</v>
      </c>
      <c r="B140" s="104" t="s">
        <v>14</v>
      </c>
      <c r="C140" s="104" t="s">
        <v>175</v>
      </c>
      <c r="D140" s="104" t="s">
        <v>72</v>
      </c>
      <c r="E140" s="104" t="s">
        <v>172</v>
      </c>
      <c r="F140" s="104">
        <v>2013</v>
      </c>
      <c r="G140" s="105">
        <v>42474.375</v>
      </c>
      <c r="H140" s="105">
        <v>42480.75</v>
      </c>
      <c r="I140" s="106">
        <v>42474</v>
      </c>
      <c r="J140" s="106">
        <v>42480</v>
      </c>
      <c r="K140" s="107" t="s">
        <v>525</v>
      </c>
      <c r="L140" s="107">
        <v>0.75</v>
      </c>
      <c r="M140" s="107" t="s">
        <v>540</v>
      </c>
      <c r="N140" s="107" t="s">
        <v>530</v>
      </c>
      <c r="O140" s="107" t="s">
        <v>524</v>
      </c>
      <c r="P140" s="104" t="s">
        <v>9</v>
      </c>
      <c r="Q140" s="104" t="s">
        <v>44</v>
      </c>
      <c r="R140" s="104" t="s">
        <v>113</v>
      </c>
      <c r="S140" s="104">
        <v>4</v>
      </c>
      <c r="T140" s="104">
        <v>9</v>
      </c>
      <c r="U140" s="137">
        <v>33</v>
      </c>
      <c r="V140" s="138">
        <v>297</v>
      </c>
    </row>
    <row r="141" spans="1:22" x14ac:dyDescent="0.25">
      <c r="A141" s="108">
        <v>4494</v>
      </c>
      <c r="B141" s="109" t="s">
        <v>11</v>
      </c>
      <c r="C141" s="109" t="s">
        <v>175</v>
      </c>
      <c r="D141" s="109" t="s">
        <v>62</v>
      </c>
      <c r="E141" s="109" t="s">
        <v>172</v>
      </c>
      <c r="F141" s="109">
        <v>2013</v>
      </c>
      <c r="G141" s="110">
        <v>42474.375</v>
      </c>
      <c r="H141" s="110">
        <v>42480.75</v>
      </c>
      <c r="I141" s="111">
        <v>42474</v>
      </c>
      <c r="J141" s="111">
        <v>42480</v>
      </c>
      <c r="K141" s="112" t="s">
        <v>525</v>
      </c>
      <c r="L141" s="112">
        <v>0.75</v>
      </c>
      <c r="M141" s="112" t="s">
        <v>540</v>
      </c>
      <c r="N141" s="112" t="s">
        <v>530</v>
      </c>
      <c r="O141" s="112" t="s">
        <v>524</v>
      </c>
      <c r="P141" s="109" t="s">
        <v>9</v>
      </c>
      <c r="Q141" s="109" t="s">
        <v>33</v>
      </c>
      <c r="R141" s="109" t="s">
        <v>113</v>
      </c>
      <c r="S141" s="109">
        <v>5</v>
      </c>
      <c r="T141" s="109">
        <v>12</v>
      </c>
      <c r="U141" s="139">
        <v>61</v>
      </c>
      <c r="V141" s="140">
        <v>732</v>
      </c>
    </row>
    <row r="142" spans="1:22" x14ac:dyDescent="0.25">
      <c r="A142" s="103">
        <v>4495</v>
      </c>
      <c r="B142" s="104" t="s">
        <v>11</v>
      </c>
      <c r="C142" s="104" t="s">
        <v>175</v>
      </c>
      <c r="D142" s="104" t="s">
        <v>73</v>
      </c>
      <c r="E142" s="104" t="s">
        <v>169</v>
      </c>
      <c r="F142" s="104">
        <v>2013</v>
      </c>
      <c r="G142" s="105">
        <v>42475.333333333336</v>
      </c>
      <c r="H142" s="105">
        <v>42488.5</v>
      </c>
      <c r="I142" s="106">
        <v>42475</v>
      </c>
      <c r="J142" s="106">
        <v>42488</v>
      </c>
      <c r="K142" s="107" t="s">
        <v>522</v>
      </c>
      <c r="L142" s="107">
        <v>0.5</v>
      </c>
      <c r="M142" s="107" t="s">
        <v>539</v>
      </c>
      <c r="N142" s="107" t="s">
        <v>530</v>
      </c>
      <c r="O142" s="107" t="s">
        <v>524</v>
      </c>
      <c r="P142" s="104" t="s">
        <v>23</v>
      </c>
      <c r="Q142" s="104" t="s">
        <v>190</v>
      </c>
      <c r="R142" s="104" t="s">
        <v>109</v>
      </c>
      <c r="S142" s="104">
        <v>2</v>
      </c>
      <c r="T142" s="104">
        <v>10</v>
      </c>
      <c r="U142" s="137">
        <v>61</v>
      </c>
      <c r="V142" s="138">
        <v>610</v>
      </c>
    </row>
    <row r="143" spans="1:22" x14ac:dyDescent="0.25">
      <c r="A143" s="108">
        <v>4496</v>
      </c>
      <c r="B143" s="109" t="s">
        <v>39</v>
      </c>
      <c r="C143" s="109" t="s">
        <v>177</v>
      </c>
      <c r="D143" s="109" t="s">
        <v>65</v>
      </c>
      <c r="E143" s="109" t="s">
        <v>173</v>
      </c>
      <c r="F143" s="109">
        <v>2013</v>
      </c>
      <c r="G143" s="110">
        <v>42475.333333333336</v>
      </c>
      <c r="H143" s="110">
        <v>42488.5</v>
      </c>
      <c r="I143" s="111">
        <v>42475</v>
      </c>
      <c r="J143" s="111">
        <v>42488</v>
      </c>
      <c r="K143" s="112" t="s">
        <v>522</v>
      </c>
      <c r="L143" s="112">
        <v>0.5</v>
      </c>
      <c r="M143" s="112" t="s">
        <v>539</v>
      </c>
      <c r="N143" s="112" t="s">
        <v>530</v>
      </c>
      <c r="O143" s="112" t="s">
        <v>524</v>
      </c>
      <c r="P143" s="109" t="s">
        <v>23</v>
      </c>
      <c r="Q143" s="109" t="s">
        <v>41</v>
      </c>
      <c r="R143" s="109" t="s">
        <v>113</v>
      </c>
      <c r="S143" s="109">
        <v>2</v>
      </c>
      <c r="T143" s="109">
        <v>8</v>
      </c>
      <c r="U143" s="139">
        <v>31</v>
      </c>
      <c r="V143" s="140">
        <v>248</v>
      </c>
    </row>
    <row r="144" spans="1:22" x14ac:dyDescent="0.25">
      <c r="A144" s="103">
        <v>4497</v>
      </c>
      <c r="B144" s="104" t="s">
        <v>22</v>
      </c>
      <c r="C144" s="104" t="s">
        <v>176</v>
      </c>
      <c r="D144" s="104" t="s">
        <v>75</v>
      </c>
      <c r="E144" s="104" t="s">
        <v>174</v>
      </c>
      <c r="F144" s="104">
        <v>2013</v>
      </c>
      <c r="G144" s="105">
        <v>42475.333333333336</v>
      </c>
      <c r="H144" s="105">
        <v>42488.5</v>
      </c>
      <c r="I144" s="106">
        <v>42475</v>
      </c>
      <c r="J144" s="106">
        <v>42488</v>
      </c>
      <c r="K144" s="107" t="s">
        <v>522</v>
      </c>
      <c r="L144" s="107">
        <v>0.5</v>
      </c>
      <c r="M144" s="107" t="s">
        <v>539</v>
      </c>
      <c r="N144" s="107" t="s">
        <v>530</v>
      </c>
      <c r="O144" s="107" t="s">
        <v>524</v>
      </c>
      <c r="P144" s="104" t="s">
        <v>23</v>
      </c>
      <c r="Q144" s="104" t="s">
        <v>33</v>
      </c>
      <c r="R144" s="104" t="s">
        <v>113</v>
      </c>
      <c r="S144" s="104">
        <v>2</v>
      </c>
      <c r="T144" s="104">
        <v>12</v>
      </c>
      <c r="U144" s="137">
        <v>52</v>
      </c>
      <c r="V144" s="138">
        <v>624</v>
      </c>
    </row>
    <row r="145" spans="1:22" x14ac:dyDescent="0.25">
      <c r="A145" s="108">
        <v>4498</v>
      </c>
      <c r="B145" s="109" t="s">
        <v>11</v>
      </c>
      <c r="C145" s="109" t="s">
        <v>175</v>
      </c>
      <c r="D145" s="109" t="s">
        <v>73</v>
      </c>
      <c r="E145" s="109" t="s">
        <v>169</v>
      </c>
      <c r="F145" s="109">
        <v>2013</v>
      </c>
      <c r="G145" s="110">
        <v>42475.333333333336</v>
      </c>
      <c r="H145" s="110">
        <v>42488.5</v>
      </c>
      <c r="I145" s="111">
        <v>42475</v>
      </c>
      <c r="J145" s="111">
        <v>42488</v>
      </c>
      <c r="K145" s="112" t="s">
        <v>522</v>
      </c>
      <c r="L145" s="112">
        <v>0.5</v>
      </c>
      <c r="M145" s="112" t="s">
        <v>539</v>
      </c>
      <c r="N145" s="112" t="s">
        <v>530</v>
      </c>
      <c r="O145" s="112" t="s">
        <v>524</v>
      </c>
      <c r="P145" s="109" t="s">
        <v>23</v>
      </c>
      <c r="Q145" s="109" t="s">
        <v>16</v>
      </c>
      <c r="R145" s="109" t="s">
        <v>109</v>
      </c>
      <c r="S145" s="109">
        <v>4</v>
      </c>
      <c r="T145" s="109">
        <v>11</v>
      </c>
      <c r="U145" s="139">
        <v>61</v>
      </c>
      <c r="V145" s="140">
        <v>671</v>
      </c>
    </row>
    <row r="146" spans="1:22" x14ac:dyDescent="0.25">
      <c r="A146" s="103">
        <v>4499</v>
      </c>
      <c r="B146" s="104" t="s">
        <v>14</v>
      </c>
      <c r="C146" s="104" t="s">
        <v>175</v>
      </c>
      <c r="D146" s="104" t="s">
        <v>70</v>
      </c>
      <c r="E146" s="104" t="s">
        <v>174</v>
      </c>
      <c r="F146" s="104">
        <v>2013</v>
      </c>
      <c r="G146" s="105">
        <v>42476.375</v>
      </c>
      <c r="H146" s="105">
        <v>42481.75</v>
      </c>
      <c r="I146" s="106">
        <v>42476</v>
      </c>
      <c r="J146" s="106">
        <v>42481</v>
      </c>
      <c r="K146" s="107" t="s">
        <v>525</v>
      </c>
      <c r="L146" s="107">
        <v>0.75</v>
      </c>
      <c r="M146" s="107" t="s">
        <v>540</v>
      </c>
      <c r="N146" s="107" t="s">
        <v>530</v>
      </c>
      <c r="O146" s="107" t="s">
        <v>524</v>
      </c>
      <c r="P146" s="104" t="s">
        <v>23</v>
      </c>
      <c r="Q146" s="104" t="s">
        <v>41</v>
      </c>
      <c r="R146" s="104" t="s">
        <v>113</v>
      </c>
      <c r="S146" s="104">
        <v>4</v>
      </c>
      <c r="T146" s="104">
        <v>11</v>
      </c>
      <c r="U146" s="137">
        <v>62</v>
      </c>
      <c r="V146" s="138">
        <v>682</v>
      </c>
    </row>
    <row r="147" spans="1:22" x14ac:dyDescent="0.25">
      <c r="A147" s="108">
        <v>4500</v>
      </c>
      <c r="B147" s="109" t="s">
        <v>11</v>
      </c>
      <c r="C147" s="109" t="s">
        <v>175</v>
      </c>
      <c r="D147" s="109" t="s">
        <v>67</v>
      </c>
      <c r="E147" s="109" t="s">
        <v>170</v>
      </c>
      <c r="F147" s="109">
        <v>2013</v>
      </c>
      <c r="G147" s="110">
        <v>42478.791666666664</v>
      </c>
      <c r="H147" s="110">
        <v>42489.958333333336</v>
      </c>
      <c r="I147" s="111">
        <v>42478</v>
      </c>
      <c r="J147" s="111">
        <v>42489</v>
      </c>
      <c r="K147" s="112" t="s">
        <v>526</v>
      </c>
      <c r="L147" s="112">
        <v>0.95833333333333337</v>
      </c>
      <c r="M147" s="112" t="s">
        <v>541</v>
      </c>
      <c r="N147" s="112" t="s">
        <v>530</v>
      </c>
      <c r="O147" s="112" t="s">
        <v>524</v>
      </c>
      <c r="P147" s="109" t="s">
        <v>23</v>
      </c>
      <c r="Q147" s="109" t="s">
        <v>26</v>
      </c>
      <c r="R147" s="109" t="s">
        <v>113</v>
      </c>
      <c r="S147" s="109">
        <v>2</v>
      </c>
      <c r="T147" s="109">
        <v>9</v>
      </c>
      <c r="U147" s="139">
        <v>47</v>
      </c>
      <c r="V147" s="140">
        <v>423</v>
      </c>
    </row>
    <row r="148" spans="1:22" x14ac:dyDescent="0.25">
      <c r="A148" s="103">
        <v>4501</v>
      </c>
      <c r="B148" s="104" t="s">
        <v>11</v>
      </c>
      <c r="C148" s="104" t="s">
        <v>175</v>
      </c>
      <c r="D148" s="104" t="s">
        <v>66</v>
      </c>
      <c r="E148" s="104" t="s">
        <v>169</v>
      </c>
      <c r="F148" s="104">
        <v>2013</v>
      </c>
      <c r="G148" s="105">
        <v>42478.791666666664</v>
      </c>
      <c r="H148" s="105">
        <v>42489.958333333336</v>
      </c>
      <c r="I148" s="106">
        <v>42478</v>
      </c>
      <c r="J148" s="106">
        <v>42489</v>
      </c>
      <c r="K148" s="107" t="s">
        <v>526</v>
      </c>
      <c r="L148" s="107">
        <v>0.95833333333333337</v>
      </c>
      <c r="M148" s="107" t="s">
        <v>541</v>
      </c>
      <c r="N148" s="107" t="s">
        <v>530</v>
      </c>
      <c r="O148" s="107" t="s">
        <v>524</v>
      </c>
      <c r="P148" s="104" t="s">
        <v>23</v>
      </c>
      <c r="Q148" s="104" t="s">
        <v>12</v>
      </c>
      <c r="R148" s="104" t="s">
        <v>113</v>
      </c>
      <c r="S148" s="104">
        <v>5</v>
      </c>
      <c r="T148" s="104">
        <v>9</v>
      </c>
      <c r="U148" s="137">
        <v>47</v>
      </c>
      <c r="V148" s="138">
        <v>423</v>
      </c>
    </row>
    <row r="149" spans="1:22" x14ac:dyDescent="0.25">
      <c r="A149" s="108">
        <v>4502</v>
      </c>
      <c r="B149" s="109" t="s">
        <v>45</v>
      </c>
      <c r="C149" s="109" t="s">
        <v>177</v>
      </c>
      <c r="D149" s="109" t="s">
        <v>73</v>
      </c>
      <c r="E149" s="109" t="s">
        <v>169</v>
      </c>
      <c r="F149" s="109">
        <v>2013</v>
      </c>
      <c r="G149" s="110">
        <v>42479.791666666664</v>
      </c>
      <c r="H149" s="110">
        <v>42492.958333333336</v>
      </c>
      <c r="I149" s="111">
        <v>42479</v>
      </c>
      <c r="J149" s="111">
        <v>42492</v>
      </c>
      <c r="K149" s="112" t="s">
        <v>526</v>
      </c>
      <c r="L149" s="112">
        <v>0.95833333333333337</v>
      </c>
      <c r="M149" s="112" t="s">
        <v>541</v>
      </c>
      <c r="N149" s="112" t="s">
        <v>530</v>
      </c>
      <c r="O149" s="112" t="s">
        <v>524</v>
      </c>
      <c r="P149" s="109" t="s">
        <v>23</v>
      </c>
      <c r="Q149" s="109" t="s">
        <v>12</v>
      </c>
      <c r="R149" s="109" t="s">
        <v>113</v>
      </c>
      <c r="S149" s="109">
        <v>2</v>
      </c>
      <c r="T149" s="109">
        <v>11</v>
      </c>
      <c r="U149" s="139">
        <v>61</v>
      </c>
      <c r="V149" s="140">
        <v>671</v>
      </c>
    </row>
    <row r="150" spans="1:22" x14ac:dyDescent="0.25">
      <c r="A150" s="103">
        <v>4503</v>
      </c>
      <c r="B150" s="104" t="s">
        <v>14</v>
      </c>
      <c r="C150" s="104" t="s">
        <v>175</v>
      </c>
      <c r="D150" s="104" t="s">
        <v>65</v>
      </c>
      <c r="E150" s="104" t="s">
        <v>173</v>
      </c>
      <c r="F150" s="104">
        <v>2013</v>
      </c>
      <c r="G150" s="105">
        <v>42479.791666666664</v>
      </c>
      <c r="H150" s="105">
        <v>42492.958333333336</v>
      </c>
      <c r="I150" s="106">
        <v>42479</v>
      </c>
      <c r="J150" s="106">
        <v>42492</v>
      </c>
      <c r="K150" s="107" t="s">
        <v>526</v>
      </c>
      <c r="L150" s="107">
        <v>0.95833333333333337</v>
      </c>
      <c r="M150" s="107" t="s">
        <v>541</v>
      </c>
      <c r="N150" s="107" t="s">
        <v>530</v>
      </c>
      <c r="O150" s="107" t="s">
        <v>524</v>
      </c>
      <c r="P150" s="104" t="s">
        <v>9</v>
      </c>
      <c r="Q150" s="104" t="s">
        <v>190</v>
      </c>
      <c r="R150" s="104" t="s">
        <v>109</v>
      </c>
      <c r="S150" s="104">
        <v>2</v>
      </c>
      <c r="T150" s="104">
        <v>9</v>
      </c>
      <c r="U150" s="137">
        <v>31</v>
      </c>
      <c r="V150" s="138">
        <v>279</v>
      </c>
    </row>
    <row r="151" spans="1:22" x14ac:dyDescent="0.25">
      <c r="A151" s="108">
        <v>4504</v>
      </c>
      <c r="B151" s="109" t="s">
        <v>45</v>
      </c>
      <c r="C151" s="109" t="s">
        <v>177</v>
      </c>
      <c r="D151" s="109" t="s">
        <v>73</v>
      </c>
      <c r="E151" s="109" t="s">
        <v>169</v>
      </c>
      <c r="F151" s="109">
        <v>2013</v>
      </c>
      <c r="G151" s="110">
        <v>42479.791666666664</v>
      </c>
      <c r="H151" s="110">
        <v>42492.958333333336</v>
      </c>
      <c r="I151" s="111">
        <v>42479</v>
      </c>
      <c r="J151" s="111">
        <v>42492</v>
      </c>
      <c r="K151" s="112" t="s">
        <v>526</v>
      </c>
      <c r="L151" s="112">
        <v>0.95833333333333337</v>
      </c>
      <c r="M151" s="112" t="s">
        <v>541</v>
      </c>
      <c r="N151" s="112" t="s">
        <v>530</v>
      </c>
      <c r="O151" s="112" t="s">
        <v>524</v>
      </c>
      <c r="P151" s="109" t="s">
        <v>23</v>
      </c>
      <c r="Q151" s="109" t="s">
        <v>33</v>
      </c>
      <c r="R151" s="109" t="s">
        <v>113</v>
      </c>
      <c r="S151" s="109">
        <v>4</v>
      </c>
      <c r="T151" s="109">
        <v>8</v>
      </c>
      <c r="U151" s="139">
        <v>61</v>
      </c>
      <c r="V151" s="140">
        <v>488</v>
      </c>
    </row>
    <row r="152" spans="1:22" x14ac:dyDescent="0.25">
      <c r="A152" s="103">
        <v>4505</v>
      </c>
      <c r="B152" s="104" t="s">
        <v>19</v>
      </c>
      <c r="C152" s="104" t="s">
        <v>176</v>
      </c>
      <c r="D152" s="104" t="s">
        <v>67</v>
      </c>
      <c r="E152" s="104" t="s">
        <v>170</v>
      </c>
      <c r="F152" s="104">
        <v>2013</v>
      </c>
      <c r="G152" s="105">
        <v>42481.375</v>
      </c>
      <c r="H152" s="105">
        <v>42487.75</v>
      </c>
      <c r="I152" s="106">
        <v>42481</v>
      </c>
      <c r="J152" s="106">
        <v>42487</v>
      </c>
      <c r="K152" s="107" t="s">
        <v>525</v>
      </c>
      <c r="L152" s="107">
        <v>0.75</v>
      </c>
      <c r="M152" s="107" t="s">
        <v>540</v>
      </c>
      <c r="N152" s="107" t="s">
        <v>530</v>
      </c>
      <c r="O152" s="107" t="s">
        <v>524</v>
      </c>
      <c r="P152" s="104" t="s">
        <v>23</v>
      </c>
      <c r="Q152" s="104" t="s">
        <v>190</v>
      </c>
      <c r="R152" s="104" t="s">
        <v>109</v>
      </c>
      <c r="S152" s="104">
        <v>5</v>
      </c>
      <c r="T152" s="104">
        <v>8</v>
      </c>
      <c r="U152" s="137">
        <v>47</v>
      </c>
      <c r="V152" s="138">
        <v>376</v>
      </c>
    </row>
    <row r="153" spans="1:22" x14ac:dyDescent="0.25">
      <c r="A153" s="108">
        <v>4506</v>
      </c>
      <c r="B153" s="109" t="s">
        <v>11</v>
      </c>
      <c r="C153" s="109" t="s">
        <v>175</v>
      </c>
      <c r="D153" s="109" t="s">
        <v>70</v>
      </c>
      <c r="E153" s="109" t="s">
        <v>174</v>
      </c>
      <c r="F153" s="109">
        <v>2013</v>
      </c>
      <c r="G153" s="110">
        <v>42481.375</v>
      </c>
      <c r="H153" s="110">
        <v>42487.75</v>
      </c>
      <c r="I153" s="111">
        <v>42481</v>
      </c>
      <c r="J153" s="111">
        <v>42487</v>
      </c>
      <c r="K153" s="112" t="s">
        <v>525</v>
      </c>
      <c r="L153" s="112">
        <v>0.75</v>
      </c>
      <c r="M153" s="112" t="s">
        <v>540</v>
      </c>
      <c r="N153" s="112" t="s">
        <v>530</v>
      </c>
      <c r="O153" s="112" t="s">
        <v>524</v>
      </c>
      <c r="P153" s="109" t="s">
        <v>9</v>
      </c>
      <c r="Q153" s="109" t="s">
        <v>35</v>
      </c>
      <c r="R153" s="109" t="s">
        <v>109</v>
      </c>
      <c r="S153" s="109">
        <v>5</v>
      </c>
      <c r="T153" s="109">
        <v>10</v>
      </c>
      <c r="U153" s="139">
        <v>62</v>
      </c>
      <c r="V153" s="140">
        <v>620</v>
      </c>
    </row>
    <row r="154" spans="1:22" x14ac:dyDescent="0.25">
      <c r="A154" s="103">
        <v>4507</v>
      </c>
      <c r="B154" s="104" t="s">
        <v>17</v>
      </c>
      <c r="C154" s="104" t="s">
        <v>176</v>
      </c>
      <c r="D154" s="104" t="s">
        <v>74</v>
      </c>
      <c r="E154" s="104" t="s">
        <v>168</v>
      </c>
      <c r="F154" s="104">
        <v>2013</v>
      </c>
      <c r="G154" s="105">
        <v>42481.375</v>
      </c>
      <c r="H154" s="105">
        <v>42487.75</v>
      </c>
      <c r="I154" s="106">
        <v>42481</v>
      </c>
      <c r="J154" s="106">
        <v>42487</v>
      </c>
      <c r="K154" s="107" t="s">
        <v>525</v>
      </c>
      <c r="L154" s="107">
        <v>0.75</v>
      </c>
      <c r="M154" s="107" t="s">
        <v>540</v>
      </c>
      <c r="N154" s="107" t="s">
        <v>530</v>
      </c>
      <c r="O154" s="107" t="s">
        <v>524</v>
      </c>
      <c r="P154" s="104" t="s">
        <v>23</v>
      </c>
      <c r="Q154" s="104" t="s">
        <v>38</v>
      </c>
      <c r="R154" s="104" t="s">
        <v>113</v>
      </c>
      <c r="S154" s="104">
        <v>4</v>
      </c>
      <c r="T154" s="104">
        <v>12</v>
      </c>
      <c r="U154" s="137">
        <v>47</v>
      </c>
      <c r="V154" s="138">
        <v>564</v>
      </c>
    </row>
    <row r="155" spans="1:22" x14ac:dyDescent="0.25">
      <c r="A155" s="108">
        <v>4508</v>
      </c>
      <c r="B155" s="109" t="s">
        <v>11</v>
      </c>
      <c r="C155" s="109" t="s">
        <v>175</v>
      </c>
      <c r="D155" s="109" t="s">
        <v>64</v>
      </c>
      <c r="E155" s="109" t="s">
        <v>172</v>
      </c>
      <c r="F155" s="109">
        <v>2013</v>
      </c>
      <c r="G155" s="110">
        <v>42482.333333333336</v>
      </c>
      <c r="H155" s="110">
        <v>42495.5</v>
      </c>
      <c r="I155" s="111">
        <v>42482</v>
      </c>
      <c r="J155" s="111">
        <v>42495</v>
      </c>
      <c r="K155" s="112" t="s">
        <v>522</v>
      </c>
      <c r="L155" s="112">
        <v>0.5</v>
      </c>
      <c r="M155" s="112" t="s">
        <v>539</v>
      </c>
      <c r="N155" s="112" t="s">
        <v>530</v>
      </c>
      <c r="O155" s="112" t="s">
        <v>524</v>
      </c>
      <c r="P155" s="109" t="s">
        <v>23</v>
      </c>
      <c r="Q155" s="109" t="s">
        <v>16</v>
      </c>
      <c r="R155" s="109" t="s">
        <v>109</v>
      </c>
      <c r="S155" s="109">
        <v>3</v>
      </c>
      <c r="T155" s="109">
        <v>8</v>
      </c>
      <c r="U155" s="139">
        <v>73</v>
      </c>
      <c r="V155" s="140">
        <v>584</v>
      </c>
    </row>
    <row r="156" spans="1:22" x14ac:dyDescent="0.25">
      <c r="A156" s="103">
        <v>4509</v>
      </c>
      <c r="B156" s="104" t="s">
        <v>29</v>
      </c>
      <c r="C156" s="104" t="s">
        <v>177</v>
      </c>
      <c r="D156" s="104" t="s">
        <v>65</v>
      </c>
      <c r="E156" s="104" t="s">
        <v>173</v>
      </c>
      <c r="F156" s="104">
        <v>2013</v>
      </c>
      <c r="G156" s="105">
        <v>42483.375</v>
      </c>
      <c r="H156" s="105">
        <v>42488.75</v>
      </c>
      <c r="I156" s="106">
        <v>42483</v>
      </c>
      <c r="J156" s="106">
        <v>42488</v>
      </c>
      <c r="K156" s="107" t="s">
        <v>525</v>
      </c>
      <c r="L156" s="107">
        <v>0.75</v>
      </c>
      <c r="M156" s="107" t="s">
        <v>540</v>
      </c>
      <c r="N156" s="107" t="s">
        <v>530</v>
      </c>
      <c r="O156" s="107" t="s">
        <v>524</v>
      </c>
      <c r="P156" s="104" t="s">
        <v>23</v>
      </c>
      <c r="Q156" s="104" t="s">
        <v>18</v>
      </c>
      <c r="R156" s="104" t="s">
        <v>113</v>
      </c>
      <c r="S156" s="104">
        <v>2</v>
      </c>
      <c r="T156" s="104">
        <v>8</v>
      </c>
      <c r="U156" s="137">
        <v>31</v>
      </c>
      <c r="V156" s="138">
        <v>248</v>
      </c>
    </row>
    <row r="157" spans="1:22" x14ac:dyDescent="0.25">
      <c r="A157" s="108">
        <v>4510</v>
      </c>
      <c r="B157" s="109" t="s">
        <v>45</v>
      </c>
      <c r="C157" s="109" t="s">
        <v>177</v>
      </c>
      <c r="D157" s="109" t="s">
        <v>62</v>
      </c>
      <c r="E157" s="109" t="s">
        <v>172</v>
      </c>
      <c r="F157" s="109">
        <v>2013</v>
      </c>
      <c r="G157" s="110">
        <v>42483.375</v>
      </c>
      <c r="H157" s="110">
        <v>42488.75</v>
      </c>
      <c r="I157" s="111">
        <v>42483</v>
      </c>
      <c r="J157" s="111">
        <v>42488</v>
      </c>
      <c r="K157" s="112" t="s">
        <v>525</v>
      </c>
      <c r="L157" s="112">
        <v>0.75</v>
      </c>
      <c r="M157" s="112" t="s">
        <v>540</v>
      </c>
      <c r="N157" s="112" t="s">
        <v>530</v>
      </c>
      <c r="O157" s="112" t="s">
        <v>524</v>
      </c>
      <c r="P157" s="109" t="s">
        <v>23</v>
      </c>
      <c r="Q157" s="109" t="s">
        <v>33</v>
      </c>
      <c r="R157" s="109" t="s">
        <v>113</v>
      </c>
      <c r="S157" s="109">
        <v>2</v>
      </c>
      <c r="T157" s="109">
        <v>9</v>
      </c>
      <c r="U157" s="139">
        <v>61</v>
      </c>
      <c r="V157" s="140">
        <v>549</v>
      </c>
    </row>
    <row r="158" spans="1:22" x14ac:dyDescent="0.25">
      <c r="A158" s="103">
        <v>4511</v>
      </c>
      <c r="B158" s="104" t="s">
        <v>22</v>
      </c>
      <c r="C158" s="104" t="s">
        <v>176</v>
      </c>
      <c r="D158" s="104" t="s">
        <v>75</v>
      </c>
      <c r="E158" s="104" t="s">
        <v>174</v>
      </c>
      <c r="F158" s="104">
        <v>2013</v>
      </c>
      <c r="G158" s="105">
        <v>42485.791666666664</v>
      </c>
      <c r="H158" s="105">
        <v>42496.958333333336</v>
      </c>
      <c r="I158" s="106">
        <v>42485</v>
      </c>
      <c r="J158" s="106">
        <v>42496</v>
      </c>
      <c r="K158" s="107" t="s">
        <v>526</v>
      </c>
      <c r="L158" s="107">
        <v>0.95833333333333337</v>
      </c>
      <c r="M158" s="107" t="s">
        <v>541</v>
      </c>
      <c r="N158" s="107" t="s">
        <v>530</v>
      </c>
      <c r="O158" s="107" t="s">
        <v>524</v>
      </c>
      <c r="P158" s="104" t="s">
        <v>9</v>
      </c>
      <c r="Q158" s="104" t="s">
        <v>28</v>
      </c>
      <c r="R158" s="104" t="s">
        <v>109</v>
      </c>
      <c r="S158" s="104">
        <v>4</v>
      </c>
      <c r="T158" s="104">
        <v>9</v>
      </c>
      <c r="U158" s="137">
        <v>52</v>
      </c>
      <c r="V158" s="138">
        <v>468</v>
      </c>
    </row>
    <row r="159" spans="1:22" x14ac:dyDescent="0.25">
      <c r="A159" s="108">
        <v>4512</v>
      </c>
      <c r="B159" s="109" t="s">
        <v>19</v>
      </c>
      <c r="C159" s="109" t="s">
        <v>176</v>
      </c>
      <c r="D159" s="109" t="s">
        <v>65</v>
      </c>
      <c r="E159" s="109" t="s">
        <v>173</v>
      </c>
      <c r="F159" s="109">
        <v>2013</v>
      </c>
      <c r="G159" s="110">
        <v>42485.791666666664</v>
      </c>
      <c r="H159" s="110">
        <v>42496.958333333336</v>
      </c>
      <c r="I159" s="111">
        <v>42485</v>
      </c>
      <c r="J159" s="111">
        <v>42496</v>
      </c>
      <c r="K159" s="112" t="s">
        <v>526</v>
      </c>
      <c r="L159" s="112">
        <v>0.95833333333333337</v>
      </c>
      <c r="M159" s="112" t="s">
        <v>541</v>
      </c>
      <c r="N159" s="112" t="s">
        <v>530</v>
      </c>
      <c r="O159" s="112" t="s">
        <v>524</v>
      </c>
      <c r="P159" s="109" t="s">
        <v>23</v>
      </c>
      <c r="Q159" s="109" t="s">
        <v>16</v>
      </c>
      <c r="R159" s="109" t="s">
        <v>109</v>
      </c>
      <c r="S159" s="109">
        <v>5</v>
      </c>
      <c r="T159" s="109">
        <v>8</v>
      </c>
      <c r="U159" s="139">
        <v>31</v>
      </c>
      <c r="V159" s="140">
        <v>248</v>
      </c>
    </row>
    <row r="160" spans="1:22" x14ac:dyDescent="0.25">
      <c r="A160" s="103">
        <v>4513</v>
      </c>
      <c r="B160" s="104" t="s">
        <v>45</v>
      </c>
      <c r="C160" s="104" t="s">
        <v>177</v>
      </c>
      <c r="D160" s="104" t="s">
        <v>73</v>
      </c>
      <c r="E160" s="104" t="s">
        <v>169</v>
      </c>
      <c r="F160" s="104">
        <v>2013</v>
      </c>
      <c r="G160" s="105">
        <v>42485.791666666664</v>
      </c>
      <c r="H160" s="105">
        <v>42496.958333333336</v>
      </c>
      <c r="I160" s="106">
        <v>42485</v>
      </c>
      <c r="J160" s="106">
        <v>42496</v>
      </c>
      <c r="K160" s="107" t="s">
        <v>526</v>
      </c>
      <c r="L160" s="107">
        <v>0.95833333333333337</v>
      </c>
      <c r="M160" s="107" t="s">
        <v>541</v>
      </c>
      <c r="N160" s="107" t="s">
        <v>530</v>
      </c>
      <c r="O160" s="107" t="s">
        <v>524</v>
      </c>
      <c r="P160" s="104" t="s">
        <v>23</v>
      </c>
      <c r="Q160" s="104" t="s">
        <v>35</v>
      </c>
      <c r="R160" s="104" t="s">
        <v>109</v>
      </c>
      <c r="S160" s="104">
        <v>2</v>
      </c>
      <c r="T160" s="104">
        <v>10</v>
      </c>
      <c r="U160" s="137">
        <v>61</v>
      </c>
      <c r="V160" s="138">
        <v>610</v>
      </c>
    </row>
    <row r="161" spans="1:22" x14ac:dyDescent="0.25">
      <c r="A161" s="108">
        <v>4514</v>
      </c>
      <c r="B161" s="109" t="s">
        <v>22</v>
      </c>
      <c r="C161" s="109" t="s">
        <v>176</v>
      </c>
      <c r="D161" s="109" t="s">
        <v>68</v>
      </c>
      <c r="E161" s="109" t="s">
        <v>172</v>
      </c>
      <c r="F161" s="109">
        <v>2013</v>
      </c>
      <c r="G161" s="110">
        <v>42485.791666666664</v>
      </c>
      <c r="H161" s="110">
        <v>42496.958333333336</v>
      </c>
      <c r="I161" s="111">
        <v>42485</v>
      </c>
      <c r="J161" s="111">
        <v>42496</v>
      </c>
      <c r="K161" s="112" t="s">
        <v>526</v>
      </c>
      <c r="L161" s="112">
        <v>0.95833333333333337</v>
      </c>
      <c r="M161" s="112" t="s">
        <v>541</v>
      </c>
      <c r="N161" s="112" t="s">
        <v>530</v>
      </c>
      <c r="O161" s="112" t="s">
        <v>524</v>
      </c>
      <c r="P161" s="109" t="s">
        <v>23</v>
      </c>
      <c r="Q161" s="109" t="s">
        <v>12</v>
      </c>
      <c r="R161" s="109" t="s">
        <v>113</v>
      </c>
      <c r="S161" s="109">
        <v>5</v>
      </c>
      <c r="T161" s="109">
        <v>8</v>
      </c>
      <c r="U161" s="139">
        <v>42</v>
      </c>
      <c r="V161" s="140">
        <v>336</v>
      </c>
    </row>
    <row r="162" spans="1:22" x14ac:dyDescent="0.25">
      <c r="A162" s="103">
        <v>4515</v>
      </c>
      <c r="B162" s="104" t="s">
        <v>29</v>
      </c>
      <c r="C162" s="104" t="s">
        <v>177</v>
      </c>
      <c r="D162" s="104" t="s">
        <v>62</v>
      </c>
      <c r="E162" s="104" t="s">
        <v>172</v>
      </c>
      <c r="F162" s="104">
        <v>2013</v>
      </c>
      <c r="G162" s="105">
        <v>42485.791666666664</v>
      </c>
      <c r="H162" s="105">
        <v>42496.958333333336</v>
      </c>
      <c r="I162" s="106">
        <v>42485</v>
      </c>
      <c r="J162" s="106">
        <v>42496</v>
      </c>
      <c r="K162" s="107" t="s">
        <v>526</v>
      </c>
      <c r="L162" s="107">
        <v>0.95833333333333337</v>
      </c>
      <c r="M162" s="107" t="s">
        <v>541</v>
      </c>
      <c r="N162" s="107" t="s">
        <v>530</v>
      </c>
      <c r="O162" s="107" t="s">
        <v>524</v>
      </c>
      <c r="P162" s="104" t="s">
        <v>9</v>
      </c>
      <c r="Q162" s="104" t="s">
        <v>16</v>
      </c>
      <c r="R162" s="104" t="s">
        <v>109</v>
      </c>
      <c r="S162" s="104">
        <v>5</v>
      </c>
      <c r="T162" s="104">
        <v>9</v>
      </c>
      <c r="U162" s="137">
        <v>61</v>
      </c>
      <c r="V162" s="138">
        <v>549</v>
      </c>
    </row>
    <row r="163" spans="1:22" x14ac:dyDescent="0.25">
      <c r="A163" s="108">
        <v>4516</v>
      </c>
      <c r="B163" s="109" t="s">
        <v>19</v>
      </c>
      <c r="C163" s="109" t="s">
        <v>176</v>
      </c>
      <c r="D163" s="109" t="s">
        <v>65</v>
      </c>
      <c r="E163" s="109" t="s">
        <v>173</v>
      </c>
      <c r="F163" s="109">
        <v>2013</v>
      </c>
      <c r="G163" s="110">
        <v>42485.791666666664</v>
      </c>
      <c r="H163" s="110">
        <v>42496.958333333336</v>
      </c>
      <c r="I163" s="111">
        <v>42485</v>
      </c>
      <c r="J163" s="111">
        <v>42496</v>
      </c>
      <c r="K163" s="112" t="s">
        <v>526</v>
      </c>
      <c r="L163" s="112">
        <v>0.95833333333333337</v>
      </c>
      <c r="M163" s="112" t="s">
        <v>541</v>
      </c>
      <c r="N163" s="112" t="s">
        <v>530</v>
      </c>
      <c r="O163" s="112" t="s">
        <v>524</v>
      </c>
      <c r="P163" s="109" t="s">
        <v>23</v>
      </c>
      <c r="Q163" s="109" t="s">
        <v>41</v>
      </c>
      <c r="R163" s="109" t="s">
        <v>113</v>
      </c>
      <c r="S163" s="109">
        <v>5</v>
      </c>
      <c r="T163" s="109">
        <v>9</v>
      </c>
      <c r="U163" s="139">
        <v>31</v>
      </c>
      <c r="V163" s="140">
        <v>279</v>
      </c>
    </row>
    <row r="164" spans="1:22" x14ac:dyDescent="0.25">
      <c r="A164" s="103">
        <v>4517</v>
      </c>
      <c r="B164" s="104" t="s">
        <v>45</v>
      </c>
      <c r="C164" s="104" t="s">
        <v>177</v>
      </c>
      <c r="D164" s="104" t="s">
        <v>62</v>
      </c>
      <c r="E164" s="104" t="s">
        <v>172</v>
      </c>
      <c r="F164" s="104">
        <v>2013</v>
      </c>
      <c r="G164" s="105">
        <v>42485.791666666664</v>
      </c>
      <c r="H164" s="105">
        <v>42496.958333333336</v>
      </c>
      <c r="I164" s="106">
        <v>42485</v>
      </c>
      <c r="J164" s="106">
        <v>42496</v>
      </c>
      <c r="K164" s="107" t="s">
        <v>526</v>
      </c>
      <c r="L164" s="107">
        <v>0.95833333333333337</v>
      </c>
      <c r="M164" s="107" t="s">
        <v>541</v>
      </c>
      <c r="N164" s="107" t="s">
        <v>530</v>
      </c>
      <c r="O164" s="107" t="s">
        <v>524</v>
      </c>
      <c r="P164" s="104" t="s">
        <v>9</v>
      </c>
      <c r="Q164" s="104" t="s">
        <v>16</v>
      </c>
      <c r="R164" s="104" t="s">
        <v>109</v>
      </c>
      <c r="S164" s="104">
        <v>3</v>
      </c>
      <c r="T164" s="104">
        <v>10</v>
      </c>
      <c r="U164" s="137">
        <v>61</v>
      </c>
      <c r="V164" s="138">
        <v>610</v>
      </c>
    </row>
    <row r="165" spans="1:22" x14ac:dyDescent="0.25">
      <c r="A165" s="108">
        <v>4518</v>
      </c>
      <c r="B165" s="109" t="s">
        <v>11</v>
      </c>
      <c r="C165" s="109" t="s">
        <v>175</v>
      </c>
      <c r="D165" s="109" t="s">
        <v>71</v>
      </c>
      <c r="E165" s="109" t="s">
        <v>170</v>
      </c>
      <c r="F165" s="109">
        <v>2013</v>
      </c>
      <c r="G165" s="110">
        <v>42485.791666666664</v>
      </c>
      <c r="H165" s="110">
        <v>42496.958333333336</v>
      </c>
      <c r="I165" s="111">
        <v>42485</v>
      </c>
      <c r="J165" s="111">
        <v>42496</v>
      </c>
      <c r="K165" s="112" t="s">
        <v>526</v>
      </c>
      <c r="L165" s="112">
        <v>0.95833333333333337</v>
      </c>
      <c r="M165" s="112" t="s">
        <v>541</v>
      </c>
      <c r="N165" s="112" t="s">
        <v>530</v>
      </c>
      <c r="O165" s="112" t="s">
        <v>524</v>
      </c>
      <c r="P165" s="109" t="s">
        <v>9</v>
      </c>
      <c r="Q165" s="109" t="s">
        <v>24</v>
      </c>
      <c r="R165" s="109" t="s">
        <v>113</v>
      </c>
      <c r="S165" s="109">
        <v>5</v>
      </c>
      <c r="T165" s="109">
        <v>8</v>
      </c>
      <c r="U165" s="139">
        <v>41</v>
      </c>
      <c r="V165" s="140">
        <v>328</v>
      </c>
    </row>
    <row r="166" spans="1:22" x14ac:dyDescent="0.25">
      <c r="A166" s="103">
        <v>4519</v>
      </c>
      <c r="B166" s="104" t="s">
        <v>17</v>
      </c>
      <c r="C166" s="104" t="s">
        <v>176</v>
      </c>
      <c r="D166" s="104" t="s">
        <v>71</v>
      </c>
      <c r="E166" s="104" t="s">
        <v>170</v>
      </c>
      <c r="F166" s="104">
        <v>2013</v>
      </c>
      <c r="G166" s="105">
        <v>42487.583333333336</v>
      </c>
      <c r="H166" s="105">
        <v>42500.75</v>
      </c>
      <c r="I166" s="106">
        <v>42487</v>
      </c>
      <c r="J166" s="106">
        <v>42500</v>
      </c>
      <c r="K166" s="107" t="s">
        <v>527</v>
      </c>
      <c r="L166" s="107">
        <v>0.75</v>
      </c>
      <c r="M166" s="107" t="s">
        <v>542</v>
      </c>
      <c r="N166" s="107" t="s">
        <v>530</v>
      </c>
      <c r="O166" s="107" t="s">
        <v>524</v>
      </c>
      <c r="P166" s="104" t="s">
        <v>9</v>
      </c>
      <c r="Q166" s="104" t="s">
        <v>22</v>
      </c>
      <c r="R166" s="104" t="s">
        <v>109</v>
      </c>
      <c r="S166" s="104">
        <v>4</v>
      </c>
      <c r="T166" s="104">
        <v>11</v>
      </c>
      <c r="U166" s="137">
        <v>41</v>
      </c>
      <c r="V166" s="138">
        <v>451</v>
      </c>
    </row>
    <row r="167" spans="1:22" x14ac:dyDescent="0.25">
      <c r="A167" s="108">
        <v>4520</v>
      </c>
      <c r="B167" s="109" t="s">
        <v>11</v>
      </c>
      <c r="C167" s="109" t="s">
        <v>175</v>
      </c>
      <c r="D167" s="109" t="s">
        <v>74</v>
      </c>
      <c r="E167" s="109" t="s">
        <v>168</v>
      </c>
      <c r="F167" s="109">
        <v>2013</v>
      </c>
      <c r="G167" s="110">
        <v>42488.375</v>
      </c>
      <c r="H167" s="110">
        <v>42494.75</v>
      </c>
      <c r="I167" s="111">
        <v>42488</v>
      </c>
      <c r="J167" s="111">
        <v>42494</v>
      </c>
      <c r="K167" s="112" t="s">
        <v>525</v>
      </c>
      <c r="L167" s="112">
        <v>0.75</v>
      </c>
      <c r="M167" s="112" t="s">
        <v>540</v>
      </c>
      <c r="N167" s="112" t="s">
        <v>530</v>
      </c>
      <c r="O167" s="112" t="s">
        <v>524</v>
      </c>
      <c r="P167" s="109" t="s">
        <v>23</v>
      </c>
      <c r="Q167" s="109" t="s">
        <v>33</v>
      </c>
      <c r="R167" s="109" t="s">
        <v>113</v>
      </c>
      <c r="S167" s="109">
        <v>5</v>
      </c>
      <c r="T167" s="109">
        <v>11</v>
      </c>
      <c r="U167" s="139">
        <v>47</v>
      </c>
      <c r="V167" s="140">
        <v>517</v>
      </c>
    </row>
    <row r="168" spans="1:22" x14ac:dyDescent="0.25">
      <c r="A168" s="103">
        <v>4521</v>
      </c>
      <c r="B168" s="104" t="s">
        <v>29</v>
      </c>
      <c r="C168" s="104" t="s">
        <v>177</v>
      </c>
      <c r="D168" s="104" t="s">
        <v>73</v>
      </c>
      <c r="E168" s="104" t="s">
        <v>169</v>
      </c>
      <c r="F168" s="104">
        <v>2013</v>
      </c>
      <c r="G168" s="105">
        <v>42490.375</v>
      </c>
      <c r="H168" s="105">
        <v>42495.75</v>
      </c>
      <c r="I168" s="106">
        <v>42490</v>
      </c>
      <c r="J168" s="106">
        <v>42495</v>
      </c>
      <c r="K168" s="107" t="s">
        <v>525</v>
      </c>
      <c r="L168" s="107">
        <v>0.75</v>
      </c>
      <c r="M168" s="107" t="s">
        <v>540</v>
      </c>
      <c r="N168" s="107" t="s">
        <v>530</v>
      </c>
      <c r="O168" s="107" t="s">
        <v>524</v>
      </c>
      <c r="P168" s="104" t="s">
        <v>23</v>
      </c>
      <c r="Q168" s="104" t="s">
        <v>12</v>
      </c>
      <c r="R168" s="104" t="s">
        <v>113</v>
      </c>
      <c r="S168" s="104">
        <v>3</v>
      </c>
      <c r="T168" s="104">
        <v>10</v>
      </c>
      <c r="U168" s="137">
        <v>61</v>
      </c>
      <c r="V168" s="138">
        <v>610</v>
      </c>
    </row>
    <row r="169" spans="1:22" x14ac:dyDescent="0.25">
      <c r="A169" s="108">
        <v>4522</v>
      </c>
      <c r="B169" s="109" t="s">
        <v>7</v>
      </c>
      <c r="C169" s="109" t="s">
        <v>175</v>
      </c>
      <c r="D169" s="109" t="s">
        <v>70</v>
      </c>
      <c r="E169" s="109" t="s">
        <v>174</v>
      </c>
      <c r="F169" s="109">
        <v>2013</v>
      </c>
      <c r="G169" s="110">
        <v>42490.375</v>
      </c>
      <c r="H169" s="110">
        <v>42495.75</v>
      </c>
      <c r="I169" s="111">
        <v>42490</v>
      </c>
      <c r="J169" s="111">
        <v>42495</v>
      </c>
      <c r="K169" s="112" t="s">
        <v>525</v>
      </c>
      <c r="L169" s="112">
        <v>0.75</v>
      </c>
      <c r="M169" s="112" t="s">
        <v>540</v>
      </c>
      <c r="N169" s="112" t="s">
        <v>530</v>
      </c>
      <c r="O169" s="112" t="s">
        <v>524</v>
      </c>
      <c r="P169" s="109" t="s">
        <v>9</v>
      </c>
      <c r="Q169" s="109" t="s">
        <v>28</v>
      </c>
      <c r="R169" s="109" t="s">
        <v>109</v>
      </c>
      <c r="S169" s="109">
        <v>2</v>
      </c>
      <c r="T169" s="109">
        <v>8</v>
      </c>
      <c r="U169" s="139">
        <v>62</v>
      </c>
      <c r="V169" s="140">
        <v>496</v>
      </c>
    </row>
    <row r="170" spans="1:22" x14ac:dyDescent="0.25">
      <c r="A170" s="103">
        <v>4523</v>
      </c>
      <c r="B170" s="104" t="s">
        <v>19</v>
      </c>
      <c r="C170" s="104" t="s">
        <v>176</v>
      </c>
      <c r="D170" s="104" t="s">
        <v>66</v>
      </c>
      <c r="E170" s="104" t="s">
        <v>169</v>
      </c>
      <c r="F170" s="104">
        <v>2013</v>
      </c>
      <c r="G170" s="105">
        <v>42492.791666666664</v>
      </c>
      <c r="H170" s="105">
        <v>42503.958333333336</v>
      </c>
      <c r="I170" s="106">
        <v>42492</v>
      </c>
      <c r="J170" s="106">
        <v>42503</v>
      </c>
      <c r="K170" s="107" t="s">
        <v>526</v>
      </c>
      <c r="L170" s="107">
        <v>0.95833333333333337</v>
      </c>
      <c r="M170" s="107" t="s">
        <v>541</v>
      </c>
      <c r="N170" s="107" t="s">
        <v>531</v>
      </c>
      <c r="O170" s="107" t="s">
        <v>524</v>
      </c>
      <c r="P170" s="104" t="s">
        <v>9</v>
      </c>
      <c r="Q170" s="104" t="s">
        <v>33</v>
      </c>
      <c r="R170" s="104" t="s">
        <v>113</v>
      </c>
      <c r="S170" s="104">
        <v>5</v>
      </c>
      <c r="T170" s="104">
        <v>10</v>
      </c>
      <c r="U170" s="137">
        <v>47</v>
      </c>
      <c r="V170" s="138">
        <v>470</v>
      </c>
    </row>
    <row r="171" spans="1:22" x14ac:dyDescent="0.25">
      <c r="A171" s="108">
        <v>4524</v>
      </c>
      <c r="B171" s="109" t="s">
        <v>7</v>
      </c>
      <c r="C171" s="109" t="s">
        <v>175</v>
      </c>
      <c r="D171" s="109" t="s">
        <v>63</v>
      </c>
      <c r="E171" s="109" t="s">
        <v>172</v>
      </c>
      <c r="F171" s="109">
        <v>2013</v>
      </c>
      <c r="G171" s="110">
        <v>42492.791666666664</v>
      </c>
      <c r="H171" s="110">
        <v>42503.958333333336</v>
      </c>
      <c r="I171" s="111">
        <v>42492</v>
      </c>
      <c r="J171" s="111">
        <v>42503</v>
      </c>
      <c r="K171" s="112" t="s">
        <v>526</v>
      </c>
      <c r="L171" s="112">
        <v>0.95833333333333337</v>
      </c>
      <c r="M171" s="112" t="s">
        <v>541</v>
      </c>
      <c r="N171" s="112" t="s">
        <v>531</v>
      </c>
      <c r="O171" s="112" t="s">
        <v>524</v>
      </c>
      <c r="P171" s="109" t="s">
        <v>23</v>
      </c>
      <c r="Q171" s="109" t="s">
        <v>24</v>
      </c>
      <c r="R171" s="109" t="s">
        <v>113</v>
      </c>
      <c r="S171" s="109">
        <v>4</v>
      </c>
      <c r="T171" s="109">
        <v>11</v>
      </c>
      <c r="U171" s="139">
        <v>51</v>
      </c>
      <c r="V171" s="140">
        <v>561</v>
      </c>
    </row>
    <row r="172" spans="1:22" x14ac:dyDescent="0.25">
      <c r="A172" s="103">
        <v>4525</v>
      </c>
      <c r="B172" s="104" t="s">
        <v>22</v>
      </c>
      <c r="C172" s="104" t="s">
        <v>176</v>
      </c>
      <c r="D172" s="104" t="s">
        <v>70</v>
      </c>
      <c r="E172" s="104" t="s">
        <v>174</v>
      </c>
      <c r="F172" s="104">
        <v>2013</v>
      </c>
      <c r="G172" s="105">
        <v>42493.791666666664</v>
      </c>
      <c r="H172" s="105">
        <v>42506.958333333336</v>
      </c>
      <c r="I172" s="106">
        <v>42493</v>
      </c>
      <c r="J172" s="106">
        <v>42506</v>
      </c>
      <c r="K172" s="107" t="s">
        <v>526</v>
      </c>
      <c r="L172" s="107">
        <v>0.95833333333333337</v>
      </c>
      <c r="M172" s="107" t="s">
        <v>541</v>
      </c>
      <c r="N172" s="107" t="s">
        <v>531</v>
      </c>
      <c r="O172" s="107" t="s">
        <v>524</v>
      </c>
      <c r="P172" s="104" t="s">
        <v>9</v>
      </c>
      <c r="Q172" s="104" t="s">
        <v>16</v>
      </c>
      <c r="R172" s="104" t="s">
        <v>109</v>
      </c>
      <c r="S172" s="104">
        <v>2</v>
      </c>
      <c r="T172" s="104">
        <v>8</v>
      </c>
      <c r="U172" s="137">
        <v>62</v>
      </c>
      <c r="V172" s="138">
        <v>496</v>
      </c>
    </row>
    <row r="173" spans="1:22" x14ac:dyDescent="0.25">
      <c r="A173" s="108">
        <v>4526</v>
      </c>
      <c r="B173" s="109" t="s">
        <v>29</v>
      </c>
      <c r="C173" s="109" t="s">
        <v>177</v>
      </c>
      <c r="D173" s="109" t="s">
        <v>63</v>
      </c>
      <c r="E173" s="109" t="s">
        <v>172</v>
      </c>
      <c r="F173" s="109">
        <v>2013</v>
      </c>
      <c r="G173" s="110">
        <v>42493.791666666664</v>
      </c>
      <c r="H173" s="110">
        <v>42506.958333333336</v>
      </c>
      <c r="I173" s="111">
        <v>42493</v>
      </c>
      <c r="J173" s="111">
        <v>42506</v>
      </c>
      <c r="K173" s="112" t="s">
        <v>526</v>
      </c>
      <c r="L173" s="112">
        <v>0.95833333333333337</v>
      </c>
      <c r="M173" s="112" t="s">
        <v>541</v>
      </c>
      <c r="N173" s="112" t="s">
        <v>531</v>
      </c>
      <c r="O173" s="112" t="s">
        <v>524</v>
      </c>
      <c r="P173" s="109" t="s">
        <v>23</v>
      </c>
      <c r="Q173" s="109" t="s">
        <v>44</v>
      </c>
      <c r="R173" s="109" t="s">
        <v>113</v>
      </c>
      <c r="S173" s="109">
        <v>2</v>
      </c>
      <c r="T173" s="109">
        <v>8</v>
      </c>
      <c r="U173" s="139">
        <v>51</v>
      </c>
      <c r="V173" s="140">
        <v>408</v>
      </c>
    </row>
    <row r="174" spans="1:22" x14ac:dyDescent="0.25">
      <c r="A174" s="103">
        <v>4527</v>
      </c>
      <c r="B174" s="104" t="s">
        <v>45</v>
      </c>
      <c r="C174" s="104" t="s">
        <v>177</v>
      </c>
      <c r="D174" s="104" t="s">
        <v>65</v>
      </c>
      <c r="E174" s="104" t="s">
        <v>173</v>
      </c>
      <c r="F174" s="104">
        <v>2013</v>
      </c>
      <c r="G174" s="105">
        <v>42493.791666666664</v>
      </c>
      <c r="H174" s="105">
        <v>42506.958333333336</v>
      </c>
      <c r="I174" s="106">
        <v>42493</v>
      </c>
      <c r="J174" s="106">
        <v>42506</v>
      </c>
      <c r="K174" s="107" t="s">
        <v>526</v>
      </c>
      <c r="L174" s="107">
        <v>0.95833333333333337</v>
      </c>
      <c r="M174" s="107" t="s">
        <v>541</v>
      </c>
      <c r="N174" s="107" t="s">
        <v>531</v>
      </c>
      <c r="O174" s="107" t="s">
        <v>524</v>
      </c>
      <c r="P174" s="104" t="s">
        <v>9</v>
      </c>
      <c r="Q174" s="104" t="s">
        <v>190</v>
      </c>
      <c r="R174" s="104" t="s">
        <v>109</v>
      </c>
      <c r="S174" s="104">
        <v>4</v>
      </c>
      <c r="T174" s="104">
        <v>9</v>
      </c>
      <c r="U174" s="137">
        <v>31</v>
      </c>
      <c r="V174" s="138">
        <v>279</v>
      </c>
    </row>
    <row r="175" spans="1:22" x14ac:dyDescent="0.25">
      <c r="A175" s="108">
        <v>4528</v>
      </c>
      <c r="B175" s="109" t="s">
        <v>11</v>
      </c>
      <c r="C175" s="109" t="s">
        <v>175</v>
      </c>
      <c r="D175" s="109" t="s">
        <v>62</v>
      </c>
      <c r="E175" s="109" t="s">
        <v>172</v>
      </c>
      <c r="F175" s="109">
        <v>2013</v>
      </c>
      <c r="G175" s="110">
        <v>42494.583333333336</v>
      </c>
      <c r="H175" s="110">
        <v>42507.75</v>
      </c>
      <c r="I175" s="111">
        <v>42494</v>
      </c>
      <c r="J175" s="111">
        <v>42507</v>
      </c>
      <c r="K175" s="112" t="s">
        <v>527</v>
      </c>
      <c r="L175" s="112">
        <v>0.75</v>
      </c>
      <c r="M175" s="112" t="s">
        <v>542</v>
      </c>
      <c r="N175" s="112" t="s">
        <v>531</v>
      </c>
      <c r="O175" s="112" t="s">
        <v>524</v>
      </c>
      <c r="P175" s="109" t="s">
        <v>9</v>
      </c>
      <c r="Q175" s="109" t="s">
        <v>190</v>
      </c>
      <c r="R175" s="109" t="s">
        <v>109</v>
      </c>
      <c r="S175" s="109">
        <v>2</v>
      </c>
      <c r="T175" s="109">
        <v>8</v>
      </c>
      <c r="U175" s="139">
        <v>61</v>
      </c>
      <c r="V175" s="140">
        <v>488</v>
      </c>
    </row>
    <row r="176" spans="1:22" x14ac:dyDescent="0.25">
      <c r="A176" s="103">
        <v>4529</v>
      </c>
      <c r="B176" s="104" t="s">
        <v>14</v>
      </c>
      <c r="C176" s="104" t="s">
        <v>175</v>
      </c>
      <c r="D176" s="104" t="s">
        <v>63</v>
      </c>
      <c r="E176" s="104" t="s">
        <v>172</v>
      </c>
      <c r="F176" s="104">
        <v>2013</v>
      </c>
      <c r="G176" s="105">
        <v>42495.375</v>
      </c>
      <c r="H176" s="105">
        <v>42501.75</v>
      </c>
      <c r="I176" s="106">
        <v>42495</v>
      </c>
      <c r="J176" s="106">
        <v>42501</v>
      </c>
      <c r="K176" s="107" t="s">
        <v>525</v>
      </c>
      <c r="L176" s="107">
        <v>0.75</v>
      </c>
      <c r="M176" s="107" t="s">
        <v>540</v>
      </c>
      <c r="N176" s="107" t="s">
        <v>531</v>
      </c>
      <c r="O176" s="107" t="s">
        <v>524</v>
      </c>
      <c r="P176" s="104" t="s">
        <v>23</v>
      </c>
      <c r="Q176" s="104" t="s">
        <v>35</v>
      </c>
      <c r="R176" s="104" t="s">
        <v>109</v>
      </c>
      <c r="S176" s="104">
        <v>3</v>
      </c>
      <c r="T176" s="104">
        <v>11</v>
      </c>
      <c r="U176" s="137">
        <v>51</v>
      </c>
      <c r="V176" s="138">
        <v>561</v>
      </c>
    </row>
    <row r="177" spans="1:22" x14ac:dyDescent="0.25">
      <c r="A177" s="108">
        <v>4530</v>
      </c>
      <c r="B177" s="109" t="s">
        <v>29</v>
      </c>
      <c r="C177" s="109" t="s">
        <v>177</v>
      </c>
      <c r="D177" s="109" t="s">
        <v>72</v>
      </c>
      <c r="E177" s="109" t="s">
        <v>172</v>
      </c>
      <c r="F177" s="109">
        <v>2013</v>
      </c>
      <c r="G177" s="110">
        <v>42496.333333333336</v>
      </c>
      <c r="H177" s="110">
        <v>42509.5</v>
      </c>
      <c r="I177" s="111">
        <v>42496</v>
      </c>
      <c r="J177" s="111">
        <v>42509</v>
      </c>
      <c r="K177" s="112" t="s">
        <v>522</v>
      </c>
      <c r="L177" s="112">
        <v>0.5</v>
      </c>
      <c r="M177" s="112" t="s">
        <v>539</v>
      </c>
      <c r="N177" s="112" t="s">
        <v>531</v>
      </c>
      <c r="O177" s="112" t="s">
        <v>524</v>
      </c>
      <c r="P177" s="109" t="s">
        <v>9</v>
      </c>
      <c r="Q177" s="109" t="s">
        <v>44</v>
      </c>
      <c r="R177" s="109" t="s">
        <v>113</v>
      </c>
      <c r="S177" s="109">
        <v>4</v>
      </c>
      <c r="T177" s="109">
        <v>11</v>
      </c>
      <c r="U177" s="139">
        <v>33</v>
      </c>
      <c r="V177" s="140">
        <v>363</v>
      </c>
    </row>
    <row r="178" spans="1:22" x14ac:dyDescent="0.25">
      <c r="A178" s="103">
        <v>4531</v>
      </c>
      <c r="B178" s="104" t="s">
        <v>17</v>
      </c>
      <c r="C178" s="104" t="s">
        <v>176</v>
      </c>
      <c r="D178" s="104" t="s">
        <v>63</v>
      </c>
      <c r="E178" s="104" t="s">
        <v>172</v>
      </c>
      <c r="F178" s="104">
        <v>2013</v>
      </c>
      <c r="G178" s="105">
        <v>42497.375</v>
      </c>
      <c r="H178" s="105">
        <v>42502.75</v>
      </c>
      <c r="I178" s="106">
        <v>42497</v>
      </c>
      <c r="J178" s="106">
        <v>42502</v>
      </c>
      <c r="K178" s="107" t="s">
        <v>525</v>
      </c>
      <c r="L178" s="107">
        <v>0.75</v>
      </c>
      <c r="M178" s="107" t="s">
        <v>540</v>
      </c>
      <c r="N178" s="107" t="s">
        <v>531</v>
      </c>
      <c r="O178" s="107" t="s">
        <v>524</v>
      </c>
      <c r="P178" s="104" t="s">
        <v>23</v>
      </c>
      <c r="Q178" s="104" t="s">
        <v>18</v>
      </c>
      <c r="R178" s="104" t="s">
        <v>113</v>
      </c>
      <c r="S178" s="104">
        <v>3</v>
      </c>
      <c r="T178" s="104">
        <v>8</v>
      </c>
      <c r="U178" s="137">
        <v>51</v>
      </c>
      <c r="V178" s="138">
        <v>408</v>
      </c>
    </row>
    <row r="179" spans="1:22" x14ac:dyDescent="0.25">
      <c r="A179" s="108">
        <v>4532</v>
      </c>
      <c r="B179" s="109" t="s">
        <v>45</v>
      </c>
      <c r="C179" s="109" t="s">
        <v>177</v>
      </c>
      <c r="D179" s="109" t="s">
        <v>62</v>
      </c>
      <c r="E179" s="109" t="s">
        <v>172</v>
      </c>
      <c r="F179" s="109">
        <v>2013</v>
      </c>
      <c r="G179" s="110">
        <v>42497.375</v>
      </c>
      <c r="H179" s="110">
        <v>42502.75</v>
      </c>
      <c r="I179" s="111">
        <v>42497</v>
      </c>
      <c r="J179" s="111">
        <v>42502</v>
      </c>
      <c r="K179" s="112" t="s">
        <v>525</v>
      </c>
      <c r="L179" s="112">
        <v>0.75</v>
      </c>
      <c r="M179" s="112" t="s">
        <v>540</v>
      </c>
      <c r="N179" s="112" t="s">
        <v>531</v>
      </c>
      <c r="O179" s="112" t="s">
        <v>524</v>
      </c>
      <c r="P179" s="109" t="s">
        <v>9</v>
      </c>
      <c r="Q179" s="109" t="s">
        <v>22</v>
      </c>
      <c r="R179" s="109" t="s">
        <v>109</v>
      </c>
      <c r="S179" s="109">
        <v>2</v>
      </c>
      <c r="T179" s="109">
        <v>12</v>
      </c>
      <c r="U179" s="139">
        <v>61</v>
      </c>
      <c r="V179" s="140">
        <v>732</v>
      </c>
    </row>
    <row r="180" spans="1:22" x14ac:dyDescent="0.25">
      <c r="A180" s="103">
        <v>4533</v>
      </c>
      <c r="B180" s="104" t="s">
        <v>45</v>
      </c>
      <c r="C180" s="104" t="s">
        <v>177</v>
      </c>
      <c r="D180" s="104" t="s">
        <v>68</v>
      </c>
      <c r="E180" s="104" t="s">
        <v>172</v>
      </c>
      <c r="F180" s="104">
        <v>2013</v>
      </c>
      <c r="G180" s="105">
        <v>42497.375</v>
      </c>
      <c r="H180" s="105">
        <v>42502.75</v>
      </c>
      <c r="I180" s="106">
        <v>42497</v>
      </c>
      <c r="J180" s="106">
        <v>42502</v>
      </c>
      <c r="K180" s="107" t="s">
        <v>525</v>
      </c>
      <c r="L180" s="107">
        <v>0.75</v>
      </c>
      <c r="M180" s="107" t="s">
        <v>540</v>
      </c>
      <c r="N180" s="107" t="s">
        <v>531</v>
      </c>
      <c r="O180" s="107" t="s">
        <v>524</v>
      </c>
      <c r="P180" s="104" t="s">
        <v>9</v>
      </c>
      <c r="Q180" s="104" t="s">
        <v>31</v>
      </c>
      <c r="R180" s="104" t="s">
        <v>113</v>
      </c>
      <c r="S180" s="104">
        <v>3</v>
      </c>
      <c r="T180" s="104">
        <v>12</v>
      </c>
      <c r="U180" s="137">
        <v>42</v>
      </c>
      <c r="V180" s="138">
        <v>504</v>
      </c>
    </row>
    <row r="181" spans="1:22" x14ac:dyDescent="0.25">
      <c r="A181" s="108">
        <v>4534</v>
      </c>
      <c r="B181" s="109" t="s">
        <v>7</v>
      </c>
      <c r="C181" s="109" t="s">
        <v>175</v>
      </c>
      <c r="D181" s="109" t="s">
        <v>75</v>
      </c>
      <c r="E181" s="109" t="s">
        <v>174</v>
      </c>
      <c r="F181" s="109">
        <v>2013</v>
      </c>
      <c r="G181" s="110">
        <v>42499.791666666664</v>
      </c>
      <c r="H181" s="110">
        <v>42510.958333333336</v>
      </c>
      <c r="I181" s="111">
        <v>42499</v>
      </c>
      <c r="J181" s="111">
        <v>42510</v>
      </c>
      <c r="K181" s="112" t="s">
        <v>526</v>
      </c>
      <c r="L181" s="112">
        <v>0.95833333333333337</v>
      </c>
      <c r="M181" s="112" t="s">
        <v>541</v>
      </c>
      <c r="N181" s="112" t="s">
        <v>531</v>
      </c>
      <c r="O181" s="112" t="s">
        <v>524</v>
      </c>
      <c r="P181" s="109" t="s">
        <v>9</v>
      </c>
      <c r="Q181" s="109" t="s">
        <v>22</v>
      </c>
      <c r="R181" s="109" t="s">
        <v>109</v>
      </c>
      <c r="S181" s="109">
        <v>2</v>
      </c>
      <c r="T181" s="109">
        <v>10</v>
      </c>
      <c r="U181" s="139">
        <v>52</v>
      </c>
      <c r="V181" s="140">
        <v>520</v>
      </c>
    </row>
    <row r="182" spans="1:22" x14ac:dyDescent="0.25">
      <c r="A182" s="103">
        <v>4535</v>
      </c>
      <c r="B182" s="104" t="s">
        <v>17</v>
      </c>
      <c r="C182" s="104" t="s">
        <v>176</v>
      </c>
      <c r="D182" s="104" t="s">
        <v>71</v>
      </c>
      <c r="E182" s="104" t="s">
        <v>170</v>
      </c>
      <c r="F182" s="104">
        <v>2013</v>
      </c>
      <c r="G182" s="105">
        <v>42500.791666666664</v>
      </c>
      <c r="H182" s="105">
        <v>42513.958333333336</v>
      </c>
      <c r="I182" s="106">
        <v>42500</v>
      </c>
      <c r="J182" s="106">
        <v>42513</v>
      </c>
      <c r="K182" s="107" t="s">
        <v>526</v>
      </c>
      <c r="L182" s="107">
        <v>0.95833333333333337</v>
      </c>
      <c r="M182" s="107" t="s">
        <v>541</v>
      </c>
      <c r="N182" s="107" t="s">
        <v>531</v>
      </c>
      <c r="O182" s="107" t="s">
        <v>524</v>
      </c>
      <c r="P182" s="104" t="s">
        <v>9</v>
      </c>
      <c r="Q182" s="104" t="s">
        <v>38</v>
      </c>
      <c r="R182" s="104" t="s">
        <v>113</v>
      </c>
      <c r="S182" s="104">
        <v>3</v>
      </c>
      <c r="T182" s="104">
        <v>11</v>
      </c>
      <c r="U182" s="137">
        <v>41</v>
      </c>
      <c r="V182" s="138">
        <v>451</v>
      </c>
    </row>
    <row r="183" spans="1:22" x14ac:dyDescent="0.25">
      <c r="A183" s="108">
        <v>4536</v>
      </c>
      <c r="B183" s="109" t="s">
        <v>39</v>
      </c>
      <c r="C183" s="109" t="s">
        <v>177</v>
      </c>
      <c r="D183" s="109" t="s">
        <v>70</v>
      </c>
      <c r="E183" s="109" t="s">
        <v>174</v>
      </c>
      <c r="F183" s="109">
        <v>2013</v>
      </c>
      <c r="G183" s="110">
        <v>42500.791666666664</v>
      </c>
      <c r="H183" s="110">
        <v>42513.958333333336</v>
      </c>
      <c r="I183" s="111">
        <v>42500</v>
      </c>
      <c r="J183" s="111">
        <v>42513</v>
      </c>
      <c r="K183" s="112" t="s">
        <v>526</v>
      </c>
      <c r="L183" s="112">
        <v>0.95833333333333337</v>
      </c>
      <c r="M183" s="112" t="s">
        <v>541</v>
      </c>
      <c r="N183" s="112" t="s">
        <v>531</v>
      </c>
      <c r="O183" s="112" t="s">
        <v>524</v>
      </c>
      <c r="P183" s="109" t="s">
        <v>9</v>
      </c>
      <c r="Q183" s="109" t="s">
        <v>33</v>
      </c>
      <c r="R183" s="109" t="s">
        <v>113</v>
      </c>
      <c r="S183" s="109">
        <v>2</v>
      </c>
      <c r="T183" s="109">
        <v>12</v>
      </c>
      <c r="U183" s="139">
        <v>62</v>
      </c>
      <c r="V183" s="140">
        <v>744</v>
      </c>
    </row>
    <row r="184" spans="1:22" x14ac:dyDescent="0.25">
      <c r="A184" s="103">
        <v>4537</v>
      </c>
      <c r="B184" s="104" t="s">
        <v>14</v>
      </c>
      <c r="C184" s="104" t="s">
        <v>175</v>
      </c>
      <c r="D184" s="104" t="s">
        <v>74</v>
      </c>
      <c r="E184" s="104" t="s">
        <v>168</v>
      </c>
      <c r="F184" s="104">
        <v>2013</v>
      </c>
      <c r="G184" s="105">
        <v>42500.791666666664</v>
      </c>
      <c r="H184" s="105">
        <v>42513.958333333336</v>
      </c>
      <c r="I184" s="106">
        <v>42500</v>
      </c>
      <c r="J184" s="106">
        <v>42513</v>
      </c>
      <c r="K184" s="107" t="s">
        <v>526</v>
      </c>
      <c r="L184" s="107">
        <v>0.95833333333333337</v>
      </c>
      <c r="M184" s="107" t="s">
        <v>541</v>
      </c>
      <c r="N184" s="107" t="s">
        <v>531</v>
      </c>
      <c r="O184" s="107" t="s">
        <v>524</v>
      </c>
      <c r="P184" s="104" t="s">
        <v>23</v>
      </c>
      <c r="Q184" s="104" t="s">
        <v>26</v>
      </c>
      <c r="R184" s="104" t="s">
        <v>113</v>
      </c>
      <c r="S184" s="104">
        <v>3</v>
      </c>
      <c r="T184" s="104">
        <v>12</v>
      </c>
      <c r="U184" s="137">
        <v>47</v>
      </c>
      <c r="V184" s="138">
        <v>564</v>
      </c>
    </row>
    <row r="185" spans="1:22" x14ac:dyDescent="0.25">
      <c r="A185" s="108">
        <v>4538</v>
      </c>
      <c r="B185" s="109" t="s">
        <v>7</v>
      </c>
      <c r="C185" s="109" t="s">
        <v>175</v>
      </c>
      <c r="D185" s="109" t="s">
        <v>76</v>
      </c>
      <c r="E185" s="109" t="s">
        <v>174</v>
      </c>
      <c r="F185" s="109">
        <v>2016</v>
      </c>
      <c r="G185" s="110">
        <v>42501.583333333336</v>
      </c>
      <c r="H185" s="110">
        <v>42514.75</v>
      </c>
      <c r="I185" s="111">
        <v>42501</v>
      </c>
      <c r="J185" s="111">
        <v>42514</v>
      </c>
      <c r="K185" s="112" t="s">
        <v>527</v>
      </c>
      <c r="L185" s="112">
        <v>0.75</v>
      </c>
      <c r="M185" s="112" t="s">
        <v>542</v>
      </c>
      <c r="N185" s="112" t="s">
        <v>531</v>
      </c>
      <c r="O185" s="112" t="s">
        <v>524</v>
      </c>
      <c r="P185" s="109" t="s">
        <v>9</v>
      </c>
      <c r="Q185" s="109" t="s">
        <v>190</v>
      </c>
      <c r="R185" s="109" t="s">
        <v>109</v>
      </c>
      <c r="S185" s="109">
        <v>2</v>
      </c>
      <c r="T185" s="109">
        <v>11</v>
      </c>
      <c r="U185" s="139">
        <v>53</v>
      </c>
      <c r="V185" s="140">
        <v>583</v>
      </c>
    </row>
    <row r="186" spans="1:22" x14ac:dyDescent="0.25">
      <c r="A186" s="103">
        <v>4539</v>
      </c>
      <c r="B186" s="104" t="s">
        <v>11</v>
      </c>
      <c r="C186" s="104" t="s">
        <v>175</v>
      </c>
      <c r="D186" s="104" t="s">
        <v>76</v>
      </c>
      <c r="E186" s="104" t="s">
        <v>174</v>
      </c>
      <c r="F186" s="104">
        <v>2016</v>
      </c>
      <c r="G186" s="105">
        <v>42502.375</v>
      </c>
      <c r="H186" s="105">
        <v>42508.75</v>
      </c>
      <c r="I186" s="106">
        <v>42502</v>
      </c>
      <c r="J186" s="106">
        <v>42508</v>
      </c>
      <c r="K186" s="107" t="s">
        <v>525</v>
      </c>
      <c r="L186" s="107">
        <v>0.75</v>
      </c>
      <c r="M186" s="107" t="s">
        <v>540</v>
      </c>
      <c r="N186" s="107" t="s">
        <v>531</v>
      </c>
      <c r="O186" s="107" t="s">
        <v>524</v>
      </c>
      <c r="P186" s="104" t="s">
        <v>9</v>
      </c>
      <c r="Q186" s="104" t="s">
        <v>12</v>
      </c>
      <c r="R186" s="104" t="s">
        <v>113</v>
      </c>
      <c r="S186" s="104">
        <v>3</v>
      </c>
      <c r="T186" s="104">
        <v>11</v>
      </c>
      <c r="U186" s="137">
        <v>53</v>
      </c>
      <c r="V186" s="138">
        <v>583</v>
      </c>
    </row>
    <row r="187" spans="1:22" x14ac:dyDescent="0.25">
      <c r="A187" s="108">
        <v>4540</v>
      </c>
      <c r="B187" s="109" t="s">
        <v>14</v>
      </c>
      <c r="C187" s="109" t="s">
        <v>175</v>
      </c>
      <c r="D187" s="109" t="s">
        <v>77</v>
      </c>
      <c r="E187" s="109" t="s">
        <v>172</v>
      </c>
      <c r="F187" s="109">
        <v>2016</v>
      </c>
      <c r="G187" s="110">
        <v>42503.333333333336</v>
      </c>
      <c r="H187" s="110">
        <v>42516.5</v>
      </c>
      <c r="I187" s="111">
        <v>42503</v>
      </c>
      <c r="J187" s="111">
        <v>42516</v>
      </c>
      <c r="K187" s="112" t="s">
        <v>522</v>
      </c>
      <c r="L187" s="112">
        <v>0.5</v>
      </c>
      <c r="M187" s="112" t="s">
        <v>539</v>
      </c>
      <c r="N187" s="112" t="s">
        <v>531</v>
      </c>
      <c r="O187" s="112" t="s">
        <v>524</v>
      </c>
      <c r="P187" s="109" t="s">
        <v>9</v>
      </c>
      <c r="Q187" s="109" t="s">
        <v>16</v>
      </c>
      <c r="R187" s="109" t="s">
        <v>109</v>
      </c>
      <c r="S187" s="109">
        <v>3</v>
      </c>
      <c r="T187" s="109">
        <v>10</v>
      </c>
      <c r="U187" s="139">
        <v>35</v>
      </c>
      <c r="V187" s="140">
        <v>350</v>
      </c>
    </row>
    <row r="188" spans="1:22" x14ac:dyDescent="0.25">
      <c r="A188" s="103">
        <v>4541</v>
      </c>
      <c r="B188" s="104" t="s">
        <v>17</v>
      </c>
      <c r="C188" s="104" t="s">
        <v>176</v>
      </c>
      <c r="D188" s="104" t="s">
        <v>76</v>
      </c>
      <c r="E188" s="104" t="s">
        <v>174</v>
      </c>
      <c r="F188" s="104">
        <v>2016</v>
      </c>
      <c r="G188" s="105">
        <v>42504.375</v>
      </c>
      <c r="H188" s="105">
        <v>42509.75</v>
      </c>
      <c r="I188" s="106">
        <v>42504</v>
      </c>
      <c r="J188" s="106">
        <v>42509</v>
      </c>
      <c r="K188" s="107" t="s">
        <v>525</v>
      </c>
      <c r="L188" s="107">
        <v>0.75</v>
      </c>
      <c r="M188" s="107" t="s">
        <v>540</v>
      </c>
      <c r="N188" s="107" t="s">
        <v>531</v>
      </c>
      <c r="O188" s="107" t="s">
        <v>524</v>
      </c>
      <c r="P188" s="104" t="s">
        <v>9</v>
      </c>
      <c r="Q188" s="104" t="s">
        <v>18</v>
      </c>
      <c r="R188" s="104" t="s">
        <v>113</v>
      </c>
      <c r="S188" s="104">
        <v>5</v>
      </c>
      <c r="T188" s="104">
        <v>9</v>
      </c>
      <c r="U188" s="137">
        <v>53</v>
      </c>
      <c r="V188" s="138">
        <v>477</v>
      </c>
    </row>
    <row r="189" spans="1:22" x14ac:dyDescent="0.25">
      <c r="A189" s="108">
        <v>4542</v>
      </c>
      <c r="B189" s="109" t="s">
        <v>19</v>
      </c>
      <c r="C189" s="109" t="s">
        <v>176</v>
      </c>
      <c r="D189" s="109" t="s">
        <v>78</v>
      </c>
      <c r="E189" s="109" t="s">
        <v>172</v>
      </c>
      <c r="F189" s="109">
        <v>2016</v>
      </c>
      <c r="G189" s="110">
        <v>42506.791666666664</v>
      </c>
      <c r="H189" s="110">
        <v>42517.958333333336</v>
      </c>
      <c r="I189" s="111">
        <v>42506</v>
      </c>
      <c r="J189" s="111">
        <v>42517</v>
      </c>
      <c r="K189" s="112" t="s">
        <v>526</v>
      </c>
      <c r="L189" s="112">
        <v>0.95833333333333337</v>
      </c>
      <c r="M189" s="112" t="s">
        <v>541</v>
      </c>
      <c r="N189" s="112" t="s">
        <v>531</v>
      </c>
      <c r="O189" s="112" t="s">
        <v>524</v>
      </c>
      <c r="P189" s="109" t="s">
        <v>9</v>
      </c>
      <c r="Q189" s="109" t="s">
        <v>21</v>
      </c>
      <c r="R189" s="109" t="s">
        <v>113</v>
      </c>
      <c r="S189" s="109">
        <v>5</v>
      </c>
      <c r="T189" s="109">
        <v>8</v>
      </c>
      <c r="U189" s="139">
        <v>62</v>
      </c>
      <c r="V189" s="140">
        <v>496</v>
      </c>
    </row>
    <row r="190" spans="1:22" x14ac:dyDescent="0.25">
      <c r="A190" s="103">
        <v>4543</v>
      </c>
      <c r="B190" s="104" t="s">
        <v>22</v>
      </c>
      <c r="C190" s="104" t="s">
        <v>176</v>
      </c>
      <c r="D190" s="104" t="s">
        <v>76</v>
      </c>
      <c r="E190" s="104" t="s">
        <v>174</v>
      </c>
      <c r="F190" s="104">
        <v>2016</v>
      </c>
      <c r="G190" s="105">
        <v>42506.791666666664</v>
      </c>
      <c r="H190" s="105">
        <v>42517.958333333336</v>
      </c>
      <c r="I190" s="106">
        <v>42506</v>
      </c>
      <c r="J190" s="106">
        <v>42517</v>
      </c>
      <c r="K190" s="107" t="s">
        <v>526</v>
      </c>
      <c r="L190" s="107">
        <v>0.95833333333333337</v>
      </c>
      <c r="M190" s="107" t="s">
        <v>541</v>
      </c>
      <c r="N190" s="107" t="s">
        <v>531</v>
      </c>
      <c r="O190" s="107" t="s">
        <v>524</v>
      </c>
      <c r="P190" s="104" t="s">
        <v>23</v>
      </c>
      <c r="Q190" s="104" t="s">
        <v>24</v>
      </c>
      <c r="R190" s="104" t="s">
        <v>113</v>
      </c>
      <c r="S190" s="104">
        <v>3</v>
      </c>
      <c r="T190" s="104">
        <v>8</v>
      </c>
      <c r="U190" s="137">
        <v>53</v>
      </c>
      <c r="V190" s="138">
        <v>424</v>
      </c>
    </row>
    <row r="191" spans="1:22" x14ac:dyDescent="0.25">
      <c r="A191" s="108">
        <v>4544</v>
      </c>
      <c r="B191" s="109" t="s">
        <v>7</v>
      </c>
      <c r="C191" s="109" t="s">
        <v>175</v>
      </c>
      <c r="D191" s="109" t="s">
        <v>79</v>
      </c>
      <c r="E191" s="109" t="s">
        <v>168</v>
      </c>
      <c r="F191" s="109">
        <v>2016</v>
      </c>
      <c r="G191" s="110">
        <v>42507.791666666664</v>
      </c>
      <c r="H191" s="110">
        <v>42520.958333333336</v>
      </c>
      <c r="I191" s="111">
        <v>42507</v>
      </c>
      <c r="J191" s="111">
        <v>42520</v>
      </c>
      <c r="K191" s="112" t="s">
        <v>526</v>
      </c>
      <c r="L191" s="112">
        <v>0.95833333333333337</v>
      </c>
      <c r="M191" s="112" t="s">
        <v>541</v>
      </c>
      <c r="N191" s="112" t="s">
        <v>531</v>
      </c>
      <c r="O191" s="112" t="s">
        <v>524</v>
      </c>
      <c r="P191" s="109" t="s">
        <v>9</v>
      </c>
      <c r="Q191" s="109" t="s">
        <v>26</v>
      </c>
      <c r="R191" s="109" t="s">
        <v>113</v>
      </c>
      <c r="S191" s="109">
        <v>5</v>
      </c>
      <c r="T191" s="109">
        <v>11</v>
      </c>
      <c r="U191" s="139">
        <v>48</v>
      </c>
      <c r="V191" s="140">
        <v>528</v>
      </c>
    </row>
    <row r="192" spans="1:22" x14ac:dyDescent="0.25">
      <c r="A192" s="103">
        <v>4545</v>
      </c>
      <c r="B192" s="104" t="s">
        <v>17</v>
      </c>
      <c r="C192" s="104" t="s">
        <v>176</v>
      </c>
      <c r="D192" s="104" t="s">
        <v>80</v>
      </c>
      <c r="E192" s="104" t="s">
        <v>173</v>
      </c>
      <c r="F192" s="104">
        <v>2016</v>
      </c>
      <c r="G192" s="105">
        <v>42508.583333333336</v>
      </c>
      <c r="H192" s="105">
        <v>42521.75</v>
      </c>
      <c r="I192" s="106">
        <v>42508</v>
      </c>
      <c r="J192" s="106">
        <v>42521</v>
      </c>
      <c r="K192" s="107" t="s">
        <v>527</v>
      </c>
      <c r="L192" s="107">
        <v>0.75</v>
      </c>
      <c r="M192" s="107" t="s">
        <v>542</v>
      </c>
      <c r="N192" s="107" t="s">
        <v>531</v>
      </c>
      <c r="O192" s="107" t="s">
        <v>524</v>
      </c>
      <c r="P192" s="104" t="s">
        <v>23</v>
      </c>
      <c r="Q192" s="104" t="s">
        <v>28</v>
      </c>
      <c r="R192" s="104" t="s">
        <v>109</v>
      </c>
      <c r="S192" s="104">
        <v>5</v>
      </c>
      <c r="T192" s="104">
        <v>10</v>
      </c>
      <c r="U192" s="137">
        <v>32</v>
      </c>
      <c r="V192" s="138">
        <v>320</v>
      </c>
    </row>
    <row r="193" spans="1:22" x14ac:dyDescent="0.25">
      <c r="A193" s="108">
        <v>4546</v>
      </c>
      <c r="B193" s="109" t="s">
        <v>29</v>
      </c>
      <c r="C193" s="109" t="s">
        <v>177</v>
      </c>
      <c r="D193" s="109" t="s">
        <v>78</v>
      </c>
      <c r="E193" s="109" t="s">
        <v>172</v>
      </c>
      <c r="F193" s="109">
        <v>2016</v>
      </c>
      <c r="G193" s="110">
        <v>42509.375</v>
      </c>
      <c r="H193" s="110">
        <v>42515.75</v>
      </c>
      <c r="I193" s="111">
        <v>42509</v>
      </c>
      <c r="J193" s="111">
        <v>42515</v>
      </c>
      <c r="K193" s="112" t="s">
        <v>525</v>
      </c>
      <c r="L193" s="112">
        <v>0.75</v>
      </c>
      <c r="M193" s="112" t="s">
        <v>540</v>
      </c>
      <c r="N193" s="112" t="s">
        <v>531</v>
      </c>
      <c r="O193" s="112" t="s">
        <v>524</v>
      </c>
      <c r="P193" s="109" t="s">
        <v>9</v>
      </c>
      <c r="Q193" s="109" t="s">
        <v>21</v>
      </c>
      <c r="R193" s="109" t="s">
        <v>113</v>
      </c>
      <c r="S193" s="109">
        <v>2</v>
      </c>
      <c r="T193" s="109">
        <v>11</v>
      </c>
      <c r="U193" s="139">
        <v>62</v>
      </c>
      <c r="V193" s="140">
        <v>682</v>
      </c>
    </row>
    <row r="194" spans="1:22" x14ac:dyDescent="0.25">
      <c r="A194" s="103">
        <v>4547</v>
      </c>
      <c r="B194" s="104" t="s">
        <v>7</v>
      </c>
      <c r="C194" s="104" t="s">
        <v>175</v>
      </c>
      <c r="D194" s="104" t="s">
        <v>81</v>
      </c>
      <c r="E194" s="104" t="s">
        <v>172</v>
      </c>
      <c r="F194" s="104">
        <v>2016</v>
      </c>
      <c r="G194" s="105">
        <v>42510.333333333336</v>
      </c>
      <c r="H194" s="105">
        <v>42523.5</v>
      </c>
      <c r="I194" s="106">
        <v>42510</v>
      </c>
      <c r="J194" s="106">
        <v>42523</v>
      </c>
      <c r="K194" s="107" t="s">
        <v>522</v>
      </c>
      <c r="L194" s="107">
        <v>0.5</v>
      </c>
      <c r="M194" s="107" t="s">
        <v>539</v>
      </c>
      <c r="N194" s="107" t="s">
        <v>531</v>
      </c>
      <c r="O194" s="107" t="s">
        <v>524</v>
      </c>
      <c r="P194" s="104" t="s">
        <v>9</v>
      </c>
      <c r="Q194" s="104" t="s">
        <v>31</v>
      </c>
      <c r="R194" s="104" t="s">
        <v>113</v>
      </c>
      <c r="S194" s="104">
        <v>5</v>
      </c>
      <c r="T194" s="104">
        <v>10</v>
      </c>
      <c r="U194" s="137">
        <v>43</v>
      </c>
      <c r="V194" s="138">
        <v>430</v>
      </c>
    </row>
    <row r="195" spans="1:22" x14ac:dyDescent="0.25">
      <c r="A195" s="108">
        <v>4548</v>
      </c>
      <c r="B195" s="109" t="s">
        <v>11</v>
      </c>
      <c r="C195" s="109" t="s">
        <v>175</v>
      </c>
      <c r="D195" s="109" t="s">
        <v>82</v>
      </c>
      <c r="E195" s="109" t="s">
        <v>172</v>
      </c>
      <c r="F195" s="109">
        <v>2016</v>
      </c>
      <c r="G195" s="110">
        <v>42511.375</v>
      </c>
      <c r="H195" s="110">
        <v>42516.75</v>
      </c>
      <c r="I195" s="111">
        <v>42511</v>
      </c>
      <c r="J195" s="111">
        <v>42516</v>
      </c>
      <c r="K195" s="112" t="s">
        <v>525</v>
      </c>
      <c r="L195" s="112">
        <v>0.75</v>
      </c>
      <c r="M195" s="112" t="s">
        <v>540</v>
      </c>
      <c r="N195" s="112" t="s">
        <v>531</v>
      </c>
      <c r="O195" s="112" t="s">
        <v>524</v>
      </c>
      <c r="P195" s="109" t="s">
        <v>23</v>
      </c>
      <c r="Q195" s="109" t="s">
        <v>22</v>
      </c>
      <c r="R195" s="109" t="s">
        <v>109</v>
      </c>
      <c r="S195" s="109">
        <v>5</v>
      </c>
      <c r="T195" s="109">
        <v>10</v>
      </c>
      <c r="U195" s="139">
        <v>75</v>
      </c>
      <c r="V195" s="140">
        <v>750</v>
      </c>
    </row>
    <row r="196" spans="1:22" x14ac:dyDescent="0.25">
      <c r="A196" s="103">
        <v>4549</v>
      </c>
      <c r="B196" s="104" t="s">
        <v>7</v>
      </c>
      <c r="C196" s="104" t="s">
        <v>175</v>
      </c>
      <c r="D196" s="104" t="s">
        <v>76</v>
      </c>
      <c r="E196" s="104" t="s">
        <v>174</v>
      </c>
      <c r="F196" s="104">
        <v>2016</v>
      </c>
      <c r="G196" s="105">
        <v>42513.791666666664</v>
      </c>
      <c r="H196" s="105">
        <v>42524.958333333336</v>
      </c>
      <c r="I196" s="106">
        <v>42513</v>
      </c>
      <c r="J196" s="106">
        <v>42524</v>
      </c>
      <c r="K196" s="107" t="s">
        <v>526</v>
      </c>
      <c r="L196" s="107">
        <v>0.95833333333333337</v>
      </c>
      <c r="M196" s="107" t="s">
        <v>541</v>
      </c>
      <c r="N196" s="107" t="s">
        <v>531</v>
      </c>
      <c r="O196" s="107" t="s">
        <v>524</v>
      </c>
      <c r="P196" s="104" t="s">
        <v>9</v>
      </c>
      <c r="Q196" s="104" t="s">
        <v>33</v>
      </c>
      <c r="R196" s="104" t="s">
        <v>113</v>
      </c>
      <c r="S196" s="104">
        <v>2</v>
      </c>
      <c r="T196" s="104">
        <v>9</v>
      </c>
      <c r="U196" s="137">
        <v>53</v>
      </c>
      <c r="V196" s="138">
        <v>477</v>
      </c>
    </row>
    <row r="197" spans="1:22" x14ac:dyDescent="0.25">
      <c r="A197" s="108">
        <v>4550</v>
      </c>
      <c r="B197" s="109" t="s">
        <v>22</v>
      </c>
      <c r="C197" s="109" t="s">
        <v>176</v>
      </c>
      <c r="D197" s="109" t="s">
        <v>83</v>
      </c>
      <c r="E197" s="109" t="s">
        <v>174</v>
      </c>
      <c r="F197" s="109">
        <v>2016</v>
      </c>
      <c r="G197" s="110">
        <v>42513.791666666664</v>
      </c>
      <c r="H197" s="110">
        <v>42524.958333333336</v>
      </c>
      <c r="I197" s="111">
        <v>42513</v>
      </c>
      <c r="J197" s="111">
        <v>42524</v>
      </c>
      <c r="K197" s="112" t="s">
        <v>526</v>
      </c>
      <c r="L197" s="112">
        <v>0.95833333333333337</v>
      </c>
      <c r="M197" s="112" t="s">
        <v>541</v>
      </c>
      <c r="N197" s="112" t="s">
        <v>531</v>
      </c>
      <c r="O197" s="112" t="s">
        <v>524</v>
      </c>
      <c r="P197" s="109" t="s">
        <v>23</v>
      </c>
      <c r="Q197" s="109" t="s">
        <v>35</v>
      </c>
      <c r="R197" s="109" t="s">
        <v>109</v>
      </c>
      <c r="S197" s="109">
        <v>2</v>
      </c>
      <c r="T197" s="109">
        <v>8</v>
      </c>
      <c r="U197" s="139">
        <v>63</v>
      </c>
      <c r="V197" s="140">
        <v>504</v>
      </c>
    </row>
    <row r="198" spans="1:22" x14ac:dyDescent="0.25">
      <c r="A198" s="103">
        <v>4551</v>
      </c>
      <c r="B198" s="104" t="s">
        <v>14</v>
      </c>
      <c r="C198" s="104" t="s">
        <v>175</v>
      </c>
      <c r="D198" s="104" t="s">
        <v>79</v>
      </c>
      <c r="E198" s="104" t="s">
        <v>168</v>
      </c>
      <c r="F198" s="104">
        <v>2016</v>
      </c>
      <c r="G198" s="105">
        <v>42514.791666666664</v>
      </c>
      <c r="H198" s="105">
        <v>42527.958333333336</v>
      </c>
      <c r="I198" s="106">
        <v>42514</v>
      </c>
      <c r="J198" s="106">
        <v>42527</v>
      </c>
      <c r="K198" s="107" t="s">
        <v>526</v>
      </c>
      <c r="L198" s="107">
        <v>0.95833333333333337</v>
      </c>
      <c r="M198" s="107" t="s">
        <v>541</v>
      </c>
      <c r="N198" s="107" t="s">
        <v>531</v>
      </c>
      <c r="O198" s="107" t="s">
        <v>524</v>
      </c>
      <c r="P198" s="104" t="s">
        <v>23</v>
      </c>
      <c r="Q198" s="104" t="s">
        <v>28</v>
      </c>
      <c r="R198" s="104" t="s">
        <v>109</v>
      </c>
      <c r="S198" s="104">
        <v>5</v>
      </c>
      <c r="T198" s="104">
        <v>11</v>
      </c>
      <c r="U198" s="137">
        <v>48</v>
      </c>
      <c r="V198" s="138">
        <v>528</v>
      </c>
    </row>
    <row r="199" spans="1:22" x14ac:dyDescent="0.25">
      <c r="A199" s="108">
        <v>4552</v>
      </c>
      <c r="B199" s="109" t="s">
        <v>14</v>
      </c>
      <c r="C199" s="109" t="s">
        <v>175</v>
      </c>
      <c r="D199" s="109" t="s">
        <v>80</v>
      </c>
      <c r="E199" s="109" t="s">
        <v>173</v>
      </c>
      <c r="F199" s="109">
        <v>2016</v>
      </c>
      <c r="G199" s="110">
        <v>42515.583333333336</v>
      </c>
      <c r="H199" s="110">
        <v>42528.75</v>
      </c>
      <c r="I199" s="111">
        <v>42515</v>
      </c>
      <c r="J199" s="111">
        <v>42528</v>
      </c>
      <c r="K199" s="112" t="s">
        <v>527</v>
      </c>
      <c r="L199" s="112">
        <v>0.75</v>
      </c>
      <c r="M199" s="112" t="s">
        <v>542</v>
      </c>
      <c r="N199" s="112" t="s">
        <v>531</v>
      </c>
      <c r="O199" s="112" t="s">
        <v>524</v>
      </c>
      <c r="P199" s="109" t="s">
        <v>23</v>
      </c>
      <c r="Q199" s="109" t="s">
        <v>190</v>
      </c>
      <c r="R199" s="109" t="s">
        <v>109</v>
      </c>
      <c r="S199" s="109">
        <v>5</v>
      </c>
      <c r="T199" s="109">
        <v>10</v>
      </c>
      <c r="U199" s="139">
        <v>32</v>
      </c>
      <c r="V199" s="140">
        <v>320</v>
      </c>
    </row>
    <row r="200" spans="1:22" x14ac:dyDescent="0.25">
      <c r="A200" s="103">
        <v>4553</v>
      </c>
      <c r="B200" s="104" t="s">
        <v>22</v>
      </c>
      <c r="C200" s="104" t="s">
        <v>176</v>
      </c>
      <c r="D200" s="104" t="s">
        <v>84</v>
      </c>
      <c r="E200" s="104" t="s">
        <v>172</v>
      </c>
      <c r="F200" s="104">
        <v>2016</v>
      </c>
      <c r="G200" s="105">
        <v>42516.375</v>
      </c>
      <c r="H200" s="105">
        <v>42522.75</v>
      </c>
      <c r="I200" s="106">
        <v>42516</v>
      </c>
      <c r="J200" s="106">
        <v>42522</v>
      </c>
      <c r="K200" s="107" t="s">
        <v>525</v>
      </c>
      <c r="L200" s="107">
        <v>0.75</v>
      </c>
      <c r="M200" s="107" t="s">
        <v>540</v>
      </c>
      <c r="N200" s="107" t="s">
        <v>531</v>
      </c>
      <c r="O200" s="107" t="s">
        <v>524</v>
      </c>
      <c r="P200" s="104" t="s">
        <v>23</v>
      </c>
      <c r="Q200" s="104" t="s">
        <v>35</v>
      </c>
      <c r="R200" s="104" t="s">
        <v>109</v>
      </c>
      <c r="S200" s="104">
        <v>3</v>
      </c>
      <c r="T200" s="104">
        <v>9</v>
      </c>
      <c r="U200" s="137">
        <v>52</v>
      </c>
      <c r="V200" s="138">
        <v>468</v>
      </c>
    </row>
    <row r="201" spans="1:22" x14ac:dyDescent="0.25">
      <c r="A201" s="108">
        <v>4554</v>
      </c>
      <c r="B201" s="109" t="s">
        <v>29</v>
      </c>
      <c r="C201" s="109" t="s">
        <v>177</v>
      </c>
      <c r="D201" s="109" t="s">
        <v>79</v>
      </c>
      <c r="E201" s="109" t="s">
        <v>168</v>
      </c>
      <c r="F201" s="109">
        <v>2016</v>
      </c>
      <c r="G201" s="110">
        <v>42517.333333333336</v>
      </c>
      <c r="H201" s="110">
        <v>42530.5</v>
      </c>
      <c r="I201" s="111">
        <v>42517</v>
      </c>
      <c r="J201" s="111">
        <v>42530</v>
      </c>
      <c r="K201" s="112" t="s">
        <v>522</v>
      </c>
      <c r="L201" s="112">
        <v>0.5</v>
      </c>
      <c r="M201" s="112" t="s">
        <v>539</v>
      </c>
      <c r="N201" s="112" t="s">
        <v>531</v>
      </c>
      <c r="O201" s="112" t="s">
        <v>524</v>
      </c>
      <c r="P201" s="109" t="s">
        <v>9</v>
      </c>
      <c r="Q201" s="109" t="s">
        <v>37</v>
      </c>
      <c r="R201" s="109" t="s">
        <v>113</v>
      </c>
      <c r="S201" s="109">
        <v>4</v>
      </c>
      <c r="T201" s="109">
        <v>10</v>
      </c>
      <c r="U201" s="139">
        <v>48</v>
      </c>
      <c r="V201" s="140">
        <v>480</v>
      </c>
    </row>
    <row r="202" spans="1:22" x14ac:dyDescent="0.25">
      <c r="A202" s="103">
        <v>4555</v>
      </c>
      <c r="B202" s="104" t="s">
        <v>29</v>
      </c>
      <c r="C202" s="104" t="s">
        <v>177</v>
      </c>
      <c r="D202" s="104" t="s">
        <v>82</v>
      </c>
      <c r="E202" s="104" t="s">
        <v>172</v>
      </c>
      <c r="F202" s="104">
        <v>2016</v>
      </c>
      <c r="G202" s="105">
        <v>42518.375</v>
      </c>
      <c r="H202" s="105">
        <v>42523.75</v>
      </c>
      <c r="I202" s="106">
        <v>42518</v>
      </c>
      <c r="J202" s="106">
        <v>42523</v>
      </c>
      <c r="K202" s="107" t="s">
        <v>525</v>
      </c>
      <c r="L202" s="107">
        <v>0.75</v>
      </c>
      <c r="M202" s="107" t="s">
        <v>540</v>
      </c>
      <c r="N202" s="107" t="s">
        <v>531</v>
      </c>
      <c r="O202" s="107" t="s">
        <v>524</v>
      </c>
      <c r="P202" s="104" t="s">
        <v>23</v>
      </c>
      <c r="Q202" s="104" t="s">
        <v>190</v>
      </c>
      <c r="R202" s="104" t="s">
        <v>109</v>
      </c>
      <c r="S202" s="104">
        <v>3</v>
      </c>
      <c r="T202" s="104">
        <v>11</v>
      </c>
      <c r="U202" s="137">
        <v>75</v>
      </c>
      <c r="V202" s="138">
        <v>825</v>
      </c>
    </row>
    <row r="203" spans="1:22" x14ac:dyDescent="0.25">
      <c r="A203" s="108">
        <v>4556</v>
      </c>
      <c r="B203" s="109" t="s">
        <v>19</v>
      </c>
      <c r="C203" s="109" t="s">
        <v>176</v>
      </c>
      <c r="D203" s="109" t="s">
        <v>82</v>
      </c>
      <c r="E203" s="109" t="s">
        <v>172</v>
      </c>
      <c r="F203" s="109">
        <v>2016</v>
      </c>
      <c r="G203" s="110">
        <v>42520.791666666664</v>
      </c>
      <c r="H203" s="110">
        <v>42531.958333333336</v>
      </c>
      <c r="I203" s="111">
        <v>42520</v>
      </c>
      <c r="J203" s="111">
        <v>42531</v>
      </c>
      <c r="K203" s="112" t="s">
        <v>526</v>
      </c>
      <c r="L203" s="112">
        <v>0.95833333333333337</v>
      </c>
      <c r="M203" s="112" t="s">
        <v>541</v>
      </c>
      <c r="N203" s="112" t="s">
        <v>531</v>
      </c>
      <c r="O203" s="112" t="s">
        <v>524</v>
      </c>
      <c r="P203" s="109" t="s">
        <v>23</v>
      </c>
      <c r="Q203" s="109" t="s">
        <v>38</v>
      </c>
      <c r="R203" s="109" t="s">
        <v>113</v>
      </c>
      <c r="S203" s="109">
        <v>3</v>
      </c>
      <c r="T203" s="109">
        <v>11</v>
      </c>
      <c r="U203" s="139">
        <v>75</v>
      </c>
      <c r="V203" s="140">
        <v>825</v>
      </c>
    </row>
    <row r="204" spans="1:22" x14ac:dyDescent="0.25">
      <c r="A204" s="103">
        <v>4557</v>
      </c>
      <c r="B204" s="104" t="s">
        <v>39</v>
      </c>
      <c r="C204" s="104" t="s">
        <v>177</v>
      </c>
      <c r="D204" s="104" t="s">
        <v>85</v>
      </c>
      <c r="E204" s="104" t="s">
        <v>170</v>
      </c>
      <c r="F204" s="104">
        <v>2016</v>
      </c>
      <c r="G204" s="105">
        <v>42520.791666666664</v>
      </c>
      <c r="H204" s="105">
        <v>42531.958333333336</v>
      </c>
      <c r="I204" s="106">
        <v>42520</v>
      </c>
      <c r="J204" s="106">
        <v>42531</v>
      </c>
      <c r="K204" s="107" t="s">
        <v>526</v>
      </c>
      <c r="L204" s="107">
        <v>0.95833333333333337</v>
      </c>
      <c r="M204" s="107" t="s">
        <v>541</v>
      </c>
      <c r="N204" s="107" t="s">
        <v>531</v>
      </c>
      <c r="O204" s="107" t="s">
        <v>524</v>
      </c>
      <c r="P204" s="104" t="s">
        <v>9</v>
      </c>
      <c r="Q204" s="104" t="s">
        <v>41</v>
      </c>
      <c r="R204" s="104" t="s">
        <v>113</v>
      </c>
      <c r="S204" s="104">
        <v>3</v>
      </c>
      <c r="T204" s="104">
        <v>12</v>
      </c>
      <c r="U204" s="137">
        <v>48</v>
      </c>
      <c r="V204" s="138">
        <v>576</v>
      </c>
    </row>
    <row r="205" spans="1:22" x14ac:dyDescent="0.25">
      <c r="A205" s="108">
        <v>4558</v>
      </c>
      <c r="B205" s="109" t="s">
        <v>11</v>
      </c>
      <c r="C205" s="109" t="s">
        <v>175</v>
      </c>
      <c r="D205" s="109" t="s">
        <v>78</v>
      </c>
      <c r="E205" s="109" t="s">
        <v>172</v>
      </c>
      <c r="F205" s="109">
        <v>2016</v>
      </c>
      <c r="G205" s="110">
        <v>42521.791666666664</v>
      </c>
      <c r="H205" s="110">
        <v>42534.958333333336</v>
      </c>
      <c r="I205" s="111">
        <v>42521</v>
      </c>
      <c r="J205" s="111">
        <v>42534</v>
      </c>
      <c r="K205" s="112" t="s">
        <v>526</v>
      </c>
      <c r="L205" s="112">
        <v>0.95833333333333337</v>
      </c>
      <c r="M205" s="112" t="s">
        <v>541</v>
      </c>
      <c r="N205" s="112" t="s">
        <v>531</v>
      </c>
      <c r="O205" s="112" t="s">
        <v>524</v>
      </c>
      <c r="P205" s="109" t="s">
        <v>9</v>
      </c>
      <c r="Q205" s="109" t="s">
        <v>16</v>
      </c>
      <c r="R205" s="109" t="s">
        <v>109</v>
      </c>
      <c r="S205" s="109">
        <v>2</v>
      </c>
      <c r="T205" s="109">
        <v>8</v>
      </c>
      <c r="U205" s="139">
        <v>62</v>
      </c>
      <c r="V205" s="140">
        <v>496</v>
      </c>
    </row>
    <row r="206" spans="1:22" x14ac:dyDescent="0.25">
      <c r="A206" s="103">
        <v>4559</v>
      </c>
      <c r="B206" s="104" t="s">
        <v>17</v>
      </c>
      <c r="C206" s="104" t="s">
        <v>176</v>
      </c>
      <c r="D206" s="104" t="s">
        <v>86</v>
      </c>
      <c r="E206" s="104" t="s">
        <v>169</v>
      </c>
      <c r="F206" s="104">
        <v>2016</v>
      </c>
      <c r="G206" s="105">
        <v>42522.583333333336</v>
      </c>
      <c r="H206" s="105">
        <v>42535.75</v>
      </c>
      <c r="I206" s="106">
        <v>42522</v>
      </c>
      <c r="J206" s="106">
        <v>42535</v>
      </c>
      <c r="K206" s="107" t="s">
        <v>527</v>
      </c>
      <c r="L206" s="107">
        <v>0.75</v>
      </c>
      <c r="M206" s="107" t="s">
        <v>542</v>
      </c>
      <c r="N206" s="107" t="s">
        <v>532</v>
      </c>
      <c r="O206" s="107" t="s">
        <v>524</v>
      </c>
      <c r="P206" s="104" t="s">
        <v>23</v>
      </c>
      <c r="Q206" s="104" t="s">
        <v>21</v>
      </c>
      <c r="R206" s="104" t="s">
        <v>113</v>
      </c>
      <c r="S206" s="104">
        <v>4</v>
      </c>
      <c r="T206" s="104">
        <v>10</v>
      </c>
      <c r="U206" s="137">
        <v>48</v>
      </c>
      <c r="V206" s="138">
        <v>480</v>
      </c>
    </row>
    <row r="207" spans="1:22" x14ac:dyDescent="0.25">
      <c r="A207" s="108">
        <v>4560</v>
      </c>
      <c r="B207" s="109" t="s">
        <v>39</v>
      </c>
      <c r="C207" s="109" t="s">
        <v>177</v>
      </c>
      <c r="D207" s="109" t="s">
        <v>82</v>
      </c>
      <c r="E207" s="109" t="s">
        <v>172</v>
      </c>
      <c r="F207" s="109">
        <v>2016</v>
      </c>
      <c r="G207" s="110">
        <v>42523.375</v>
      </c>
      <c r="H207" s="110">
        <v>42529.75</v>
      </c>
      <c r="I207" s="111">
        <v>42523</v>
      </c>
      <c r="J207" s="111">
        <v>42529</v>
      </c>
      <c r="K207" s="112" t="s">
        <v>525</v>
      </c>
      <c r="L207" s="112">
        <v>0.75</v>
      </c>
      <c r="M207" s="112" t="s">
        <v>540</v>
      </c>
      <c r="N207" s="112" t="s">
        <v>532</v>
      </c>
      <c r="O207" s="112" t="s">
        <v>524</v>
      </c>
      <c r="P207" s="109" t="s">
        <v>23</v>
      </c>
      <c r="Q207" s="109" t="s">
        <v>31</v>
      </c>
      <c r="R207" s="109" t="s">
        <v>113</v>
      </c>
      <c r="S207" s="109">
        <v>3</v>
      </c>
      <c r="T207" s="109">
        <v>11</v>
      </c>
      <c r="U207" s="139">
        <v>75</v>
      </c>
      <c r="V207" s="140">
        <v>825</v>
      </c>
    </row>
    <row r="208" spans="1:22" x14ac:dyDescent="0.25">
      <c r="A208" s="103">
        <v>4561</v>
      </c>
      <c r="B208" s="104" t="s">
        <v>7</v>
      </c>
      <c r="C208" s="104" t="s">
        <v>175</v>
      </c>
      <c r="D208" s="104" t="s">
        <v>80</v>
      </c>
      <c r="E208" s="104" t="s">
        <v>173</v>
      </c>
      <c r="F208" s="104">
        <v>2016</v>
      </c>
      <c r="G208" s="105">
        <v>42524.333333333336</v>
      </c>
      <c r="H208" s="105">
        <v>42537.5</v>
      </c>
      <c r="I208" s="106">
        <v>42524</v>
      </c>
      <c r="J208" s="106">
        <v>42537</v>
      </c>
      <c r="K208" s="107" t="s">
        <v>522</v>
      </c>
      <c r="L208" s="107">
        <v>0.5</v>
      </c>
      <c r="M208" s="107" t="s">
        <v>539</v>
      </c>
      <c r="N208" s="107" t="s">
        <v>532</v>
      </c>
      <c r="O208" s="107" t="s">
        <v>524</v>
      </c>
      <c r="P208" s="104" t="s">
        <v>23</v>
      </c>
      <c r="Q208" s="104" t="s">
        <v>190</v>
      </c>
      <c r="R208" s="104" t="s">
        <v>109</v>
      </c>
      <c r="S208" s="104">
        <v>2</v>
      </c>
      <c r="T208" s="104">
        <v>8</v>
      </c>
      <c r="U208" s="137">
        <v>32</v>
      </c>
      <c r="V208" s="138">
        <v>256</v>
      </c>
    </row>
    <row r="209" spans="1:22" x14ac:dyDescent="0.25">
      <c r="A209" s="108">
        <v>4562</v>
      </c>
      <c r="B209" s="109" t="s">
        <v>14</v>
      </c>
      <c r="C209" s="109" t="s">
        <v>175</v>
      </c>
      <c r="D209" s="109" t="s">
        <v>80</v>
      </c>
      <c r="E209" s="109" t="s">
        <v>173</v>
      </c>
      <c r="F209" s="109">
        <v>2016</v>
      </c>
      <c r="G209" s="110">
        <v>42525.375</v>
      </c>
      <c r="H209" s="110">
        <v>42530.75</v>
      </c>
      <c r="I209" s="111">
        <v>42525</v>
      </c>
      <c r="J209" s="111">
        <v>42530</v>
      </c>
      <c r="K209" s="112" t="s">
        <v>525</v>
      </c>
      <c r="L209" s="112">
        <v>0.75</v>
      </c>
      <c r="M209" s="112" t="s">
        <v>540</v>
      </c>
      <c r="N209" s="112" t="s">
        <v>532</v>
      </c>
      <c r="O209" s="112" t="s">
        <v>524</v>
      </c>
      <c r="P209" s="109" t="s">
        <v>23</v>
      </c>
      <c r="Q209" s="109" t="s">
        <v>31</v>
      </c>
      <c r="R209" s="109" t="s">
        <v>113</v>
      </c>
      <c r="S209" s="109">
        <v>3</v>
      </c>
      <c r="T209" s="109">
        <v>11</v>
      </c>
      <c r="U209" s="139">
        <v>32</v>
      </c>
      <c r="V209" s="140">
        <v>352</v>
      </c>
    </row>
    <row r="210" spans="1:22" x14ac:dyDescent="0.25">
      <c r="A210" s="103">
        <v>4563</v>
      </c>
      <c r="B210" s="104" t="s">
        <v>7</v>
      </c>
      <c r="C210" s="104" t="s">
        <v>175</v>
      </c>
      <c r="D210" s="104" t="s">
        <v>82</v>
      </c>
      <c r="E210" s="104" t="s">
        <v>172</v>
      </c>
      <c r="F210" s="104">
        <v>2016</v>
      </c>
      <c r="G210" s="105">
        <v>42527.791666666664</v>
      </c>
      <c r="H210" s="105">
        <v>42538.958333333336</v>
      </c>
      <c r="I210" s="106">
        <v>42527</v>
      </c>
      <c r="J210" s="106">
        <v>42538</v>
      </c>
      <c r="K210" s="107" t="s">
        <v>526</v>
      </c>
      <c r="L210" s="107">
        <v>0.95833333333333337</v>
      </c>
      <c r="M210" s="107" t="s">
        <v>541</v>
      </c>
      <c r="N210" s="107" t="s">
        <v>532</v>
      </c>
      <c r="O210" s="107" t="s">
        <v>524</v>
      </c>
      <c r="P210" s="104" t="s">
        <v>23</v>
      </c>
      <c r="Q210" s="104" t="s">
        <v>44</v>
      </c>
      <c r="R210" s="104" t="s">
        <v>113</v>
      </c>
      <c r="S210" s="104">
        <v>5</v>
      </c>
      <c r="T210" s="104">
        <v>11</v>
      </c>
      <c r="U210" s="137">
        <v>75</v>
      </c>
      <c r="V210" s="138">
        <v>825</v>
      </c>
    </row>
    <row r="211" spans="1:22" x14ac:dyDescent="0.25">
      <c r="A211" s="108">
        <v>4564</v>
      </c>
      <c r="B211" s="109" t="s">
        <v>11</v>
      </c>
      <c r="C211" s="109" t="s">
        <v>175</v>
      </c>
      <c r="D211" s="109" t="s">
        <v>84</v>
      </c>
      <c r="E211" s="109" t="s">
        <v>172</v>
      </c>
      <c r="F211" s="109">
        <v>2016</v>
      </c>
      <c r="G211" s="110">
        <v>42527.791666666664</v>
      </c>
      <c r="H211" s="110">
        <v>42538.958333333336</v>
      </c>
      <c r="I211" s="111">
        <v>42527</v>
      </c>
      <c r="J211" s="111">
        <v>42538</v>
      </c>
      <c r="K211" s="112" t="s">
        <v>526</v>
      </c>
      <c r="L211" s="112">
        <v>0.95833333333333337</v>
      </c>
      <c r="M211" s="112" t="s">
        <v>541</v>
      </c>
      <c r="N211" s="112" t="s">
        <v>532</v>
      </c>
      <c r="O211" s="112" t="s">
        <v>524</v>
      </c>
      <c r="P211" s="109" t="s">
        <v>23</v>
      </c>
      <c r="Q211" s="109" t="s">
        <v>44</v>
      </c>
      <c r="R211" s="109" t="s">
        <v>113</v>
      </c>
      <c r="S211" s="109">
        <v>2</v>
      </c>
      <c r="T211" s="109">
        <v>12</v>
      </c>
      <c r="U211" s="139">
        <v>52</v>
      </c>
      <c r="V211" s="140">
        <v>624</v>
      </c>
    </row>
    <row r="212" spans="1:22" x14ac:dyDescent="0.25">
      <c r="A212" s="103">
        <v>4565</v>
      </c>
      <c r="B212" s="104" t="s">
        <v>7</v>
      </c>
      <c r="C212" s="104" t="s">
        <v>175</v>
      </c>
      <c r="D212" s="104" t="s">
        <v>86</v>
      </c>
      <c r="E212" s="104" t="s">
        <v>169</v>
      </c>
      <c r="F212" s="104">
        <v>2016</v>
      </c>
      <c r="G212" s="105">
        <v>42528.791666666664</v>
      </c>
      <c r="H212" s="105">
        <v>42541.958333333336</v>
      </c>
      <c r="I212" s="106">
        <v>42528</v>
      </c>
      <c r="J212" s="106">
        <v>42541</v>
      </c>
      <c r="K212" s="107" t="s">
        <v>526</v>
      </c>
      <c r="L212" s="107">
        <v>0.95833333333333337</v>
      </c>
      <c r="M212" s="107" t="s">
        <v>541</v>
      </c>
      <c r="N212" s="107" t="s">
        <v>532</v>
      </c>
      <c r="O212" s="107" t="s">
        <v>524</v>
      </c>
      <c r="P212" s="104" t="s">
        <v>9</v>
      </c>
      <c r="Q212" s="104" t="s">
        <v>190</v>
      </c>
      <c r="R212" s="104" t="s">
        <v>109</v>
      </c>
      <c r="S212" s="104">
        <v>2</v>
      </c>
      <c r="T212" s="104">
        <v>10</v>
      </c>
      <c r="U212" s="137">
        <v>48</v>
      </c>
      <c r="V212" s="138">
        <v>480</v>
      </c>
    </row>
    <row r="213" spans="1:22" x14ac:dyDescent="0.25">
      <c r="A213" s="108">
        <v>4566</v>
      </c>
      <c r="B213" s="109" t="s">
        <v>22</v>
      </c>
      <c r="C213" s="109" t="s">
        <v>176</v>
      </c>
      <c r="D213" s="109" t="s">
        <v>80</v>
      </c>
      <c r="E213" s="109" t="s">
        <v>173</v>
      </c>
      <c r="F213" s="109">
        <v>2016</v>
      </c>
      <c r="G213" s="110">
        <v>42529.583333333336</v>
      </c>
      <c r="H213" s="110">
        <v>42542.75</v>
      </c>
      <c r="I213" s="111">
        <v>42529</v>
      </c>
      <c r="J213" s="111">
        <v>42542</v>
      </c>
      <c r="K213" s="112" t="s">
        <v>527</v>
      </c>
      <c r="L213" s="112">
        <v>0.75</v>
      </c>
      <c r="M213" s="112" t="s">
        <v>542</v>
      </c>
      <c r="N213" s="112" t="s">
        <v>532</v>
      </c>
      <c r="O213" s="112" t="s">
        <v>524</v>
      </c>
      <c r="P213" s="109" t="s">
        <v>23</v>
      </c>
      <c r="Q213" s="109" t="s">
        <v>44</v>
      </c>
      <c r="R213" s="109" t="s">
        <v>113</v>
      </c>
      <c r="S213" s="109">
        <v>4</v>
      </c>
      <c r="T213" s="109">
        <v>12</v>
      </c>
      <c r="U213" s="139">
        <v>32</v>
      </c>
      <c r="V213" s="140">
        <v>384</v>
      </c>
    </row>
    <row r="214" spans="1:22" x14ac:dyDescent="0.25">
      <c r="A214" s="103">
        <v>4567</v>
      </c>
      <c r="B214" s="104" t="s">
        <v>7</v>
      </c>
      <c r="C214" s="104" t="s">
        <v>175</v>
      </c>
      <c r="D214" s="104" t="s">
        <v>82</v>
      </c>
      <c r="E214" s="104" t="s">
        <v>172</v>
      </c>
      <c r="F214" s="104">
        <v>2016</v>
      </c>
      <c r="G214" s="105">
        <v>42530.375</v>
      </c>
      <c r="H214" s="105">
        <v>42536.75</v>
      </c>
      <c r="I214" s="106">
        <v>42530</v>
      </c>
      <c r="J214" s="106">
        <v>42536</v>
      </c>
      <c r="K214" s="107" t="s">
        <v>525</v>
      </c>
      <c r="L214" s="107">
        <v>0.75</v>
      </c>
      <c r="M214" s="107" t="s">
        <v>540</v>
      </c>
      <c r="N214" s="107" t="s">
        <v>532</v>
      </c>
      <c r="O214" s="107" t="s">
        <v>524</v>
      </c>
      <c r="P214" s="104" t="s">
        <v>23</v>
      </c>
      <c r="Q214" s="104" t="s">
        <v>33</v>
      </c>
      <c r="R214" s="104" t="s">
        <v>113</v>
      </c>
      <c r="S214" s="104">
        <v>5</v>
      </c>
      <c r="T214" s="104">
        <v>10</v>
      </c>
      <c r="U214" s="137">
        <v>75</v>
      </c>
      <c r="V214" s="138">
        <v>750</v>
      </c>
    </row>
    <row r="215" spans="1:22" x14ac:dyDescent="0.25">
      <c r="A215" s="108">
        <v>4568</v>
      </c>
      <c r="B215" s="109" t="s">
        <v>17</v>
      </c>
      <c r="C215" s="109" t="s">
        <v>176</v>
      </c>
      <c r="D215" s="109" t="s">
        <v>86</v>
      </c>
      <c r="E215" s="109" t="s">
        <v>169</v>
      </c>
      <c r="F215" s="109">
        <v>2016</v>
      </c>
      <c r="G215" s="110">
        <v>42531.333333333336</v>
      </c>
      <c r="H215" s="110">
        <v>42544.5</v>
      </c>
      <c r="I215" s="111">
        <v>42531</v>
      </c>
      <c r="J215" s="111">
        <v>42544</v>
      </c>
      <c r="K215" s="112" t="s">
        <v>522</v>
      </c>
      <c r="L215" s="112">
        <v>0.5</v>
      </c>
      <c r="M215" s="112" t="s">
        <v>539</v>
      </c>
      <c r="N215" s="112" t="s">
        <v>532</v>
      </c>
      <c r="O215" s="112" t="s">
        <v>524</v>
      </c>
      <c r="P215" s="109" t="s">
        <v>23</v>
      </c>
      <c r="Q215" s="109" t="s">
        <v>37</v>
      </c>
      <c r="R215" s="109" t="s">
        <v>113</v>
      </c>
      <c r="S215" s="109">
        <v>3</v>
      </c>
      <c r="T215" s="109">
        <v>11</v>
      </c>
      <c r="U215" s="139">
        <v>48</v>
      </c>
      <c r="V215" s="140">
        <v>528</v>
      </c>
    </row>
    <row r="216" spans="1:22" x14ac:dyDescent="0.25">
      <c r="A216" s="103">
        <v>4569</v>
      </c>
      <c r="B216" s="104" t="s">
        <v>19</v>
      </c>
      <c r="C216" s="104" t="s">
        <v>176</v>
      </c>
      <c r="D216" s="104" t="s">
        <v>80</v>
      </c>
      <c r="E216" s="104" t="s">
        <v>173</v>
      </c>
      <c r="F216" s="104">
        <v>2016</v>
      </c>
      <c r="G216" s="105">
        <v>42532.375</v>
      </c>
      <c r="H216" s="105">
        <v>42537.75</v>
      </c>
      <c r="I216" s="106">
        <v>42532</v>
      </c>
      <c r="J216" s="106">
        <v>42537</v>
      </c>
      <c r="K216" s="107" t="s">
        <v>525</v>
      </c>
      <c r="L216" s="107">
        <v>0.75</v>
      </c>
      <c r="M216" s="107" t="s">
        <v>540</v>
      </c>
      <c r="N216" s="107" t="s">
        <v>532</v>
      </c>
      <c r="O216" s="107" t="s">
        <v>524</v>
      </c>
      <c r="P216" s="104" t="s">
        <v>9</v>
      </c>
      <c r="Q216" s="104" t="s">
        <v>21</v>
      </c>
      <c r="R216" s="104" t="s">
        <v>113</v>
      </c>
      <c r="S216" s="104">
        <v>2</v>
      </c>
      <c r="T216" s="104">
        <v>8</v>
      </c>
      <c r="U216" s="137">
        <v>32</v>
      </c>
      <c r="V216" s="138">
        <v>256</v>
      </c>
    </row>
    <row r="217" spans="1:22" x14ac:dyDescent="0.25">
      <c r="A217" s="108">
        <v>4570</v>
      </c>
      <c r="B217" s="109" t="s">
        <v>45</v>
      </c>
      <c r="C217" s="109" t="s">
        <v>177</v>
      </c>
      <c r="D217" s="109" t="s">
        <v>76</v>
      </c>
      <c r="E217" s="109" t="s">
        <v>174</v>
      </c>
      <c r="F217" s="109">
        <v>2016</v>
      </c>
      <c r="G217" s="110">
        <v>42534.791666666664</v>
      </c>
      <c r="H217" s="110">
        <v>42545.958333333336</v>
      </c>
      <c r="I217" s="111">
        <v>42534</v>
      </c>
      <c r="J217" s="111">
        <v>42545</v>
      </c>
      <c r="K217" s="112" t="s">
        <v>526</v>
      </c>
      <c r="L217" s="112">
        <v>0.95833333333333337</v>
      </c>
      <c r="M217" s="112" t="s">
        <v>541</v>
      </c>
      <c r="N217" s="112" t="s">
        <v>532</v>
      </c>
      <c r="O217" s="112" t="s">
        <v>524</v>
      </c>
      <c r="P217" s="109" t="s">
        <v>23</v>
      </c>
      <c r="Q217" s="109" t="s">
        <v>37</v>
      </c>
      <c r="R217" s="109" t="s">
        <v>113</v>
      </c>
      <c r="S217" s="109">
        <v>2</v>
      </c>
      <c r="T217" s="109">
        <v>9</v>
      </c>
      <c r="U217" s="139">
        <v>53</v>
      </c>
      <c r="V217" s="140">
        <v>477</v>
      </c>
    </row>
    <row r="218" spans="1:22" x14ac:dyDescent="0.25">
      <c r="A218" s="103">
        <v>4571</v>
      </c>
      <c r="B218" s="104" t="s">
        <v>29</v>
      </c>
      <c r="C218" s="104" t="s">
        <v>177</v>
      </c>
      <c r="D218" s="104" t="s">
        <v>82</v>
      </c>
      <c r="E218" s="104" t="s">
        <v>172</v>
      </c>
      <c r="F218" s="104">
        <v>2016</v>
      </c>
      <c r="G218" s="105">
        <v>42534.791666666664</v>
      </c>
      <c r="H218" s="105">
        <v>42545.958333333336</v>
      </c>
      <c r="I218" s="106">
        <v>42534</v>
      </c>
      <c r="J218" s="106">
        <v>42545</v>
      </c>
      <c r="K218" s="107" t="s">
        <v>526</v>
      </c>
      <c r="L218" s="107">
        <v>0.95833333333333337</v>
      </c>
      <c r="M218" s="107" t="s">
        <v>541</v>
      </c>
      <c r="N218" s="107" t="s">
        <v>532</v>
      </c>
      <c r="O218" s="107" t="s">
        <v>524</v>
      </c>
      <c r="P218" s="104" t="s">
        <v>23</v>
      </c>
      <c r="Q218" s="104" t="s">
        <v>37</v>
      </c>
      <c r="R218" s="104" t="s">
        <v>113</v>
      </c>
      <c r="S218" s="104">
        <v>2</v>
      </c>
      <c r="T218" s="104">
        <v>8</v>
      </c>
      <c r="U218" s="137">
        <v>75</v>
      </c>
      <c r="V218" s="138">
        <v>600</v>
      </c>
    </row>
    <row r="219" spans="1:22" x14ac:dyDescent="0.25">
      <c r="A219" s="108">
        <v>4572</v>
      </c>
      <c r="B219" s="109" t="s">
        <v>29</v>
      </c>
      <c r="C219" s="109" t="s">
        <v>177</v>
      </c>
      <c r="D219" s="109" t="s">
        <v>78</v>
      </c>
      <c r="E219" s="109" t="s">
        <v>172</v>
      </c>
      <c r="F219" s="109">
        <v>2016</v>
      </c>
      <c r="G219" s="110">
        <v>42535.791666666664</v>
      </c>
      <c r="H219" s="110">
        <v>42548.958333333336</v>
      </c>
      <c r="I219" s="111">
        <v>42535</v>
      </c>
      <c r="J219" s="111">
        <v>42548</v>
      </c>
      <c r="K219" s="112" t="s">
        <v>526</v>
      </c>
      <c r="L219" s="112">
        <v>0.95833333333333337</v>
      </c>
      <c r="M219" s="112" t="s">
        <v>541</v>
      </c>
      <c r="N219" s="112" t="s">
        <v>532</v>
      </c>
      <c r="O219" s="112" t="s">
        <v>524</v>
      </c>
      <c r="P219" s="109" t="s">
        <v>9</v>
      </c>
      <c r="Q219" s="109" t="s">
        <v>28</v>
      </c>
      <c r="R219" s="109" t="s">
        <v>109</v>
      </c>
      <c r="S219" s="109">
        <v>4</v>
      </c>
      <c r="T219" s="109">
        <v>10</v>
      </c>
      <c r="U219" s="139">
        <v>62</v>
      </c>
      <c r="V219" s="140">
        <v>620</v>
      </c>
    </row>
    <row r="220" spans="1:22" x14ac:dyDescent="0.25">
      <c r="A220" s="103">
        <v>4573</v>
      </c>
      <c r="B220" s="104" t="s">
        <v>7</v>
      </c>
      <c r="C220" s="104" t="s">
        <v>175</v>
      </c>
      <c r="D220" s="104" t="s">
        <v>83</v>
      </c>
      <c r="E220" s="104" t="s">
        <v>174</v>
      </c>
      <c r="F220" s="104">
        <v>2016</v>
      </c>
      <c r="G220" s="105">
        <v>42536.583333333336</v>
      </c>
      <c r="H220" s="105">
        <v>42549.75</v>
      </c>
      <c r="I220" s="106">
        <v>42536</v>
      </c>
      <c r="J220" s="106">
        <v>42549</v>
      </c>
      <c r="K220" s="107" t="s">
        <v>527</v>
      </c>
      <c r="L220" s="107">
        <v>0.75</v>
      </c>
      <c r="M220" s="107" t="s">
        <v>542</v>
      </c>
      <c r="N220" s="107" t="s">
        <v>532</v>
      </c>
      <c r="O220" s="107" t="s">
        <v>524</v>
      </c>
      <c r="P220" s="104" t="s">
        <v>9</v>
      </c>
      <c r="Q220" s="104" t="s">
        <v>16</v>
      </c>
      <c r="R220" s="104" t="s">
        <v>109</v>
      </c>
      <c r="S220" s="104">
        <v>4</v>
      </c>
      <c r="T220" s="104">
        <v>11</v>
      </c>
      <c r="U220" s="137">
        <v>63</v>
      </c>
      <c r="V220" s="138">
        <v>693</v>
      </c>
    </row>
    <row r="221" spans="1:22" x14ac:dyDescent="0.25">
      <c r="A221" s="108">
        <v>4574</v>
      </c>
      <c r="B221" s="109" t="s">
        <v>45</v>
      </c>
      <c r="C221" s="109" t="s">
        <v>177</v>
      </c>
      <c r="D221" s="109" t="s">
        <v>68</v>
      </c>
      <c r="E221" s="109" t="s">
        <v>172</v>
      </c>
      <c r="F221" s="109">
        <v>2013</v>
      </c>
      <c r="G221" s="110">
        <v>42537.375</v>
      </c>
      <c r="H221" s="110">
        <v>42543.75</v>
      </c>
      <c r="I221" s="111">
        <v>42537</v>
      </c>
      <c r="J221" s="111">
        <v>42543</v>
      </c>
      <c r="K221" s="112" t="s">
        <v>525</v>
      </c>
      <c r="L221" s="112">
        <v>0.75</v>
      </c>
      <c r="M221" s="112" t="s">
        <v>540</v>
      </c>
      <c r="N221" s="112" t="s">
        <v>532</v>
      </c>
      <c r="O221" s="112" t="s">
        <v>524</v>
      </c>
      <c r="P221" s="109" t="s">
        <v>23</v>
      </c>
      <c r="Q221" s="109" t="s">
        <v>41</v>
      </c>
      <c r="R221" s="109" t="s">
        <v>113</v>
      </c>
      <c r="S221" s="109">
        <v>2</v>
      </c>
      <c r="T221" s="109">
        <v>8</v>
      </c>
      <c r="U221" s="139">
        <v>42</v>
      </c>
      <c r="V221" s="140">
        <v>336</v>
      </c>
    </row>
    <row r="222" spans="1:22" x14ac:dyDescent="0.25">
      <c r="A222" s="103">
        <v>4575</v>
      </c>
      <c r="B222" s="104" t="s">
        <v>7</v>
      </c>
      <c r="C222" s="104" t="s">
        <v>175</v>
      </c>
      <c r="D222" s="104" t="s">
        <v>78</v>
      </c>
      <c r="E222" s="104" t="s">
        <v>172</v>
      </c>
      <c r="F222" s="104">
        <v>2016</v>
      </c>
      <c r="G222" s="105">
        <v>42538.333333333336</v>
      </c>
      <c r="H222" s="105">
        <v>42551.5</v>
      </c>
      <c r="I222" s="106">
        <v>42538</v>
      </c>
      <c r="J222" s="106">
        <v>42551</v>
      </c>
      <c r="K222" s="107" t="s">
        <v>522</v>
      </c>
      <c r="L222" s="107">
        <v>0.5</v>
      </c>
      <c r="M222" s="107" t="s">
        <v>539</v>
      </c>
      <c r="N222" s="107" t="s">
        <v>532</v>
      </c>
      <c r="O222" s="107" t="s">
        <v>524</v>
      </c>
      <c r="P222" s="104" t="s">
        <v>23</v>
      </c>
      <c r="Q222" s="104" t="s">
        <v>16</v>
      </c>
      <c r="R222" s="104" t="s">
        <v>109</v>
      </c>
      <c r="S222" s="104">
        <v>3</v>
      </c>
      <c r="T222" s="104">
        <v>8</v>
      </c>
      <c r="U222" s="137">
        <v>62</v>
      </c>
      <c r="V222" s="138">
        <v>496</v>
      </c>
    </row>
    <row r="223" spans="1:22" x14ac:dyDescent="0.25">
      <c r="A223" s="108">
        <v>4576</v>
      </c>
      <c r="B223" s="109" t="s">
        <v>11</v>
      </c>
      <c r="C223" s="109" t="s">
        <v>175</v>
      </c>
      <c r="D223" s="109" t="s">
        <v>81</v>
      </c>
      <c r="E223" s="109" t="s">
        <v>172</v>
      </c>
      <c r="F223" s="109">
        <v>2016</v>
      </c>
      <c r="G223" s="110">
        <v>42539.375</v>
      </c>
      <c r="H223" s="110">
        <v>42544.75</v>
      </c>
      <c r="I223" s="111">
        <v>42539</v>
      </c>
      <c r="J223" s="111">
        <v>42544</v>
      </c>
      <c r="K223" s="112" t="s">
        <v>525</v>
      </c>
      <c r="L223" s="112">
        <v>0.75</v>
      </c>
      <c r="M223" s="112" t="s">
        <v>540</v>
      </c>
      <c r="N223" s="112" t="s">
        <v>532</v>
      </c>
      <c r="O223" s="112" t="s">
        <v>524</v>
      </c>
      <c r="P223" s="109" t="s">
        <v>9</v>
      </c>
      <c r="Q223" s="109" t="s">
        <v>16</v>
      </c>
      <c r="R223" s="109" t="s">
        <v>109</v>
      </c>
      <c r="S223" s="109">
        <v>4</v>
      </c>
      <c r="T223" s="109">
        <v>9</v>
      </c>
      <c r="U223" s="139">
        <v>43</v>
      </c>
      <c r="V223" s="140">
        <v>387</v>
      </c>
    </row>
    <row r="224" spans="1:22" x14ac:dyDescent="0.25">
      <c r="A224" s="103">
        <v>4577</v>
      </c>
      <c r="B224" s="104" t="s">
        <v>22</v>
      </c>
      <c r="C224" s="104" t="s">
        <v>176</v>
      </c>
      <c r="D224" s="104" t="s">
        <v>80</v>
      </c>
      <c r="E224" s="104" t="s">
        <v>173</v>
      </c>
      <c r="F224" s="104">
        <v>2016</v>
      </c>
      <c r="G224" s="105">
        <v>42541.791666666664</v>
      </c>
      <c r="H224" s="105">
        <v>42552.958333333336</v>
      </c>
      <c r="I224" s="106">
        <v>42541</v>
      </c>
      <c r="J224" s="106">
        <v>42552</v>
      </c>
      <c r="K224" s="107" t="s">
        <v>526</v>
      </c>
      <c r="L224" s="107">
        <v>0.95833333333333337</v>
      </c>
      <c r="M224" s="107" t="s">
        <v>541</v>
      </c>
      <c r="N224" s="107" t="s">
        <v>532</v>
      </c>
      <c r="O224" s="107" t="s">
        <v>524</v>
      </c>
      <c r="P224" s="104" t="s">
        <v>23</v>
      </c>
      <c r="Q224" s="104" t="s">
        <v>190</v>
      </c>
      <c r="R224" s="104" t="s">
        <v>109</v>
      </c>
      <c r="S224" s="104" t="s">
        <v>191</v>
      </c>
      <c r="T224" s="104">
        <v>11</v>
      </c>
      <c r="U224" s="137">
        <v>32</v>
      </c>
      <c r="V224" s="138">
        <v>352</v>
      </c>
    </row>
    <row r="225" spans="1:22" x14ac:dyDescent="0.25">
      <c r="A225" s="108">
        <v>4578</v>
      </c>
      <c r="B225" s="109" t="s">
        <v>29</v>
      </c>
      <c r="C225" s="109" t="s">
        <v>177</v>
      </c>
      <c r="D225" s="109" t="s">
        <v>77</v>
      </c>
      <c r="E225" s="109" t="s">
        <v>172</v>
      </c>
      <c r="F225" s="109">
        <v>2016</v>
      </c>
      <c r="G225" s="110">
        <v>42541.791666666664</v>
      </c>
      <c r="H225" s="110">
        <v>42552.958333333336</v>
      </c>
      <c r="I225" s="111">
        <v>42541</v>
      </c>
      <c r="J225" s="111">
        <v>42552</v>
      </c>
      <c r="K225" s="112" t="s">
        <v>526</v>
      </c>
      <c r="L225" s="112">
        <v>0.95833333333333337</v>
      </c>
      <c r="M225" s="112" t="s">
        <v>541</v>
      </c>
      <c r="N225" s="112" t="s">
        <v>532</v>
      </c>
      <c r="O225" s="112" t="s">
        <v>524</v>
      </c>
      <c r="P225" s="109" t="s">
        <v>23</v>
      </c>
      <c r="Q225" s="109" t="s">
        <v>31</v>
      </c>
      <c r="R225" s="109" t="s">
        <v>113</v>
      </c>
      <c r="S225" s="109">
        <v>2</v>
      </c>
      <c r="T225" s="109">
        <v>11</v>
      </c>
      <c r="U225" s="139">
        <v>35</v>
      </c>
      <c r="V225" s="140">
        <v>385</v>
      </c>
    </row>
    <row r="226" spans="1:22" x14ac:dyDescent="0.25">
      <c r="A226" s="103">
        <v>4579</v>
      </c>
      <c r="B226" s="104" t="s">
        <v>22</v>
      </c>
      <c r="C226" s="104" t="s">
        <v>176</v>
      </c>
      <c r="D226" s="104" t="s">
        <v>76</v>
      </c>
      <c r="E226" s="104" t="s">
        <v>174</v>
      </c>
      <c r="F226" s="104">
        <v>2016</v>
      </c>
      <c r="G226" s="105">
        <v>42542.791666666664</v>
      </c>
      <c r="H226" s="105">
        <v>42555.958333333336</v>
      </c>
      <c r="I226" s="106">
        <v>42542</v>
      </c>
      <c r="J226" s="106">
        <v>42555</v>
      </c>
      <c r="K226" s="107" t="s">
        <v>526</v>
      </c>
      <c r="L226" s="107">
        <v>0.95833333333333337</v>
      </c>
      <c r="M226" s="107" t="s">
        <v>541</v>
      </c>
      <c r="N226" s="107" t="s">
        <v>532</v>
      </c>
      <c r="O226" s="107" t="s">
        <v>524</v>
      </c>
      <c r="P226" s="104" t="s">
        <v>9</v>
      </c>
      <c r="Q226" s="104" t="s">
        <v>21</v>
      </c>
      <c r="R226" s="104" t="s">
        <v>113</v>
      </c>
      <c r="S226" s="104">
        <v>5</v>
      </c>
      <c r="T226" s="104">
        <v>12</v>
      </c>
      <c r="U226" s="137">
        <v>53</v>
      </c>
      <c r="V226" s="138">
        <v>636</v>
      </c>
    </row>
    <row r="227" spans="1:22" x14ac:dyDescent="0.25">
      <c r="A227" s="108">
        <v>4580</v>
      </c>
      <c r="B227" s="109" t="s">
        <v>19</v>
      </c>
      <c r="C227" s="109" t="s">
        <v>176</v>
      </c>
      <c r="D227" s="109" t="s">
        <v>81</v>
      </c>
      <c r="E227" s="109" t="s">
        <v>172</v>
      </c>
      <c r="F227" s="109">
        <v>2016</v>
      </c>
      <c r="G227" s="110">
        <v>42543.583333333336</v>
      </c>
      <c r="H227" s="110">
        <v>42556.75</v>
      </c>
      <c r="I227" s="111">
        <v>42543</v>
      </c>
      <c r="J227" s="111">
        <v>42556</v>
      </c>
      <c r="K227" s="112" t="s">
        <v>527</v>
      </c>
      <c r="L227" s="112">
        <v>0.75</v>
      </c>
      <c r="M227" s="112" t="s">
        <v>542</v>
      </c>
      <c r="N227" s="112" t="s">
        <v>532</v>
      </c>
      <c r="O227" s="112" t="s">
        <v>524</v>
      </c>
      <c r="P227" s="109" t="s">
        <v>9</v>
      </c>
      <c r="Q227" s="109" t="s">
        <v>38</v>
      </c>
      <c r="R227" s="109" t="s">
        <v>113</v>
      </c>
      <c r="S227" s="109">
        <v>2</v>
      </c>
      <c r="T227" s="109">
        <v>11</v>
      </c>
      <c r="U227" s="139">
        <v>43</v>
      </c>
      <c r="V227" s="140">
        <v>473</v>
      </c>
    </row>
    <row r="228" spans="1:22" x14ac:dyDescent="0.25">
      <c r="A228" s="103">
        <v>4581</v>
      </c>
      <c r="B228" s="104" t="s">
        <v>22</v>
      </c>
      <c r="C228" s="104" t="s">
        <v>176</v>
      </c>
      <c r="D228" s="104" t="s">
        <v>88</v>
      </c>
      <c r="E228" s="104" t="s">
        <v>170</v>
      </c>
      <c r="F228" s="104">
        <v>2016</v>
      </c>
      <c r="G228" s="105">
        <v>42544.375</v>
      </c>
      <c r="H228" s="105">
        <v>42550.75</v>
      </c>
      <c r="I228" s="106">
        <v>42544</v>
      </c>
      <c r="J228" s="106">
        <v>42550</v>
      </c>
      <c r="K228" s="107" t="s">
        <v>525</v>
      </c>
      <c r="L228" s="107">
        <v>0.75</v>
      </c>
      <c r="M228" s="107" t="s">
        <v>540</v>
      </c>
      <c r="N228" s="107" t="s">
        <v>532</v>
      </c>
      <c r="O228" s="107" t="s">
        <v>524</v>
      </c>
      <c r="P228" s="104" t="s">
        <v>23</v>
      </c>
      <c r="Q228" s="104" t="s">
        <v>18</v>
      </c>
      <c r="R228" s="104" t="s">
        <v>113</v>
      </c>
      <c r="S228" s="104">
        <v>5</v>
      </c>
      <c r="T228" s="104">
        <v>12</v>
      </c>
      <c r="U228" s="137">
        <v>42</v>
      </c>
      <c r="V228" s="138">
        <v>504</v>
      </c>
    </row>
    <row r="229" spans="1:22" x14ac:dyDescent="0.25">
      <c r="A229" s="108">
        <v>4582</v>
      </c>
      <c r="B229" s="109" t="s">
        <v>17</v>
      </c>
      <c r="C229" s="109" t="s">
        <v>176</v>
      </c>
      <c r="D229" s="109" t="s">
        <v>88</v>
      </c>
      <c r="E229" s="109" t="s">
        <v>170</v>
      </c>
      <c r="F229" s="109">
        <v>2016</v>
      </c>
      <c r="G229" s="110">
        <v>42545.333333333336</v>
      </c>
      <c r="H229" s="110">
        <v>42558.5</v>
      </c>
      <c r="I229" s="111">
        <v>42545</v>
      </c>
      <c r="J229" s="111">
        <v>42558</v>
      </c>
      <c r="K229" s="112" t="s">
        <v>522</v>
      </c>
      <c r="L229" s="112">
        <v>0.5</v>
      </c>
      <c r="M229" s="112" t="s">
        <v>539</v>
      </c>
      <c r="N229" s="112" t="s">
        <v>532</v>
      </c>
      <c r="O229" s="112" t="s">
        <v>524</v>
      </c>
      <c r="P229" s="109" t="s">
        <v>9</v>
      </c>
      <c r="Q229" s="109" t="s">
        <v>38</v>
      </c>
      <c r="R229" s="109" t="s">
        <v>113</v>
      </c>
      <c r="S229" s="109">
        <v>2</v>
      </c>
      <c r="T229" s="109">
        <v>12</v>
      </c>
      <c r="U229" s="139">
        <v>42</v>
      </c>
      <c r="V229" s="140">
        <v>504</v>
      </c>
    </row>
    <row r="230" spans="1:22" x14ac:dyDescent="0.25">
      <c r="A230" s="103">
        <v>4583</v>
      </c>
      <c r="B230" s="104" t="s">
        <v>7</v>
      </c>
      <c r="C230" s="104" t="s">
        <v>175</v>
      </c>
      <c r="D230" s="104" t="s">
        <v>86</v>
      </c>
      <c r="E230" s="104" t="s">
        <v>169</v>
      </c>
      <c r="F230" s="104">
        <v>2016</v>
      </c>
      <c r="G230" s="105">
        <v>42546.375</v>
      </c>
      <c r="H230" s="105">
        <v>42551.75</v>
      </c>
      <c r="I230" s="106">
        <v>42546</v>
      </c>
      <c r="J230" s="106">
        <v>42551</v>
      </c>
      <c r="K230" s="107" t="s">
        <v>525</v>
      </c>
      <c r="L230" s="107">
        <v>0.75</v>
      </c>
      <c r="M230" s="107" t="s">
        <v>540</v>
      </c>
      <c r="N230" s="107" t="s">
        <v>532</v>
      </c>
      <c r="O230" s="107" t="s">
        <v>524</v>
      </c>
      <c r="P230" s="104" t="s">
        <v>9</v>
      </c>
      <c r="Q230" s="104" t="s">
        <v>38</v>
      </c>
      <c r="R230" s="104" t="s">
        <v>113</v>
      </c>
      <c r="S230" s="104">
        <v>5</v>
      </c>
      <c r="T230" s="104">
        <v>8</v>
      </c>
      <c r="U230" s="137">
        <v>48</v>
      </c>
      <c r="V230" s="138">
        <v>384</v>
      </c>
    </row>
    <row r="231" spans="1:22" x14ac:dyDescent="0.25">
      <c r="A231" s="108">
        <v>4584</v>
      </c>
      <c r="B231" s="109" t="s">
        <v>17</v>
      </c>
      <c r="C231" s="109" t="s">
        <v>176</v>
      </c>
      <c r="D231" s="109" t="s">
        <v>79</v>
      </c>
      <c r="E231" s="109" t="s">
        <v>168</v>
      </c>
      <c r="F231" s="109">
        <v>2016</v>
      </c>
      <c r="G231" s="110">
        <v>42548.791666666664</v>
      </c>
      <c r="H231" s="110">
        <v>42559.958333333336</v>
      </c>
      <c r="I231" s="111">
        <v>42548</v>
      </c>
      <c r="J231" s="111">
        <v>42559</v>
      </c>
      <c r="K231" s="112" t="s">
        <v>526</v>
      </c>
      <c r="L231" s="112">
        <v>0.95833333333333337</v>
      </c>
      <c r="M231" s="112" t="s">
        <v>541</v>
      </c>
      <c r="N231" s="112" t="s">
        <v>532</v>
      </c>
      <c r="O231" s="112" t="s">
        <v>524</v>
      </c>
      <c r="P231" s="109" t="s">
        <v>23</v>
      </c>
      <c r="Q231" s="109" t="s">
        <v>28</v>
      </c>
      <c r="R231" s="109" t="s">
        <v>109</v>
      </c>
      <c r="S231" s="109">
        <v>4</v>
      </c>
      <c r="T231" s="109">
        <v>8</v>
      </c>
      <c r="U231" s="139">
        <v>48</v>
      </c>
      <c r="V231" s="140">
        <v>384</v>
      </c>
    </row>
    <row r="232" spans="1:22" x14ac:dyDescent="0.25">
      <c r="A232" s="103">
        <v>4585</v>
      </c>
      <c r="B232" s="104" t="s">
        <v>29</v>
      </c>
      <c r="C232" s="104" t="s">
        <v>177</v>
      </c>
      <c r="D232" s="104" t="s">
        <v>76</v>
      </c>
      <c r="E232" s="104" t="s">
        <v>174</v>
      </c>
      <c r="F232" s="104">
        <v>2016</v>
      </c>
      <c r="G232" s="105">
        <v>42548.791666666664</v>
      </c>
      <c r="H232" s="105">
        <v>42559.958333333336</v>
      </c>
      <c r="I232" s="106">
        <v>42548</v>
      </c>
      <c r="J232" s="106">
        <v>42559</v>
      </c>
      <c r="K232" s="107" t="s">
        <v>526</v>
      </c>
      <c r="L232" s="107">
        <v>0.95833333333333337</v>
      </c>
      <c r="M232" s="107" t="s">
        <v>541</v>
      </c>
      <c r="N232" s="107" t="s">
        <v>532</v>
      </c>
      <c r="O232" s="107" t="s">
        <v>524</v>
      </c>
      <c r="P232" s="104" t="s">
        <v>9</v>
      </c>
      <c r="Q232" s="104" t="s">
        <v>18</v>
      </c>
      <c r="R232" s="104" t="s">
        <v>113</v>
      </c>
      <c r="S232" s="104">
        <v>4</v>
      </c>
      <c r="T232" s="104">
        <v>9</v>
      </c>
      <c r="U232" s="137">
        <v>53</v>
      </c>
      <c r="V232" s="138">
        <v>477</v>
      </c>
    </row>
    <row r="233" spans="1:22" x14ac:dyDescent="0.25">
      <c r="A233" s="108">
        <v>4586</v>
      </c>
      <c r="B233" s="109" t="s">
        <v>45</v>
      </c>
      <c r="C233" s="109" t="s">
        <v>177</v>
      </c>
      <c r="D233" s="109" t="s">
        <v>80</v>
      </c>
      <c r="E233" s="109" t="s">
        <v>173</v>
      </c>
      <c r="F233" s="109">
        <v>2016</v>
      </c>
      <c r="G233" s="110">
        <v>42549.791666666664</v>
      </c>
      <c r="H233" s="110">
        <v>42562.958333333336</v>
      </c>
      <c r="I233" s="111">
        <v>42549</v>
      </c>
      <c r="J233" s="111">
        <v>42562</v>
      </c>
      <c r="K233" s="112" t="s">
        <v>526</v>
      </c>
      <c r="L233" s="112">
        <v>0.95833333333333337</v>
      </c>
      <c r="M233" s="112" t="s">
        <v>541</v>
      </c>
      <c r="N233" s="112" t="s">
        <v>532</v>
      </c>
      <c r="O233" s="112" t="s">
        <v>524</v>
      </c>
      <c r="P233" s="109" t="s">
        <v>23</v>
      </c>
      <c r="Q233" s="109" t="s">
        <v>12</v>
      </c>
      <c r="R233" s="109" t="s">
        <v>113</v>
      </c>
      <c r="S233" s="109">
        <v>2</v>
      </c>
      <c r="T233" s="109">
        <v>8</v>
      </c>
      <c r="U233" s="139">
        <v>32</v>
      </c>
      <c r="V233" s="140">
        <v>256</v>
      </c>
    </row>
    <row r="234" spans="1:22" x14ac:dyDescent="0.25">
      <c r="A234" s="103">
        <v>4587</v>
      </c>
      <c r="B234" s="104" t="s">
        <v>45</v>
      </c>
      <c r="C234" s="104" t="s">
        <v>177</v>
      </c>
      <c r="D234" s="104" t="s">
        <v>80</v>
      </c>
      <c r="E234" s="104" t="s">
        <v>173</v>
      </c>
      <c r="F234" s="104">
        <v>2016</v>
      </c>
      <c r="G234" s="105">
        <v>42550.583333333336</v>
      </c>
      <c r="H234" s="105">
        <v>42563.75</v>
      </c>
      <c r="I234" s="106">
        <v>42550</v>
      </c>
      <c r="J234" s="106">
        <v>42563</v>
      </c>
      <c r="K234" s="107" t="s">
        <v>527</v>
      </c>
      <c r="L234" s="107">
        <v>0.75</v>
      </c>
      <c r="M234" s="107" t="s">
        <v>542</v>
      </c>
      <c r="N234" s="107" t="s">
        <v>532</v>
      </c>
      <c r="O234" s="107" t="s">
        <v>524</v>
      </c>
      <c r="P234" s="104" t="s">
        <v>23</v>
      </c>
      <c r="Q234" s="104" t="s">
        <v>16</v>
      </c>
      <c r="R234" s="104" t="s">
        <v>109</v>
      </c>
      <c r="S234" s="104">
        <v>3</v>
      </c>
      <c r="T234" s="104">
        <v>11</v>
      </c>
      <c r="U234" s="137">
        <v>32</v>
      </c>
      <c r="V234" s="138">
        <v>352</v>
      </c>
    </row>
    <row r="235" spans="1:22" x14ac:dyDescent="0.25">
      <c r="A235" s="108">
        <v>4588</v>
      </c>
      <c r="B235" s="109" t="s">
        <v>7</v>
      </c>
      <c r="C235" s="109" t="s">
        <v>175</v>
      </c>
      <c r="D235" s="109" t="s">
        <v>77</v>
      </c>
      <c r="E235" s="109" t="s">
        <v>172</v>
      </c>
      <c r="F235" s="109">
        <v>2016</v>
      </c>
      <c r="G235" s="110">
        <v>42551.375</v>
      </c>
      <c r="H235" s="110">
        <v>42557.75</v>
      </c>
      <c r="I235" s="111">
        <v>42551</v>
      </c>
      <c r="J235" s="111">
        <v>42557</v>
      </c>
      <c r="K235" s="112" t="s">
        <v>525</v>
      </c>
      <c r="L235" s="112">
        <v>0.75</v>
      </c>
      <c r="M235" s="112" t="s">
        <v>540</v>
      </c>
      <c r="N235" s="112" t="s">
        <v>532</v>
      </c>
      <c r="O235" s="112" t="s">
        <v>524</v>
      </c>
      <c r="P235" s="109" t="s">
        <v>9</v>
      </c>
      <c r="Q235" s="109" t="s">
        <v>18</v>
      </c>
      <c r="R235" s="109" t="s">
        <v>113</v>
      </c>
      <c r="S235" s="109">
        <v>2</v>
      </c>
      <c r="T235" s="109">
        <v>12</v>
      </c>
      <c r="U235" s="139">
        <v>35</v>
      </c>
      <c r="V235" s="140">
        <v>420</v>
      </c>
    </row>
    <row r="236" spans="1:22" x14ac:dyDescent="0.25">
      <c r="A236" s="103">
        <v>4589</v>
      </c>
      <c r="B236" s="104" t="s">
        <v>7</v>
      </c>
      <c r="C236" s="104" t="s">
        <v>175</v>
      </c>
      <c r="D236" s="104" t="s">
        <v>83</v>
      </c>
      <c r="E236" s="104" t="s">
        <v>174</v>
      </c>
      <c r="F236" s="104">
        <v>2016</v>
      </c>
      <c r="G236" s="105">
        <v>42552.333333333336</v>
      </c>
      <c r="H236" s="105">
        <v>42565.5</v>
      </c>
      <c r="I236" s="106">
        <v>42552</v>
      </c>
      <c r="J236" s="106">
        <v>42565</v>
      </c>
      <c r="K236" s="107" t="s">
        <v>522</v>
      </c>
      <c r="L236" s="107">
        <v>0.5</v>
      </c>
      <c r="M236" s="107" t="s">
        <v>539</v>
      </c>
      <c r="N236" s="107" t="s">
        <v>533</v>
      </c>
      <c r="O236" s="107" t="s">
        <v>524</v>
      </c>
      <c r="P236" s="104" t="s">
        <v>9</v>
      </c>
      <c r="Q236" s="104" t="s">
        <v>41</v>
      </c>
      <c r="R236" s="104" t="s">
        <v>113</v>
      </c>
      <c r="S236" s="104">
        <v>3</v>
      </c>
      <c r="T236" s="104">
        <v>9</v>
      </c>
      <c r="U236" s="137">
        <v>63</v>
      </c>
      <c r="V236" s="138">
        <v>567</v>
      </c>
    </row>
    <row r="237" spans="1:22" x14ac:dyDescent="0.25">
      <c r="A237" s="108">
        <v>4590</v>
      </c>
      <c r="B237" s="109" t="s">
        <v>22</v>
      </c>
      <c r="C237" s="109" t="s">
        <v>176</v>
      </c>
      <c r="D237" s="109" t="s">
        <v>83</v>
      </c>
      <c r="E237" s="109" t="s">
        <v>174</v>
      </c>
      <c r="F237" s="109">
        <v>2016</v>
      </c>
      <c r="G237" s="110">
        <v>42553.375</v>
      </c>
      <c r="H237" s="110">
        <v>42558.75</v>
      </c>
      <c r="I237" s="111">
        <v>42553</v>
      </c>
      <c r="J237" s="111">
        <v>42558</v>
      </c>
      <c r="K237" s="112" t="s">
        <v>525</v>
      </c>
      <c r="L237" s="112">
        <v>0.75</v>
      </c>
      <c r="M237" s="112" t="s">
        <v>540</v>
      </c>
      <c r="N237" s="112" t="s">
        <v>533</v>
      </c>
      <c r="O237" s="112" t="s">
        <v>524</v>
      </c>
      <c r="P237" s="109" t="s">
        <v>9</v>
      </c>
      <c r="Q237" s="109" t="s">
        <v>190</v>
      </c>
      <c r="R237" s="109" t="s">
        <v>109</v>
      </c>
      <c r="S237" s="109">
        <v>5</v>
      </c>
      <c r="T237" s="109">
        <v>8</v>
      </c>
      <c r="U237" s="139">
        <v>63</v>
      </c>
      <c r="V237" s="140">
        <v>504</v>
      </c>
    </row>
    <row r="238" spans="1:22" x14ac:dyDescent="0.25">
      <c r="A238" s="103">
        <v>4591</v>
      </c>
      <c r="B238" s="104" t="s">
        <v>45</v>
      </c>
      <c r="C238" s="104" t="s">
        <v>177</v>
      </c>
      <c r="D238" s="104" t="s">
        <v>77</v>
      </c>
      <c r="E238" s="104" t="s">
        <v>172</v>
      </c>
      <c r="F238" s="104">
        <v>2016</v>
      </c>
      <c r="G238" s="105">
        <v>42555.791666666664</v>
      </c>
      <c r="H238" s="105">
        <v>42566.958333333336</v>
      </c>
      <c r="I238" s="106">
        <v>42555</v>
      </c>
      <c r="J238" s="106">
        <v>42566</v>
      </c>
      <c r="K238" s="107" t="s">
        <v>526</v>
      </c>
      <c r="L238" s="107">
        <v>0.95833333333333337</v>
      </c>
      <c r="M238" s="107" t="s">
        <v>541</v>
      </c>
      <c r="N238" s="107" t="s">
        <v>533</v>
      </c>
      <c r="O238" s="107" t="s">
        <v>524</v>
      </c>
      <c r="P238" s="104" t="s">
        <v>23</v>
      </c>
      <c r="Q238" s="104" t="s">
        <v>18</v>
      </c>
      <c r="R238" s="104" t="s">
        <v>113</v>
      </c>
      <c r="S238" s="104">
        <v>5</v>
      </c>
      <c r="T238" s="104">
        <v>9</v>
      </c>
      <c r="U238" s="137">
        <v>35</v>
      </c>
      <c r="V238" s="138">
        <v>315</v>
      </c>
    </row>
    <row r="239" spans="1:22" x14ac:dyDescent="0.25">
      <c r="A239" s="108">
        <v>4592</v>
      </c>
      <c r="B239" s="109" t="s">
        <v>39</v>
      </c>
      <c r="C239" s="109" t="s">
        <v>177</v>
      </c>
      <c r="D239" s="109" t="s">
        <v>88</v>
      </c>
      <c r="E239" s="109" t="s">
        <v>170</v>
      </c>
      <c r="F239" s="109">
        <v>2016</v>
      </c>
      <c r="G239" s="110">
        <v>42555.791666666664</v>
      </c>
      <c r="H239" s="110">
        <v>42566.958333333336</v>
      </c>
      <c r="I239" s="111">
        <v>42555</v>
      </c>
      <c r="J239" s="111">
        <v>42566</v>
      </c>
      <c r="K239" s="112" t="s">
        <v>526</v>
      </c>
      <c r="L239" s="112">
        <v>0.95833333333333337</v>
      </c>
      <c r="M239" s="112" t="s">
        <v>541</v>
      </c>
      <c r="N239" s="112" t="s">
        <v>533</v>
      </c>
      <c r="O239" s="112" t="s">
        <v>524</v>
      </c>
      <c r="P239" s="109" t="s">
        <v>9</v>
      </c>
      <c r="Q239" s="109" t="s">
        <v>38</v>
      </c>
      <c r="R239" s="109" t="s">
        <v>113</v>
      </c>
      <c r="S239" s="109">
        <v>3</v>
      </c>
      <c r="T239" s="109">
        <v>12</v>
      </c>
      <c r="U239" s="139">
        <v>42</v>
      </c>
      <c r="V239" s="140">
        <v>504</v>
      </c>
    </row>
    <row r="240" spans="1:22" x14ac:dyDescent="0.25">
      <c r="A240" s="103">
        <v>4593</v>
      </c>
      <c r="B240" s="104" t="s">
        <v>39</v>
      </c>
      <c r="C240" s="104" t="s">
        <v>177</v>
      </c>
      <c r="D240" s="104" t="s">
        <v>80</v>
      </c>
      <c r="E240" s="104" t="s">
        <v>173</v>
      </c>
      <c r="F240" s="104">
        <v>2016</v>
      </c>
      <c r="G240" s="105">
        <v>42556.791666666664</v>
      </c>
      <c r="H240" s="105">
        <v>42569.958333333336</v>
      </c>
      <c r="I240" s="106">
        <v>42556</v>
      </c>
      <c r="J240" s="106">
        <v>42569</v>
      </c>
      <c r="K240" s="107" t="s">
        <v>526</v>
      </c>
      <c r="L240" s="107">
        <v>0.95833333333333337</v>
      </c>
      <c r="M240" s="107" t="s">
        <v>541</v>
      </c>
      <c r="N240" s="107" t="s">
        <v>533</v>
      </c>
      <c r="O240" s="107" t="s">
        <v>524</v>
      </c>
      <c r="P240" s="104" t="s">
        <v>23</v>
      </c>
      <c r="Q240" s="104" t="s">
        <v>21</v>
      </c>
      <c r="R240" s="104" t="s">
        <v>113</v>
      </c>
      <c r="S240" s="104">
        <v>3</v>
      </c>
      <c r="T240" s="104">
        <v>11</v>
      </c>
      <c r="U240" s="137">
        <v>32</v>
      </c>
      <c r="V240" s="138">
        <v>352</v>
      </c>
    </row>
    <row r="241" spans="1:22" x14ac:dyDescent="0.25">
      <c r="A241" s="108">
        <v>4594</v>
      </c>
      <c r="B241" s="109" t="s">
        <v>39</v>
      </c>
      <c r="C241" s="109" t="s">
        <v>177</v>
      </c>
      <c r="D241" s="109" t="s">
        <v>76</v>
      </c>
      <c r="E241" s="109" t="s">
        <v>174</v>
      </c>
      <c r="F241" s="109">
        <v>2016</v>
      </c>
      <c r="G241" s="110">
        <v>42557.583333333336</v>
      </c>
      <c r="H241" s="110">
        <v>42570.75</v>
      </c>
      <c r="I241" s="111">
        <v>42557</v>
      </c>
      <c r="J241" s="111">
        <v>42570</v>
      </c>
      <c r="K241" s="112" t="s">
        <v>527</v>
      </c>
      <c r="L241" s="112">
        <v>0.75</v>
      </c>
      <c r="M241" s="112" t="s">
        <v>542</v>
      </c>
      <c r="N241" s="112" t="s">
        <v>533</v>
      </c>
      <c r="O241" s="112" t="s">
        <v>524</v>
      </c>
      <c r="P241" s="109" t="s">
        <v>9</v>
      </c>
      <c r="Q241" s="109" t="s">
        <v>28</v>
      </c>
      <c r="R241" s="109" t="s">
        <v>109</v>
      </c>
      <c r="S241" s="109">
        <v>2</v>
      </c>
      <c r="T241" s="109">
        <v>12</v>
      </c>
      <c r="U241" s="139">
        <v>53</v>
      </c>
      <c r="V241" s="140">
        <v>636</v>
      </c>
    </row>
    <row r="242" spans="1:22" x14ac:dyDescent="0.25">
      <c r="A242" s="103">
        <v>4595</v>
      </c>
      <c r="B242" s="104" t="s">
        <v>19</v>
      </c>
      <c r="C242" s="104" t="s">
        <v>176</v>
      </c>
      <c r="D242" s="104" t="s">
        <v>81</v>
      </c>
      <c r="E242" s="104" t="s">
        <v>172</v>
      </c>
      <c r="F242" s="104">
        <v>2016</v>
      </c>
      <c r="G242" s="105">
        <v>42558.375</v>
      </c>
      <c r="H242" s="105">
        <v>42564.75</v>
      </c>
      <c r="I242" s="106">
        <v>42558</v>
      </c>
      <c r="J242" s="106">
        <v>42564</v>
      </c>
      <c r="K242" s="107" t="s">
        <v>525</v>
      </c>
      <c r="L242" s="107">
        <v>0.75</v>
      </c>
      <c r="M242" s="107" t="s">
        <v>540</v>
      </c>
      <c r="N242" s="107" t="s">
        <v>533</v>
      </c>
      <c r="O242" s="107" t="s">
        <v>524</v>
      </c>
      <c r="P242" s="104" t="s">
        <v>23</v>
      </c>
      <c r="Q242" s="104" t="s">
        <v>190</v>
      </c>
      <c r="R242" s="104" t="s">
        <v>109</v>
      </c>
      <c r="S242" s="104">
        <v>3</v>
      </c>
      <c r="T242" s="104">
        <v>9</v>
      </c>
      <c r="U242" s="137">
        <v>43</v>
      </c>
      <c r="V242" s="138">
        <v>387</v>
      </c>
    </row>
    <row r="243" spans="1:22" x14ac:dyDescent="0.25">
      <c r="A243" s="108">
        <v>4596</v>
      </c>
      <c r="B243" s="109" t="s">
        <v>14</v>
      </c>
      <c r="C243" s="109" t="s">
        <v>175</v>
      </c>
      <c r="D243" s="109" t="s">
        <v>85</v>
      </c>
      <c r="E243" s="109" t="s">
        <v>170</v>
      </c>
      <c r="F243" s="109">
        <v>2016</v>
      </c>
      <c r="G243" s="110">
        <v>42559.333333333336</v>
      </c>
      <c r="H243" s="110">
        <v>42572.5</v>
      </c>
      <c r="I243" s="111">
        <v>42559</v>
      </c>
      <c r="J243" s="111">
        <v>42572</v>
      </c>
      <c r="K243" s="112" t="s">
        <v>522</v>
      </c>
      <c r="L243" s="112">
        <v>0.5</v>
      </c>
      <c r="M243" s="112" t="s">
        <v>539</v>
      </c>
      <c r="N243" s="112" t="s">
        <v>533</v>
      </c>
      <c r="O243" s="112" t="s">
        <v>524</v>
      </c>
      <c r="P243" s="109" t="s">
        <v>9</v>
      </c>
      <c r="Q243" s="109" t="s">
        <v>38</v>
      </c>
      <c r="R243" s="109" t="s">
        <v>113</v>
      </c>
      <c r="S243" s="109">
        <v>4</v>
      </c>
      <c r="T243" s="109">
        <v>12</v>
      </c>
      <c r="U243" s="139">
        <v>48</v>
      </c>
      <c r="V243" s="140">
        <v>576</v>
      </c>
    </row>
    <row r="244" spans="1:22" x14ac:dyDescent="0.25">
      <c r="A244" s="103">
        <v>4597</v>
      </c>
      <c r="B244" s="104" t="s">
        <v>7</v>
      </c>
      <c r="C244" s="104" t="s">
        <v>175</v>
      </c>
      <c r="D244" s="104" t="s">
        <v>80</v>
      </c>
      <c r="E244" s="104" t="s">
        <v>173</v>
      </c>
      <c r="F244" s="104">
        <v>2016</v>
      </c>
      <c r="G244" s="105">
        <v>42560.375</v>
      </c>
      <c r="H244" s="105">
        <v>42565.75</v>
      </c>
      <c r="I244" s="106">
        <v>42560</v>
      </c>
      <c r="J244" s="106">
        <v>42565</v>
      </c>
      <c r="K244" s="107" t="s">
        <v>525</v>
      </c>
      <c r="L244" s="107">
        <v>0.75</v>
      </c>
      <c r="M244" s="107" t="s">
        <v>540</v>
      </c>
      <c r="N244" s="107" t="s">
        <v>533</v>
      </c>
      <c r="O244" s="107" t="s">
        <v>524</v>
      </c>
      <c r="P244" s="104" t="s">
        <v>9</v>
      </c>
      <c r="Q244" s="104" t="s">
        <v>190</v>
      </c>
      <c r="R244" s="104" t="s">
        <v>109</v>
      </c>
      <c r="S244" s="104">
        <v>4</v>
      </c>
      <c r="T244" s="104">
        <v>12</v>
      </c>
      <c r="U244" s="137">
        <v>32</v>
      </c>
      <c r="V244" s="138">
        <v>384</v>
      </c>
    </row>
    <row r="245" spans="1:22" x14ac:dyDescent="0.25">
      <c r="A245" s="108">
        <v>4598</v>
      </c>
      <c r="B245" s="109" t="s">
        <v>14</v>
      </c>
      <c r="C245" s="109" t="s">
        <v>175</v>
      </c>
      <c r="D245" s="109" t="s">
        <v>79</v>
      </c>
      <c r="E245" s="109" t="s">
        <v>168</v>
      </c>
      <c r="F245" s="109">
        <v>2016</v>
      </c>
      <c r="G245" s="110">
        <v>42562.791666666664</v>
      </c>
      <c r="H245" s="110">
        <v>42573.958333333336</v>
      </c>
      <c r="I245" s="111">
        <v>42562</v>
      </c>
      <c r="J245" s="111">
        <v>42573</v>
      </c>
      <c r="K245" s="112" t="s">
        <v>526</v>
      </c>
      <c r="L245" s="112">
        <v>0.95833333333333337</v>
      </c>
      <c r="M245" s="112" t="s">
        <v>541</v>
      </c>
      <c r="N245" s="112" t="s">
        <v>533</v>
      </c>
      <c r="O245" s="112" t="s">
        <v>524</v>
      </c>
      <c r="P245" s="109" t="s">
        <v>23</v>
      </c>
      <c r="Q245" s="109" t="s">
        <v>16</v>
      </c>
      <c r="R245" s="109" t="s">
        <v>109</v>
      </c>
      <c r="S245" s="109">
        <v>5</v>
      </c>
      <c r="T245" s="109">
        <v>8</v>
      </c>
      <c r="U245" s="139">
        <v>48</v>
      </c>
      <c r="V245" s="140">
        <v>384</v>
      </c>
    </row>
    <row r="246" spans="1:22" x14ac:dyDescent="0.25">
      <c r="A246" s="103">
        <v>4599</v>
      </c>
      <c r="B246" s="104" t="s">
        <v>39</v>
      </c>
      <c r="C246" s="104" t="s">
        <v>177</v>
      </c>
      <c r="D246" s="104" t="s">
        <v>78</v>
      </c>
      <c r="E246" s="104" t="s">
        <v>172</v>
      </c>
      <c r="F246" s="104">
        <v>2016</v>
      </c>
      <c r="G246" s="105">
        <v>42562.791666666664</v>
      </c>
      <c r="H246" s="105">
        <v>42573.958333333336</v>
      </c>
      <c r="I246" s="106">
        <v>42562</v>
      </c>
      <c r="J246" s="106">
        <v>42573</v>
      </c>
      <c r="K246" s="107" t="s">
        <v>526</v>
      </c>
      <c r="L246" s="107">
        <v>0.95833333333333337</v>
      </c>
      <c r="M246" s="107" t="s">
        <v>541</v>
      </c>
      <c r="N246" s="107" t="s">
        <v>533</v>
      </c>
      <c r="O246" s="107" t="s">
        <v>524</v>
      </c>
      <c r="P246" s="104" t="s">
        <v>23</v>
      </c>
      <c r="Q246" s="104" t="s">
        <v>190</v>
      </c>
      <c r="R246" s="104" t="s">
        <v>109</v>
      </c>
      <c r="S246" s="104">
        <v>2</v>
      </c>
      <c r="T246" s="104">
        <v>8</v>
      </c>
      <c r="U246" s="137">
        <v>62</v>
      </c>
      <c r="V246" s="138">
        <v>496</v>
      </c>
    </row>
    <row r="247" spans="1:22" x14ac:dyDescent="0.25">
      <c r="A247" s="108">
        <v>4600</v>
      </c>
      <c r="B247" s="109" t="s">
        <v>11</v>
      </c>
      <c r="C247" s="109" t="s">
        <v>175</v>
      </c>
      <c r="D247" s="109" t="s">
        <v>83</v>
      </c>
      <c r="E247" s="109" t="s">
        <v>174</v>
      </c>
      <c r="F247" s="109">
        <v>2016</v>
      </c>
      <c r="G247" s="110">
        <v>42563.791666666664</v>
      </c>
      <c r="H247" s="110">
        <v>42576.958333333336</v>
      </c>
      <c r="I247" s="111">
        <v>42563</v>
      </c>
      <c r="J247" s="111">
        <v>42576</v>
      </c>
      <c r="K247" s="112" t="s">
        <v>526</v>
      </c>
      <c r="L247" s="112">
        <v>0.95833333333333337</v>
      </c>
      <c r="M247" s="112" t="s">
        <v>541</v>
      </c>
      <c r="N247" s="112" t="s">
        <v>533</v>
      </c>
      <c r="O247" s="112" t="s">
        <v>524</v>
      </c>
      <c r="P247" s="109" t="s">
        <v>9</v>
      </c>
      <c r="Q247" s="109" t="s">
        <v>37</v>
      </c>
      <c r="R247" s="109" t="s">
        <v>113</v>
      </c>
      <c r="S247" s="109">
        <v>3</v>
      </c>
      <c r="T247" s="109">
        <v>8</v>
      </c>
      <c r="U247" s="139">
        <v>63</v>
      </c>
      <c r="V247" s="140">
        <v>504</v>
      </c>
    </row>
    <row r="248" spans="1:22" x14ac:dyDescent="0.25">
      <c r="A248" s="103">
        <v>4601</v>
      </c>
      <c r="B248" s="104" t="s">
        <v>11</v>
      </c>
      <c r="C248" s="104" t="s">
        <v>175</v>
      </c>
      <c r="D248" s="104" t="s">
        <v>80</v>
      </c>
      <c r="E248" s="104" t="s">
        <v>173</v>
      </c>
      <c r="F248" s="104">
        <v>2016</v>
      </c>
      <c r="G248" s="105">
        <v>42564.583333333336</v>
      </c>
      <c r="H248" s="105">
        <v>42577.75</v>
      </c>
      <c r="I248" s="106">
        <v>42564</v>
      </c>
      <c r="J248" s="106">
        <v>42577</v>
      </c>
      <c r="K248" s="107" t="s">
        <v>527</v>
      </c>
      <c r="L248" s="107">
        <v>0.75</v>
      </c>
      <c r="M248" s="107" t="s">
        <v>542</v>
      </c>
      <c r="N248" s="107" t="s">
        <v>533</v>
      </c>
      <c r="O248" s="107" t="s">
        <v>524</v>
      </c>
      <c r="P248" s="104" t="s">
        <v>23</v>
      </c>
      <c r="Q248" s="104" t="s">
        <v>22</v>
      </c>
      <c r="R248" s="104" t="s">
        <v>109</v>
      </c>
      <c r="S248" s="104">
        <v>2</v>
      </c>
      <c r="T248" s="104">
        <v>10</v>
      </c>
      <c r="U248" s="137">
        <v>32</v>
      </c>
      <c r="V248" s="138">
        <v>320</v>
      </c>
    </row>
    <row r="249" spans="1:22" x14ac:dyDescent="0.25">
      <c r="A249" s="108">
        <v>4602</v>
      </c>
      <c r="B249" s="109" t="s">
        <v>45</v>
      </c>
      <c r="C249" s="109" t="s">
        <v>177</v>
      </c>
      <c r="D249" s="109" t="s">
        <v>81</v>
      </c>
      <c r="E249" s="109" t="s">
        <v>172</v>
      </c>
      <c r="F249" s="109">
        <v>2016</v>
      </c>
      <c r="G249" s="110">
        <v>42565.375</v>
      </c>
      <c r="H249" s="110">
        <v>42571.75</v>
      </c>
      <c r="I249" s="111">
        <v>42565</v>
      </c>
      <c r="J249" s="111">
        <v>42571</v>
      </c>
      <c r="K249" s="112" t="s">
        <v>525</v>
      </c>
      <c r="L249" s="112">
        <v>0.75</v>
      </c>
      <c r="M249" s="112" t="s">
        <v>540</v>
      </c>
      <c r="N249" s="112" t="s">
        <v>533</v>
      </c>
      <c r="O249" s="112" t="s">
        <v>524</v>
      </c>
      <c r="P249" s="109" t="s">
        <v>9</v>
      </c>
      <c r="Q249" s="109" t="s">
        <v>16</v>
      </c>
      <c r="R249" s="109" t="s">
        <v>109</v>
      </c>
      <c r="S249" s="109">
        <v>2</v>
      </c>
      <c r="T249" s="109">
        <v>10</v>
      </c>
      <c r="U249" s="139">
        <v>43</v>
      </c>
      <c r="V249" s="140">
        <v>430</v>
      </c>
    </row>
    <row r="250" spans="1:22" x14ac:dyDescent="0.25">
      <c r="A250" s="103">
        <v>4603</v>
      </c>
      <c r="B250" s="104" t="s">
        <v>7</v>
      </c>
      <c r="C250" s="104" t="s">
        <v>175</v>
      </c>
      <c r="D250" s="104" t="s">
        <v>80</v>
      </c>
      <c r="E250" s="104" t="s">
        <v>173</v>
      </c>
      <c r="F250" s="104">
        <v>2016</v>
      </c>
      <c r="G250" s="105">
        <v>42566.333333333336</v>
      </c>
      <c r="H250" s="105">
        <v>42579.5</v>
      </c>
      <c r="I250" s="106">
        <v>42566</v>
      </c>
      <c r="J250" s="106">
        <v>42579</v>
      </c>
      <c r="K250" s="107" t="s">
        <v>522</v>
      </c>
      <c r="L250" s="107">
        <v>0.5</v>
      </c>
      <c r="M250" s="107" t="s">
        <v>539</v>
      </c>
      <c r="N250" s="107" t="s">
        <v>533</v>
      </c>
      <c r="O250" s="107" t="s">
        <v>524</v>
      </c>
      <c r="P250" s="104" t="s">
        <v>23</v>
      </c>
      <c r="Q250" s="104" t="s">
        <v>16</v>
      </c>
      <c r="R250" s="104" t="s">
        <v>109</v>
      </c>
      <c r="S250" s="104">
        <v>3</v>
      </c>
      <c r="T250" s="104">
        <v>11</v>
      </c>
      <c r="U250" s="137">
        <v>32</v>
      </c>
      <c r="V250" s="138">
        <v>352</v>
      </c>
    </row>
    <row r="251" spans="1:22" x14ac:dyDescent="0.25">
      <c r="A251" s="108">
        <v>4604</v>
      </c>
      <c r="B251" s="109" t="s">
        <v>11</v>
      </c>
      <c r="C251" s="109" t="s">
        <v>175</v>
      </c>
      <c r="D251" s="109" t="s">
        <v>80</v>
      </c>
      <c r="E251" s="109" t="s">
        <v>173</v>
      </c>
      <c r="F251" s="109">
        <v>2016</v>
      </c>
      <c r="G251" s="110">
        <v>42567.375</v>
      </c>
      <c r="H251" s="110">
        <v>42572.75</v>
      </c>
      <c r="I251" s="111">
        <v>42567</v>
      </c>
      <c r="J251" s="111">
        <v>42572</v>
      </c>
      <c r="K251" s="112" t="s">
        <v>525</v>
      </c>
      <c r="L251" s="112">
        <v>0.75</v>
      </c>
      <c r="M251" s="112" t="s">
        <v>540</v>
      </c>
      <c r="N251" s="112" t="s">
        <v>533</v>
      </c>
      <c r="O251" s="112" t="s">
        <v>524</v>
      </c>
      <c r="P251" s="109" t="s">
        <v>9</v>
      </c>
      <c r="Q251" s="109" t="s">
        <v>22</v>
      </c>
      <c r="R251" s="109" t="s">
        <v>109</v>
      </c>
      <c r="S251" s="109">
        <v>4</v>
      </c>
      <c r="T251" s="109">
        <v>8</v>
      </c>
      <c r="U251" s="139">
        <v>32</v>
      </c>
      <c r="V251" s="140">
        <v>256</v>
      </c>
    </row>
    <row r="252" spans="1:22" x14ac:dyDescent="0.25">
      <c r="A252" s="103">
        <v>4605</v>
      </c>
      <c r="B252" s="104" t="s">
        <v>19</v>
      </c>
      <c r="C252" s="104" t="s">
        <v>176</v>
      </c>
      <c r="D252" s="104" t="s">
        <v>80</v>
      </c>
      <c r="E252" s="104" t="s">
        <v>173</v>
      </c>
      <c r="F252" s="104">
        <v>2016</v>
      </c>
      <c r="G252" s="105">
        <v>42569.791666666664</v>
      </c>
      <c r="H252" s="105">
        <v>42580.958333333336</v>
      </c>
      <c r="I252" s="106">
        <v>42569</v>
      </c>
      <c r="J252" s="106">
        <v>42580</v>
      </c>
      <c r="K252" s="107" t="s">
        <v>526</v>
      </c>
      <c r="L252" s="107">
        <v>0.95833333333333337</v>
      </c>
      <c r="M252" s="107" t="s">
        <v>541</v>
      </c>
      <c r="N252" s="107" t="s">
        <v>533</v>
      </c>
      <c r="O252" s="107" t="s">
        <v>524</v>
      </c>
      <c r="P252" s="104" t="s">
        <v>23</v>
      </c>
      <c r="Q252" s="104" t="s">
        <v>44</v>
      </c>
      <c r="R252" s="104" t="s">
        <v>113</v>
      </c>
      <c r="S252" s="104">
        <v>2</v>
      </c>
      <c r="T252" s="104">
        <v>9</v>
      </c>
      <c r="U252" s="137">
        <v>32</v>
      </c>
      <c r="V252" s="138">
        <v>288</v>
      </c>
    </row>
    <row r="253" spans="1:22" x14ac:dyDescent="0.25">
      <c r="A253" s="108">
        <v>4606</v>
      </c>
      <c r="B253" s="109" t="s">
        <v>19</v>
      </c>
      <c r="C253" s="109" t="s">
        <v>176</v>
      </c>
      <c r="D253" s="109" t="s">
        <v>80</v>
      </c>
      <c r="E253" s="109" t="s">
        <v>173</v>
      </c>
      <c r="F253" s="109">
        <v>2016</v>
      </c>
      <c r="G253" s="110">
        <v>42569.791666666664</v>
      </c>
      <c r="H253" s="110">
        <v>42580.958333333336</v>
      </c>
      <c r="I253" s="111">
        <v>42569</v>
      </c>
      <c r="J253" s="111">
        <v>42580</v>
      </c>
      <c r="K253" s="112" t="s">
        <v>526</v>
      </c>
      <c r="L253" s="112">
        <v>0.95833333333333337</v>
      </c>
      <c r="M253" s="112" t="s">
        <v>541</v>
      </c>
      <c r="N253" s="112" t="s">
        <v>533</v>
      </c>
      <c r="O253" s="112" t="s">
        <v>524</v>
      </c>
      <c r="P253" s="109" t="s">
        <v>23</v>
      </c>
      <c r="Q253" s="109" t="s">
        <v>18</v>
      </c>
      <c r="R253" s="109" t="s">
        <v>113</v>
      </c>
      <c r="S253" s="109">
        <v>5</v>
      </c>
      <c r="T253" s="109">
        <v>10</v>
      </c>
      <c r="U253" s="139">
        <v>32</v>
      </c>
      <c r="V253" s="140">
        <v>320</v>
      </c>
    </row>
    <row r="254" spans="1:22" x14ac:dyDescent="0.25">
      <c r="A254" s="103">
        <v>4607</v>
      </c>
      <c r="B254" s="104" t="s">
        <v>11</v>
      </c>
      <c r="C254" s="104" t="s">
        <v>175</v>
      </c>
      <c r="D254" s="104" t="s">
        <v>85</v>
      </c>
      <c r="E254" s="104" t="s">
        <v>170</v>
      </c>
      <c r="F254" s="104">
        <v>2016</v>
      </c>
      <c r="G254" s="105">
        <v>42570.791666666664</v>
      </c>
      <c r="H254" s="105">
        <v>42583.958333333336</v>
      </c>
      <c r="I254" s="106">
        <v>42570</v>
      </c>
      <c r="J254" s="106">
        <v>42583</v>
      </c>
      <c r="K254" s="107" t="s">
        <v>526</v>
      </c>
      <c r="L254" s="107">
        <v>0.95833333333333337</v>
      </c>
      <c r="M254" s="107" t="s">
        <v>541</v>
      </c>
      <c r="N254" s="107" t="s">
        <v>533</v>
      </c>
      <c r="O254" s="107" t="s">
        <v>524</v>
      </c>
      <c r="P254" s="104" t="s">
        <v>23</v>
      </c>
      <c r="Q254" s="104" t="s">
        <v>33</v>
      </c>
      <c r="R254" s="104" t="s">
        <v>113</v>
      </c>
      <c r="S254" s="104">
        <v>4</v>
      </c>
      <c r="T254" s="104">
        <v>9</v>
      </c>
      <c r="U254" s="137">
        <v>48</v>
      </c>
      <c r="V254" s="138">
        <v>432</v>
      </c>
    </row>
    <row r="255" spans="1:22" x14ac:dyDescent="0.25">
      <c r="A255" s="108">
        <v>4608</v>
      </c>
      <c r="B255" s="109" t="s">
        <v>14</v>
      </c>
      <c r="C255" s="109" t="s">
        <v>175</v>
      </c>
      <c r="D255" s="109" t="s">
        <v>85</v>
      </c>
      <c r="E255" s="109" t="s">
        <v>170</v>
      </c>
      <c r="F255" s="109">
        <v>2016</v>
      </c>
      <c r="G255" s="110">
        <v>42571.583333333336</v>
      </c>
      <c r="H255" s="110">
        <v>42584.75</v>
      </c>
      <c r="I255" s="111">
        <v>42571</v>
      </c>
      <c r="J255" s="111">
        <v>42584</v>
      </c>
      <c r="K255" s="112" t="s">
        <v>527</v>
      </c>
      <c r="L255" s="112">
        <v>0.75</v>
      </c>
      <c r="M255" s="112" t="s">
        <v>542</v>
      </c>
      <c r="N255" s="112" t="s">
        <v>533</v>
      </c>
      <c r="O255" s="112" t="s">
        <v>524</v>
      </c>
      <c r="P255" s="109" t="s">
        <v>23</v>
      </c>
      <c r="Q255" s="109" t="s">
        <v>16</v>
      </c>
      <c r="R255" s="109" t="s">
        <v>109</v>
      </c>
      <c r="S255" s="109">
        <v>4</v>
      </c>
      <c r="T255" s="109">
        <v>12</v>
      </c>
      <c r="U255" s="139">
        <v>48</v>
      </c>
      <c r="V255" s="140">
        <v>576</v>
      </c>
    </row>
    <row r="256" spans="1:22" x14ac:dyDescent="0.25">
      <c r="A256" s="103">
        <v>4609</v>
      </c>
      <c r="B256" s="104" t="s">
        <v>14</v>
      </c>
      <c r="C256" s="104" t="s">
        <v>175</v>
      </c>
      <c r="D256" s="104" t="s">
        <v>85</v>
      </c>
      <c r="E256" s="104" t="s">
        <v>170</v>
      </c>
      <c r="F256" s="104">
        <v>2016</v>
      </c>
      <c r="G256" s="105">
        <v>42572.375</v>
      </c>
      <c r="H256" s="105">
        <v>42578.75</v>
      </c>
      <c r="I256" s="106">
        <v>42572</v>
      </c>
      <c r="J256" s="106">
        <v>42578</v>
      </c>
      <c r="K256" s="107" t="s">
        <v>525</v>
      </c>
      <c r="L256" s="107">
        <v>0.75</v>
      </c>
      <c r="M256" s="107" t="s">
        <v>540</v>
      </c>
      <c r="N256" s="107" t="s">
        <v>533</v>
      </c>
      <c r="O256" s="107" t="s">
        <v>524</v>
      </c>
      <c r="P256" s="104" t="s">
        <v>23</v>
      </c>
      <c r="Q256" s="104" t="s">
        <v>41</v>
      </c>
      <c r="R256" s="104" t="s">
        <v>113</v>
      </c>
      <c r="S256" s="104">
        <v>2</v>
      </c>
      <c r="T256" s="104">
        <v>10</v>
      </c>
      <c r="U256" s="137">
        <v>48</v>
      </c>
      <c r="V256" s="138">
        <v>480</v>
      </c>
    </row>
    <row r="257" spans="1:22" x14ac:dyDescent="0.25">
      <c r="A257" s="108">
        <v>4610</v>
      </c>
      <c r="B257" s="109" t="s">
        <v>39</v>
      </c>
      <c r="C257" s="109" t="s">
        <v>177</v>
      </c>
      <c r="D257" s="109" t="s">
        <v>77</v>
      </c>
      <c r="E257" s="109" t="s">
        <v>172</v>
      </c>
      <c r="F257" s="109">
        <v>2016</v>
      </c>
      <c r="G257" s="110">
        <v>42573.333333333336</v>
      </c>
      <c r="H257" s="110">
        <v>42586.5</v>
      </c>
      <c r="I257" s="111">
        <v>42573</v>
      </c>
      <c r="J257" s="111">
        <v>42586</v>
      </c>
      <c r="K257" s="112" t="s">
        <v>522</v>
      </c>
      <c r="L257" s="112">
        <v>0.5</v>
      </c>
      <c r="M257" s="112" t="s">
        <v>539</v>
      </c>
      <c r="N257" s="112" t="s">
        <v>533</v>
      </c>
      <c r="O257" s="112" t="s">
        <v>524</v>
      </c>
      <c r="P257" s="109" t="s">
        <v>23</v>
      </c>
      <c r="Q257" s="109" t="s">
        <v>41</v>
      </c>
      <c r="R257" s="109" t="s">
        <v>113</v>
      </c>
      <c r="S257" s="109">
        <v>2</v>
      </c>
      <c r="T257" s="109">
        <v>12</v>
      </c>
      <c r="U257" s="139">
        <v>35</v>
      </c>
      <c r="V257" s="140">
        <v>420</v>
      </c>
    </row>
    <row r="258" spans="1:22" x14ac:dyDescent="0.25">
      <c r="A258" s="103">
        <v>4611</v>
      </c>
      <c r="B258" s="104" t="s">
        <v>14</v>
      </c>
      <c r="C258" s="104" t="s">
        <v>175</v>
      </c>
      <c r="D258" s="104" t="s">
        <v>82</v>
      </c>
      <c r="E258" s="104" t="s">
        <v>172</v>
      </c>
      <c r="F258" s="104">
        <v>2016</v>
      </c>
      <c r="G258" s="105">
        <v>42574.375</v>
      </c>
      <c r="H258" s="105">
        <v>42579.75</v>
      </c>
      <c r="I258" s="106">
        <v>42574</v>
      </c>
      <c r="J258" s="106">
        <v>42579</v>
      </c>
      <c r="K258" s="107" t="s">
        <v>525</v>
      </c>
      <c r="L258" s="107">
        <v>0.75</v>
      </c>
      <c r="M258" s="107" t="s">
        <v>540</v>
      </c>
      <c r="N258" s="107" t="s">
        <v>533</v>
      </c>
      <c r="O258" s="107" t="s">
        <v>524</v>
      </c>
      <c r="P258" s="104" t="s">
        <v>23</v>
      </c>
      <c r="Q258" s="104" t="s">
        <v>33</v>
      </c>
      <c r="R258" s="104" t="s">
        <v>113</v>
      </c>
      <c r="S258" s="104">
        <v>2</v>
      </c>
      <c r="T258" s="104">
        <v>11</v>
      </c>
      <c r="U258" s="137">
        <v>75</v>
      </c>
      <c r="V258" s="138">
        <v>825</v>
      </c>
    </row>
    <row r="259" spans="1:22" x14ac:dyDescent="0.25">
      <c r="A259" s="108">
        <v>4612</v>
      </c>
      <c r="B259" s="109" t="s">
        <v>14</v>
      </c>
      <c r="C259" s="109" t="s">
        <v>175</v>
      </c>
      <c r="D259" s="109" t="s">
        <v>88</v>
      </c>
      <c r="E259" s="109" t="s">
        <v>170</v>
      </c>
      <c r="F259" s="109">
        <v>2016</v>
      </c>
      <c r="G259" s="110">
        <v>42576.791666666664</v>
      </c>
      <c r="H259" s="110">
        <v>42587.958333333336</v>
      </c>
      <c r="I259" s="111">
        <v>42576</v>
      </c>
      <c r="J259" s="111">
        <v>42587</v>
      </c>
      <c r="K259" s="112" t="s">
        <v>526</v>
      </c>
      <c r="L259" s="112">
        <v>0.95833333333333337</v>
      </c>
      <c r="M259" s="112" t="s">
        <v>541</v>
      </c>
      <c r="N259" s="112" t="s">
        <v>533</v>
      </c>
      <c r="O259" s="112" t="s">
        <v>524</v>
      </c>
      <c r="P259" s="109" t="s">
        <v>9</v>
      </c>
      <c r="Q259" s="109" t="s">
        <v>18</v>
      </c>
      <c r="R259" s="109" t="s">
        <v>113</v>
      </c>
      <c r="S259" s="109">
        <v>2</v>
      </c>
      <c r="T259" s="109">
        <v>10</v>
      </c>
      <c r="U259" s="139">
        <v>42</v>
      </c>
      <c r="V259" s="140">
        <v>420</v>
      </c>
    </row>
    <row r="260" spans="1:22" x14ac:dyDescent="0.25">
      <c r="A260" s="103">
        <v>4613</v>
      </c>
      <c r="B260" s="104" t="s">
        <v>29</v>
      </c>
      <c r="C260" s="104" t="s">
        <v>177</v>
      </c>
      <c r="D260" s="104" t="s">
        <v>80</v>
      </c>
      <c r="E260" s="104" t="s">
        <v>173</v>
      </c>
      <c r="F260" s="104">
        <v>2016</v>
      </c>
      <c r="G260" s="105">
        <v>42576.791666666664</v>
      </c>
      <c r="H260" s="105">
        <v>42587.958333333336</v>
      </c>
      <c r="I260" s="106">
        <v>42576</v>
      </c>
      <c r="J260" s="106">
        <v>42587</v>
      </c>
      <c r="K260" s="107" t="s">
        <v>526</v>
      </c>
      <c r="L260" s="107">
        <v>0.95833333333333337</v>
      </c>
      <c r="M260" s="107" t="s">
        <v>541</v>
      </c>
      <c r="N260" s="107" t="s">
        <v>533</v>
      </c>
      <c r="O260" s="107" t="s">
        <v>524</v>
      </c>
      <c r="P260" s="104" t="s">
        <v>23</v>
      </c>
      <c r="Q260" s="104" t="s">
        <v>16</v>
      </c>
      <c r="R260" s="104" t="s">
        <v>109</v>
      </c>
      <c r="S260" s="104">
        <v>3</v>
      </c>
      <c r="T260" s="104">
        <v>11</v>
      </c>
      <c r="U260" s="137">
        <v>32</v>
      </c>
      <c r="V260" s="138">
        <v>352</v>
      </c>
    </row>
    <row r="261" spans="1:22" x14ac:dyDescent="0.25">
      <c r="A261" s="108">
        <v>4614</v>
      </c>
      <c r="B261" s="109" t="s">
        <v>7</v>
      </c>
      <c r="C261" s="109" t="s">
        <v>175</v>
      </c>
      <c r="D261" s="109" t="s">
        <v>79</v>
      </c>
      <c r="E261" s="109" t="s">
        <v>168</v>
      </c>
      <c r="F261" s="109">
        <v>2016</v>
      </c>
      <c r="G261" s="110">
        <v>42577.791666666664</v>
      </c>
      <c r="H261" s="110">
        <v>42590.958333333336</v>
      </c>
      <c r="I261" s="111">
        <v>42577</v>
      </c>
      <c r="J261" s="111">
        <v>42590</v>
      </c>
      <c r="K261" s="112" t="s">
        <v>526</v>
      </c>
      <c r="L261" s="112">
        <v>0.95833333333333337</v>
      </c>
      <c r="M261" s="112" t="s">
        <v>541</v>
      </c>
      <c r="N261" s="112" t="s">
        <v>533</v>
      </c>
      <c r="O261" s="112" t="s">
        <v>524</v>
      </c>
      <c r="P261" s="109" t="s">
        <v>23</v>
      </c>
      <c r="Q261" s="109" t="s">
        <v>21</v>
      </c>
      <c r="R261" s="109" t="s">
        <v>113</v>
      </c>
      <c r="S261" s="109">
        <v>5</v>
      </c>
      <c r="T261" s="109">
        <v>8</v>
      </c>
      <c r="U261" s="139">
        <v>48</v>
      </c>
      <c r="V261" s="140">
        <v>384</v>
      </c>
    </row>
    <row r="262" spans="1:22" x14ac:dyDescent="0.25">
      <c r="A262" s="103">
        <v>4615</v>
      </c>
      <c r="B262" s="104" t="s">
        <v>45</v>
      </c>
      <c r="C262" s="104" t="s">
        <v>177</v>
      </c>
      <c r="D262" s="104" t="s">
        <v>82</v>
      </c>
      <c r="E262" s="104" t="s">
        <v>172</v>
      </c>
      <c r="F262" s="104">
        <v>2016</v>
      </c>
      <c r="G262" s="105">
        <v>42578.583333333336</v>
      </c>
      <c r="H262" s="105">
        <v>42591.75</v>
      </c>
      <c r="I262" s="106">
        <v>42578</v>
      </c>
      <c r="J262" s="106">
        <v>42591</v>
      </c>
      <c r="K262" s="107" t="s">
        <v>527</v>
      </c>
      <c r="L262" s="107">
        <v>0.75</v>
      </c>
      <c r="M262" s="107" t="s">
        <v>542</v>
      </c>
      <c r="N262" s="107" t="s">
        <v>533</v>
      </c>
      <c r="O262" s="107" t="s">
        <v>524</v>
      </c>
      <c r="P262" s="104" t="s">
        <v>23</v>
      </c>
      <c r="Q262" s="104" t="s">
        <v>12</v>
      </c>
      <c r="R262" s="104" t="s">
        <v>113</v>
      </c>
      <c r="S262" s="104">
        <v>4</v>
      </c>
      <c r="T262" s="104">
        <v>10</v>
      </c>
      <c r="U262" s="137">
        <v>75</v>
      </c>
      <c r="V262" s="138">
        <v>750</v>
      </c>
    </row>
    <row r="263" spans="1:22" x14ac:dyDescent="0.25">
      <c r="A263" s="108">
        <v>4616</v>
      </c>
      <c r="B263" s="109" t="s">
        <v>39</v>
      </c>
      <c r="C263" s="109" t="s">
        <v>177</v>
      </c>
      <c r="D263" s="109" t="s">
        <v>89</v>
      </c>
      <c r="E263" s="109" t="s">
        <v>169</v>
      </c>
      <c r="F263" s="109">
        <v>2016</v>
      </c>
      <c r="G263" s="110">
        <v>42579.375</v>
      </c>
      <c r="H263" s="110">
        <v>42585.75</v>
      </c>
      <c r="I263" s="111">
        <v>42579</v>
      </c>
      <c r="J263" s="111">
        <v>42585</v>
      </c>
      <c r="K263" s="112" t="s">
        <v>525</v>
      </c>
      <c r="L263" s="112">
        <v>0.75</v>
      </c>
      <c r="M263" s="112" t="s">
        <v>540</v>
      </c>
      <c r="N263" s="112" t="s">
        <v>533</v>
      </c>
      <c r="O263" s="112" t="s">
        <v>524</v>
      </c>
      <c r="P263" s="109" t="s">
        <v>23</v>
      </c>
      <c r="Q263" s="109" t="s">
        <v>16</v>
      </c>
      <c r="R263" s="109" t="s">
        <v>109</v>
      </c>
      <c r="S263" s="109">
        <v>3</v>
      </c>
      <c r="T263" s="109">
        <v>11</v>
      </c>
      <c r="U263" s="139">
        <v>62</v>
      </c>
      <c r="V263" s="140">
        <v>682</v>
      </c>
    </row>
    <row r="264" spans="1:22" x14ac:dyDescent="0.25">
      <c r="A264" s="103">
        <v>4617</v>
      </c>
      <c r="B264" s="104" t="s">
        <v>17</v>
      </c>
      <c r="C264" s="104" t="s">
        <v>176</v>
      </c>
      <c r="D264" s="104" t="s">
        <v>77</v>
      </c>
      <c r="E264" s="104" t="s">
        <v>172</v>
      </c>
      <c r="F264" s="104">
        <v>2016</v>
      </c>
      <c r="G264" s="105">
        <v>42580.333333333336</v>
      </c>
      <c r="H264" s="105">
        <v>42593.5</v>
      </c>
      <c r="I264" s="106">
        <v>42580</v>
      </c>
      <c r="J264" s="106">
        <v>42593</v>
      </c>
      <c r="K264" s="107" t="s">
        <v>522</v>
      </c>
      <c r="L264" s="107">
        <v>0.5</v>
      </c>
      <c r="M264" s="107" t="s">
        <v>539</v>
      </c>
      <c r="N264" s="107" t="s">
        <v>533</v>
      </c>
      <c r="O264" s="107" t="s">
        <v>524</v>
      </c>
      <c r="P264" s="104" t="s">
        <v>9</v>
      </c>
      <c r="Q264" s="104" t="s">
        <v>38</v>
      </c>
      <c r="R264" s="104" t="s">
        <v>113</v>
      </c>
      <c r="S264" s="104">
        <v>4</v>
      </c>
      <c r="T264" s="104">
        <v>9</v>
      </c>
      <c r="U264" s="137">
        <v>35</v>
      </c>
      <c r="V264" s="138">
        <v>315</v>
      </c>
    </row>
    <row r="265" spans="1:22" x14ac:dyDescent="0.25">
      <c r="A265" s="108">
        <v>4618</v>
      </c>
      <c r="B265" s="109" t="s">
        <v>7</v>
      </c>
      <c r="C265" s="109" t="s">
        <v>175</v>
      </c>
      <c r="D265" s="109" t="s">
        <v>84</v>
      </c>
      <c r="E265" s="109" t="s">
        <v>172</v>
      </c>
      <c r="F265" s="109">
        <v>2016</v>
      </c>
      <c r="G265" s="110">
        <v>42581.375</v>
      </c>
      <c r="H265" s="110">
        <v>42586.75</v>
      </c>
      <c r="I265" s="111">
        <v>42581</v>
      </c>
      <c r="J265" s="111">
        <v>42586</v>
      </c>
      <c r="K265" s="112" t="s">
        <v>525</v>
      </c>
      <c r="L265" s="112">
        <v>0.75</v>
      </c>
      <c r="M265" s="112" t="s">
        <v>540</v>
      </c>
      <c r="N265" s="112" t="s">
        <v>533</v>
      </c>
      <c r="O265" s="112" t="s">
        <v>524</v>
      </c>
      <c r="P265" s="109" t="s">
        <v>23</v>
      </c>
      <c r="Q265" s="109" t="s">
        <v>33</v>
      </c>
      <c r="R265" s="109" t="s">
        <v>113</v>
      </c>
      <c r="S265" s="109">
        <v>5</v>
      </c>
      <c r="T265" s="109">
        <v>12</v>
      </c>
      <c r="U265" s="139">
        <v>52</v>
      </c>
      <c r="V265" s="140">
        <v>624</v>
      </c>
    </row>
    <row r="266" spans="1:22" x14ac:dyDescent="0.25">
      <c r="A266" s="103">
        <v>4619</v>
      </c>
      <c r="B266" s="104" t="s">
        <v>45</v>
      </c>
      <c r="C266" s="104" t="s">
        <v>177</v>
      </c>
      <c r="D266" s="104" t="s">
        <v>85</v>
      </c>
      <c r="E266" s="104" t="s">
        <v>170</v>
      </c>
      <c r="F266" s="104">
        <v>2016</v>
      </c>
      <c r="G266" s="105">
        <v>42583.791666666664</v>
      </c>
      <c r="H266" s="105">
        <v>42594.958333333336</v>
      </c>
      <c r="I266" s="106">
        <v>42583</v>
      </c>
      <c r="J266" s="106">
        <v>42594</v>
      </c>
      <c r="K266" s="107" t="s">
        <v>526</v>
      </c>
      <c r="L266" s="107">
        <v>0.95833333333333337</v>
      </c>
      <c r="M266" s="107" t="s">
        <v>541</v>
      </c>
      <c r="N266" s="107" t="s">
        <v>534</v>
      </c>
      <c r="O266" s="107" t="s">
        <v>524</v>
      </c>
      <c r="P266" s="104" t="s">
        <v>9</v>
      </c>
      <c r="Q266" s="104" t="s">
        <v>38</v>
      </c>
      <c r="R266" s="104" t="s">
        <v>113</v>
      </c>
      <c r="S266" s="104">
        <v>4</v>
      </c>
      <c r="T266" s="104">
        <v>8</v>
      </c>
      <c r="U266" s="137">
        <v>48</v>
      </c>
      <c r="V266" s="138">
        <v>384</v>
      </c>
    </row>
    <row r="267" spans="1:22" x14ac:dyDescent="0.25">
      <c r="A267" s="108">
        <v>4620</v>
      </c>
      <c r="B267" s="109" t="s">
        <v>29</v>
      </c>
      <c r="C267" s="109" t="s">
        <v>177</v>
      </c>
      <c r="D267" s="109" t="s">
        <v>84</v>
      </c>
      <c r="E267" s="109" t="s">
        <v>172</v>
      </c>
      <c r="F267" s="109">
        <v>2016</v>
      </c>
      <c r="G267" s="110">
        <v>42583.791666666664</v>
      </c>
      <c r="H267" s="110">
        <v>42594.958333333336</v>
      </c>
      <c r="I267" s="111">
        <v>42583</v>
      </c>
      <c r="J267" s="111">
        <v>42594</v>
      </c>
      <c r="K267" s="112" t="s">
        <v>526</v>
      </c>
      <c r="L267" s="112">
        <v>0.95833333333333337</v>
      </c>
      <c r="M267" s="112" t="s">
        <v>541</v>
      </c>
      <c r="N267" s="112" t="s">
        <v>534</v>
      </c>
      <c r="O267" s="112" t="s">
        <v>524</v>
      </c>
      <c r="P267" s="109" t="s">
        <v>23</v>
      </c>
      <c r="Q267" s="109" t="s">
        <v>16</v>
      </c>
      <c r="R267" s="109" t="s">
        <v>109</v>
      </c>
      <c r="S267" s="109">
        <v>2</v>
      </c>
      <c r="T267" s="109">
        <v>12</v>
      </c>
      <c r="U267" s="139">
        <v>52</v>
      </c>
      <c r="V267" s="140">
        <v>624</v>
      </c>
    </row>
    <row r="268" spans="1:22" x14ac:dyDescent="0.25">
      <c r="A268" s="103">
        <v>4621</v>
      </c>
      <c r="B268" s="104" t="s">
        <v>45</v>
      </c>
      <c r="C268" s="104" t="s">
        <v>177</v>
      </c>
      <c r="D268" s="104" t="s">
        <v>77</v>
      </c>
      <c r="E268" s="104" t="s">
        <v>172</v>
      </c>
      <c r="F268" s="104">
        <v>2016</v>
      </c>
      <c r="G268" s="105">
        <v>42584.791666666664</v>
      </c>
      <c r="H268" s="105">
        <v>42597.958333333336</v>
      </c>
      <c r="I268" s="106">
        <v>42584</v>
      </c>
      <c r="J268" s="106">
        <v>42597</v>
      </c>
      <c r="K268" s="107" t="s">
        <v>526</v>
      </c>
      <c r="L268" s="107">
        <v>0.95833333333333337</v>
      </c>
      <c r="M268" s="107" t="s">
        <v>541</v>
      </c>
      <c r="N268" s="107" t="s">
        <v>534</v>
      </c>
      <c r="O268" s="107" t="s">
        <v>524</v>
      </c>
      <c r="P268" s="104" t="s">
        <v>9</v>
      </c>
      <c r="Q268" s="104" t="s">
        <v>31</v>
      </c>
      <c r="R268" s="104" t="s">
        <v>113</v>
      </c>
      <c r="S268" s="104">
        <v>3</v>
      </c>
      <c r="T268" s="104">
        <v>8</v>
      </c>
      <c r="U268" s="137">
        <v>35</v>
      </c>
      <c r="V268" s="138">
        <v>280</v>
      </c>
    </row>
    <row r="269" spans="1:22" x14ac:dyDescent="0.25">
      <c r="A269" s="108">
        <v>4622</v>
      </c>
      <c r="B269" s="109" t="s">
        <v>29</v>
      </c>
      <c r="C269" s="109" t="s">
        <v>177</v>
      </c>
      <c r="D269" s="109" t="s">
        <v>80</v>
      </c>
      <c r="E269" s="109" t="s">
        <v>173</v>
      </c>
      <c r="F269" s="109">
        <v>2016</v>
      </c>
      <c r="G269" s="110">
        <v>42585.583333333336</v>
      </c>
      <c r="H269" s="110">
        <v>42598.75</v>
      </c>
      <c r="I269" s="111">
        <v>42585</v>
      </c>
      <c r="J269" s="111">
        <v>42598</v>
      </c>
      <c r="K269" s="112" t="s">
        <v>527</v>
      </c>
      <c r="L269" s="112">
        <v>0.75</v>
      </c>
      <c r="M269" s="112" t="s">
        <v>542</v>
      </c>
      <c r="N269" s="112" t="s">
        <v>534</v>
      </c>
      <c r="O269" s="112" t="s">
        <v>524</v>
      </c>
      <c r="P269" s="109" t="s">
        <v>23</v>
      </c>
      <c r="Q269" s="109" t="s">
        <v>38</v>
      </c>
      <c r="R269" s="109" t="s">
        <v>113</v>
      </c>
      <c r="S269" s="109">
        <v>3</v>
      </c>
      <c r="T269" s="109">
        <v>10</v>
      </c>
      <c r="U269" s="139">
        <v>32</v>
      </c>
      <c r="V269" s="140">
        <v>320</v>
      </c>
    </row>
    <row r="270" spans="1:22" x14ac:dyDescent="0.25">
      <c r="A270" s="103">
        <v>4623</v>
      </c>
      <c r="B270" s="104" t="s">
        <v>7</v>
      </c>
      <c r="C270" s="104" t="s">
        <v>175</v>
      </c>
      <c r="D270" s="104" t="s">
        <v>86</v>
      </c>
      <c r="E270" s="104" t="s">
        <v>169</v>
      </c>
      <c r="F270" s="104">
        <v>2016</v>
      </c>
      <c r="G270" s="105">
        <v>42586.375</v>
      </c>
      <c r="H270" s="105">
        <v>42592.75</v>
      </c>
      <c r="I270" s="106">
        <v>42586</v>
      </c>
      <c r="J270" s="106">
        <v>42592</v>
      </c>
      <c r="K270" s="107" t="s">
        <v>525</v>
      </c>
      <c r="L270" s="107">
        <v>0.75</v>
      </c>
      <c r="M270" s="107" t="s">
        <v>540</v>
      </c>
      <c r="N270" s="107" t="s">
        <v>534</v>
      </c>
      <c r="O270" s="107" t="s">
        <v>524</v>
      </c>
      <c r="P270" s="104" t="s">
        <v>9</v>
      </c>
      <c r="Q270" s="104" t="s">
        <v>190</v>
      </c>
      <c r="R270" s="104" t="s">
        <v>109</v>
      </c>
      <c r="S270" s="104" t="s">
        <v>191</v>
      </c>
      <c r="T270" s="104">
        <v>12</v>
      </c>
      <c r="U270" s="137">
        <v>48</v>
      </c>
      <c r="V270" s="138">
        <v>576</v>
      </c>
    </row>
    <row r="271" spans="1:22" x14ac:dyDescent="0.25">
      <c r="A271" s="108">
        <v>4624</v>
      </c>
      <c r="B271" s="109" t="s">
        <v>17</v>
      </c>
      <c r="C271" s="109" t="s">
        <v>176</v>
      </c>
      <c r="D271" s="109" t="s">
        <v>85</v>
      </c>
      <c r="E271" s="109" t="s">
        <v>170</v>
      </c>
      <c r="F271" s="109">
        <v>2016</v>
      </c>
      <c r="G271" s="110">
        <v>42587.333333333336</v>
      </c>
      <c r="H271" s="110">
        <v>42600.5</v>
      </c>
      <c r="I271" s="111">
        <v>42587</v>
      </c>
      <c r="J271" s="111">
        <v>42600</v>
      </c>
      <c r="K271" s="112" t="s">
        <v>522</v>
      </c>
      <c r="L271" s="112">
        <v>0.5</v>
      </c>
      <c r="M271" s="112" t="s">
        <v>539</v>
      </c>
      <c r="N271" s="112" t="s">
        <v>534</v>
      </c>
      <c r="O271" s="112" t="s">
        <v>524</v>
      </c>
      <c r="P271" s="109" t="s">
        <v>9</v>
      </c>
      <c r="Q271" s="109" t="s">
        <v>44</v>
      </c>
      <c r="R271" s="109" t="s">
        <v>113</v>
      </c>
      <c r="S271" s="109">
        <v>5</v>
      </c>
      <c r="T271" s="109">
        <v>9</v>
      </c>
      <c r="U271" s="139">
        <v>48</v>
      </c>
      <c r="V271" s="140">
        <v>432</v>
      </c>
    </row>
    <row r="272" spans="1:22" x14ac:dyDescent="0.25">
      <c r="A272" s="103">
        <v>4625</v>
      </c>
      <c r="B272" s="104" t="s">
        <v>29</v>
      </c>
      <c r="C272" s="104" t="s">
        <v>177</v>
      </c>
      <c r="D272" s="104" t="s">
        <v>86</v>
      </c>
      <c r="E272" s="104" t="s">
        <v>169</v>
      </c>
      <c r="F272" s="104">
        <v>2016</v>
      </c>
      <c r="G272" s="105">
        <v>42588.375</v>
      </c>
      <c r="H272" s="105">
        <v>42593.75</v>
      </c>
      <c r="I272" s="106">
        <v>42588</v>
      </c>
      <c r="J272" s="106">
        <v>42593</v>
      </c>
      <c r="K272" s="107" t="s">
        <v>525</v>
      </c>
      <c r="L272" s="107">
        <v>0.75</v>
      </c>
      <c r="M272" s="107" t="s">
        <v>540</v>
      </c>
      <c r="N272" s="107" t="s">
        <v>534</v>
      </c>
      <c r="O272" s="107" t="s">
        <v>524</v>
      </c>
      <c r="P272" s="104" t="s">
        <v>9</v>
      </c>
      <c r="Q272" s="104" t="s">
        <v>190</v>
      </c>
      <c r="R272" s="104" t="s">
        <v>109</v>
      </c>
      <c r="S272" s="104">
        <v>5</v>
      </c>
      <c r="T272" s="104">
        <v>12</v>
      </c>
      <c r="U272" s="137">
        <v>48</v>
      </c>
      <c r="V272" s="138">
        <v>576</v>
      </c>
    </row>
    <row r="273" spans="1:22" x14ac:dyDescent="0.25">
      <c r="A273" s="108">
        <v>4626</v>
      </c>
      <c r="B273" s="109" t="s">
        <v>11</v>
      </c>
      <c r="C273" s="109" t="s">
        <v>175</v>
      </c>
      <c r="D273" s="109" t="s">
        <v>88</v>
      </c>
      <c r="E273" s="109" t="s">
        <v>170</v>
      </c>
      <c r="F273" s="109">
        <v>2016</v>
      </c>
      <c r="G273" s="110">
        <v>42590.791666666664</v>
      </c>
      <c r="H273" s="110">
        <v>42601.958333333336</v>
      </c>
      <c r="I273" s="111">
        <v>42590</v>
      </c>
      <c r="J273" s="111">
        <v>42601</v>
      </c>
      <c r="K273" s="112" t="s">
        <v>526</v>
      </c>
      <c r="L273" s="112">
        <v>0.95833333333333337</v>
      </c>
      <c r="M273" s="112" t="s">
        <v>541</v>
      </c>
      <c r="N273" s="112" t="s">
        <v>534</v>
      </c>
      <c r="O273" s="112" t="s">
        <v>524</v>
      </c>
      <c r="P273" s="109" t="s">
        <v>23</v>
      </c>
      <c r="Q273" s="109" t="s">
        <v>28</v>
      </c>
      <c r="R273" s="109" t="s">
        <v>109</v>
      </c>
      <c r="S273" s="109">
        <v>5</v>
      </c>
      <c r="T273" s="109">
        <v>9</v>
      </c>
      <c r="U273" s="139">
        <v>42</v>
      </c>
      <c r="V273" s="140">
        <v>378</v>
      </c>
    </row>
    <row r="274" spans="1:22" x14ac:dyDescent="0.25">
      <c r="A274" s="103">
        <v>4627</v>
      </c>
      <c r="B274" s="104" t="s">
        <v>14</v>
      </c>
      <c r="C274" s="104" t="s">
        <v>175</v>
      </c>
      <c r="D274" s="104" t="s">
        <v>88</v>
      </c>
      <c r="E274" s="104" t="s">
        <v>170</v>
      </c>
      <c r="F274" s="104">
        <v>2016</v>
      </c>
      <c r="G274" s="105">
        <v>42590.791666666664</v>
      </c>
      <c r="H274" s="105">
        <v>42601.958333333336</v>
      </c>
      <c r="I274" s="106">
        <v>42590</v>
      </c>
      <c r="J274" s="106">
        <v>42601</v>
      </c>
      <c r="K274" s="107" t="s">
        <v>526</v>
      </c>
      <c r="L274" s="107">
        <v>0.95833333333333337</v>
      </c>
      <c r="M274" s="107" t="s">
        <v>541</v>
      </c>
      <c r="N274" s="107" t="s">
        <v>534</v>
      </c>
      <c r="O274" s="107" t="s">
        <v>524</v>
      </c>
      <c r="P274" s="104" t="s">
        <v>9</v>
      </c>
      <c r="Q274" s="104" t="s">
        <v>33</v>
      </c>
      <c r="R274" s="104" t="s">
        <v>113</v>
      </c>
      <c r="S274" s="104">
        <v>4</v>
      </c>
      <c r="T274" s="104">
        <v>12</v>
      </c>
      <c r="U274" s="137">
        <v>42</v>
      </c>
      <c r="V274" s="138">
        <v>504</v>
      </c>
    </row>
    <row r="275" spans="1:22" x14ac:dyDescent="0.25">
      <c r="A275" s="108">
        <v>4628</v>
      </c>
      <c r="B275" s="109" t="s">
        <v>7</v>
      </c>
      <c r="C275" s="109" t="s">
        <v>175</v>
      </c>
      <c r="D275" s="109" t="s">
        <v>83</v>
      </c>
      <c r="E275" s="109" t="s">
        <v>174</v>
      </c>
      <c r="F275" s="109">
        <v>2016</v>
      </c>
      <c r="G275" s="110">
        <v>42591.791666666664</v>
      </c>
      <c r="H275" s="110">
        <v>42604.958333333336</v>
      </c>
      <c r="I275" s="111">
        <v>42591</v>
      </c>
      <c r="J275" s="111">
        <v>42604</v>
      </c>
      <c r="K275" s="112" t="s">
        <v>526</v>
      </c>
      <c r="L275" s="112">
        <v>0.95833333333333337</v>
      </c>
      <c r="M275" s="112" t="s">
        <v>541</v>
      </c>
      <c r="N275" s="112" t="s">
        <v>534</v>
      </c>
      <c r="O275" s="112" t="s">
        <v>524</v>
      </c>
      <c r="P275" s="109" t="s">
        <v>9</v>
      </c>
      <c r="Q275" s="109" t="s">
        <v>31</v>
      </c>
      <c r="R275" s="109" t="s">
        <v>113</v>
      </c>
      <c r="S275" s="109">
        <v>2</v>
      </c>
      <c r="T275" s="109">
        <v>9</v>
      </c>
      <c r="U275" s="139">
        <v>63</v>
      </c>
      <c r="V275" s="140">
        <v>567</v>
      </c>
    </row>
    <row r="276" spans="1:22" x14ac:dyDescent="0.25">
      <c r="A276" s="103">
        <v>4629</v>
      </c>
      <c r="B276" s="104" t="s">
        <v>39</v>
      </c>
      <c r="C276" s="104" t="s">
        <v>177</v>
      </c>
      <c r="D276" s="104" t="s">
        <v>79</v>
      </c>
      <c r="E276" s="104" t="s">
        <v>168</v>
      </c>
      <c r="F276" s="104">
        <v>2016</v>
      </c>
      <c r="G276" s="105">
        <v>42592.583333333336</v>
      </c>
      <c r="H276" s="105">
        <v>42605.75</v>
      </c>
      <c r="I276" s="106">
        <v>42592</v>
      </c>
      <c r="J276" s="106">
        <v>42605</v>
      </c>
      <c r="K276" s="107" t="s">
        <v>527</v>
      </c>
      <c r="L276" s="107">
        <v>0.75</v>
      </c>
      <c r="M276" s="107" t="s">
        <v>542</v>
      </c>
      <c r="N276" s="107" t="s">
        <v>534</v>
      </c>
      <c r="O276" s="107" t="s">
        <v>524</v>
      </c>
      <c r="P276" s="104" t="s">
        <v>23</v>
      </c>
      <c r="Q276" s="104" t="s">
        <v>190</v>
      </c>
      <c r="R276" s="104" t="s">
        <v>109</v>
      </c>
      <c r="S276" s="104">
        <v>4</v>
      </c>
      <c r="T276" s="104">
        <v>9</v>
      </c>
      <c r="U276" s="137">
        <v>48</v>
      </c>
      <c r="V276" s="138">
        <v>432</v>
      </c>
    </row>
    <row r="277" spans="1:22" x14ac:dyDescent="0.25">
      <c r="A277" s="108">
        <v>4630</v>
      </c>
      <c r="B277" s="109" t="s">
        <v>22</v>
      </c>
      <c r="C277" s="109" t="s">
        <v>176</v>
      </c>
      <c r="D277" s="109" t="s">
        <v>81</v>
      </c>
      <c r="E277" s="109" t="s">
        <v>172</v>
      </c>
      <c r="F277" s="109">
        <v>2016</v>
      </c>
      <c r="G277" s="110">
        <v>42593.375</v>
      </c>
      <c r="H277" s="110">
        <v>42599.75</v>
      </c>
      <c r="I277" s="111">
        <v>42593</v>
      </c>
      <c r="J277" s="111">
        <v>42599</v>
      </c>
      <c r="K277" s="112" t="s">
        <v>525</v>
      </c>
      <c r="L277" s="112">
        <v>0.75</v>
      </c>
      <c r="M277" s="112" t="s">
        <v>540</v>
      </c>
      <c r="N277" s="112" t="s">
        <v>534</v>
      </c>
      <c r="O277" s="112" t="s">
        <v>524</v>
      </c>
      <c r="P277" s="109" t="s">
        <v>23</v>
      </c>
      <c r="Q277" s="109" t="s">
        <v>37</v>
      </c>
      <c r="R277" s="109" t="s">
        <v>113</v>
      </c>
      <c r="S277" s="109">
        <v>3</v>
      </c>
      <c r="T277" s="109">
        <v>9</v>
      </c>
      <c r="U277" s="139">
        <v>43</v>
      </c>
      <c r="V277" s="140">
        <v>387</v>
      </c>
    </row>
    <row r="278" spans="1:22" x14ac:dyDescent="0.25">
      <c r="A278" s="103">
        <v>4631</v>
      </c>
      <c r="B278" s="104" t="s">
        <v>29</v>
      </c>
      <c r="C278" s="104" t="s">
        <v>177</v>
      </c>
      <c r="D278" s="104" t="s">
        <v>80</v>
      </c>
      <c r="E278" s="104" t="s">
        <v>173</v>
      </c>
      <c r="F278" s="104">
        <v>2016</v>
      </c>
      <c r="G278" s="105">
        <v>42594.333333333336</v>
      </c>
      <c r="H278" s="105">
        <v>42607.5</v>
      </c>
      <c r="I278" s="106">
        <v>42594</v>
      </c>
      <c r="J278" s="106">
        <v>42607</v>
      </c>
      <c r="K278" s="107" t="s">
        <v>522</v>
      </c>
      <c r="L278" s="107">
        <v>0.5</v>
      </c>
      <c r="M278" s="107" t="s">
        <v>539</v>
      </c>
      <c r="N278" s="107" t="s">
        <v>534</v>
      </c>
      <c r="O278" s="107" t="s">
        <v>524</v>
      </c>
      <c r="P278" s="104" t="s">
        <v>23</v>
      </c>
      <c r="Q278" s="104" t="s">
        <v>22</v>
      </c>
      <c r="R278" s="104" t="s">
        <v>109</v>
      </c>
      <c r="S278" s="104">
        <v>2</v>
      </c>
      <c r="T278" s="104">
        <v>8</v>
      </c>
      <c r="U278" s="137">
        <v>32</v>
      </c>
      <c r="V278" s="138">
        <v>256</v>
      </c>
    </row>
    <row r="279" spans="1:22" x14ac:dyDescent="0.25">
      <c r="A279" s="108">
        <v>4632</v>
      </c>
      <c r="B279" s="109" t="s">
        <v>7</v>
      </c>
      <c r="C279" s="109" t="s">
        <v>175</v>
      </c>
      <c r="D279" s="109" t="s">
        <v>84</v>
      </c>
      <c r="E279" s="109" t="s">
        <v>172</v>
      </c>
      <c r="F279" s="109">
        <v>2016</v>
      </c>
      <c r="G279" s="110">
        <v>42595.375</v>
      </c>
      <c r="H279" s="110">
        <v>42600.75</v>
      </c>
      <c r="I279" s="111">
        <v>42595</v>
      </c>
      <c r="J279" s="111">
        <v>42600</v>
      </c>
      <c r="K279" s="112" t="s">
        <v>525</v>
      </c>
      <c r="L279" s="112">
        <v>0.75</v>
      </c>
      <c r="M279" s="112" t="s">
        <v>540</v>
      </c>
      <c r="N279" s="112" t="s">
        <v>534</v>
      </c>
      <c r="O279" s="112" t="s">
        <v>524</v>
      </c>
      <c r="P279" s="109" t="s">
        <v>23</v>
      </c>
      <c r="Q279" s="109" t="s">
        <v>41</v>
      </c>
      <c r="R279" s="109" t="s">
        <v>113</v>
      </c>
      <c r="S279" s="109">
        <v>4</v>
      </c>
      <c r="T279" s="109">
        <v>11</v>
      </c>
      <c r="U279" s="139">
        <v>52</v>
      </c>
      <c r="V279" s="140">
        <v>572</v>
      </c>
    </row>
    <row r="280" spans="1:22" x14ac:dyDescent="0.25">
      <c r="A280" s="103">
        <v>4633</v>
      </c>
      <c r="B280" s="104" t="s">
        <v>19</v>
      </c>
      <c r="C280" s="104" t="s">
        <v>176</v>
      </c>
      <c r="D280" s="104" t="s">
        <v>80</v>
      </c>
      <c r="E280" s="104" t="s">
        <v>173</v>
      </c>
      <c r="F280" s="104">
        <v>2016</v>
      </c>
      <c r="G280" s="105">
        <v>42597.791666666664</v>
      </c>
      <c r="H280" s="105">
        <v>42608.958333333336</v>
      </c>
      <c r="I280" s="106">
        <v>42597</v>
      </c>
      <c r="J280" s="106">
        <v>42608</v>
      </c>
      <c r="K280" s="107" t="s">
        <v>526</v>
      </c>
      <c r="L280" s="107">
        <v>0.95833333333333337</v>
      </c>
      <c r="M280" s="107" t="s">
        <v>541</v>
      </c>
      <c r="N280" s="107" t="s">
        <v>534</v>
      </c>
      <c r="O280" s="107" t="s">
        <v>524</v>
      </c>
      <c r="P280" s="104" t="s">
        <v>9</v>
      </c>
      <c r="Q280" s="104" t="s">
        <v>26</v>
      </c>
      <c r="R280" s="104" t="s">
        <v>113</v>
      </c>
      <c r="S280" s="104">
        <v>5</v>
      </c>
      <c r="T280" s="104">
        <v>12</v>
      </c>
      <c r="U280" s="137">
        <v>32</v>
      </c>
      <c r="V280" s="138">
        <v>384</v>
      </c>
    </row>
    <row r="281" spans="1:22" x14ac:dyDescent="0.25">
      <c r="A281" s="108">
        <v>4634</v>
      </c>
      <c r="B281" s="109" t="s">
        <v>45</v>
      </c>
      <c r="C281" s="109" t="s">
        <v>177</v>
      </c>
      <c r="D281" s="109" t="s">
        <v>77</v>
      </c>
      <c r="E281" s="109" t="s">
        <v>172</v>
      </c>
      <c r="F281" s="109">
        <v>2016</v>
      </c>
      <c r="G281" s="110">
        <v>42597.791666666664</v>
      </c>
      <c r="H281" s="110">
        <v>42608.958333333336</v>
      </c>
      <c r="I281" s="111">
        <v>42597</v>
      </c>
      <c r="J281" s="111">
        <v>42608</v>
      </c>
      <c r="K281" s="112" t="s">
        <v>526</v>
      </c>
      <c r="L281" s="112">
        <v>0.95833333333333337</v>
      </c>
      <c r="M281" s="112" t="s">
        <v>541</v>
      </c>
      <c r="N281" s="112" t="s">
        <v>534</v>
      </c>
      <c r="O281" s="112" t="s">
        <v>524</v>
      </c>
      <c r="P281" s="109" t="s">
        <v>9</v>
      </c>
      <c r="Q281" s="109" t="s">
        <v>16</v>
      </c>
      <c r="R281" s="109" t="s">
        <v>109</v>
      </c>
      <c r="S281" s="109">
        <v>5</v>
      </c>
      <c r="T281" s="109">
        <v>12</v>
      </c>
      <c r="U281" s="139">
        <v>35</v>
      </c>
      <c r="V281" s="140">
        <v>420</v>
      </c>
    </row>
    <row r="282" spans="1:22" x14ac:dyDescent="0.25">
      <c r="A282" s="103">
        <v>4635</v>
      </c>
      <c r="B282" s="104" t="s">
        <v>19</v>
      </c>
      <c r="C282" s="104" t="s">
        <v>176</v>
      </c>
      <c r="D282" s="104" t="s">
        <v>80</v>
      </c>
      <c r="E282" s="104" t="s">
        <v>173</v>
      </c>
      <c r="F282" s="104">
        <v>2016</v>
      </c>
      <c r="G282" s="105">
        <v>42598.791666666664</v>
      </c>
      <c r="H282" s="105">
        <v>42611.958333333336</v>
      </c>
      <c r="I282" s="106">
        <v>42598</v>
      </c>
      <c r="J282" s="106">
        <v>42611</v>
      </c>
      <c r="K282" s="107" t="s">
        <v>526</v>
      </c>
      <c r="L282" s="107">
        <v>0.95833333333333337</v>
      </c>
      <c r="M282" s="107" t="s">
        <v>541</v>
      </c>
      <c r="N282" s="107" t="s">
        <v>534</v>
      </c>
      <c r="O282" s="107" t="s">
        <v>524</v>
      </c>
      <c r="P282" s="104" t="s">
        <v>23</v>
      </c>
      <c r="Q282" s="104" t="s">
        <v>26</v>
      </c>
      <c r="R282" s="104" t="s">
        <v>113</v>
      </c>
      <c r="S282" s="104">
        <v>3</v>
      </c>
      <c r="T282" s="104">
        <v>12</v>
      </c>
      <c r="U282" s="137">
        <v>32</v>
      </c>
      <c r="V282" s="138">
        <v>384</v>
      </c>
    </row>
    <row r="283" spans="1:22" x14ac:dyDescent="0.25">
      <c r="A283" s="108">
        <v>4636</v>
      </c>
      <c r="B283" s="109" t="s">
        <v>7</v>
      </c>
      <c r="C283" s="109" t="s">
        <v>175</v>
      </c>
      <c r="D283" s="109" t="s">
        <v>89</v>
      </c>
      <c r="E283" s="109" t="s">
        <v>169</v>
      </c>
      <c r="F283" s="109">
        <v>2016</v>
      </c>
      <c r="G283" s="110">
        <v>42599.583333333336</v>
      </c>
      <c r="H283" s="110">
        <v>42612.75</v>
      </c>
      <c r="I283" s="111">
        <v>42599</v>
      </c>
      <c r="J283" s="111">
        <v>42612</v>
      </c>
      <c r="K283" s="112" t="s">
        <v>527</v>
      </c>
      <c r="L283" s="112">
        <v>0.75</v>
      </c>
      <c r="M283" s="112" t="s">
        <v>542</v>
      </c>
      <c r="N283" s="112" t="s">
        <v>534</v>
      </c>
      <c r="O283" s="112" t="s">
        <v>524</v>
      </c>
      <c r="P283" s="109" t="s">
        <v>23</v>
      </c>
      <c r="Q283" s="109" t="s">
        <v>16</v>
      </c>
      <c r="R283" s="109" t="s">
        <v>109</v>
      </c>
      <c r="S283" s="109">
        <v>3</v>
      </c>
      <c r="T283" s="109">
        <v>8</v>
      </c>
      <c r="U283" s="139">
        <v>62</v>
      </c>
      <c r="V283" s="140">
        <v>496</v>
      </c>
    </row>
    <row r="284" spans="1:22" x14ac:dyDescent="0.25">
      <c r="A284" s="103">
        <v>4637</v>
      </c>
      <c r="B284" s="104" t="s">
        <v>17</v>
      </c>
      <c r="C284" s="104" t="s">
        <v>176</v>
      </c>
      <c r="D284" s="104" t="s">
        <v>81</v>
      </c>
      <c r="E284" s="104" t="s">
        <v>172</v>
      </c>
      <c r="F284" s="104">
        <v>2016</v>
      </c>
      <c r="G284" s="105">
        <v>42600.375</v>
      </c>
      <c r="H284" s="105">
        <v>42606.75</v>
      </c>
      <c r="I284" s="106">
        <v>42600</v>
      </c>
      <c r="J284" s="106">
        <v>42606</v>
      </c>
      <c r="K284" s="107" t="s">
        <v>525</v>
      </c>
      <c r="L284" s="107">
        <v>0.75</v>
      </c>
      <c r="M284" s="107" t="s">
        <v>540</v>
      </c>
      <c r="N284" s="107" t="s">
        <v>534</v>
      </c>
      <c r="O284" s="107" t="s">
        <v>524</v>
      </c>
      <c r="P284" s="104" t="s">
        <v>23</v>
      </c>
      <c r="Q284" s="104" t="s">
        <v>33</v>
      </c>
      <c r="R284" s="104" t="s">
        <v>113</v>
      </c>
      <c r="S284" s="104">
        <v>4</v>
      </c>
      <c r="T284" s="104">
        <v>9</v>
      </c>
      <c r="U284" s="137">
        <v>43</v>
      </c>
      <c r="V284" s="138">
        <v>387</v>
      </c>
    </row>
    <row r="285" spans="1:22" x14ac:dyDescent="0.25">
      <c r="A285" s="108">
        <v>4638</v>
      </c>
      <c r="B285" s="109" t="s">
        <v>22</v>
      </c>
      <c r="C285" s="109" t="s">
        <v>176</v>
      </c>
      <c r="D285" s="109" t="s">
        <v>88</v>
      </c>
      <c r="E285" s="109" t="s">
        <v>170</v>
      </c>
      <c r="F285" s="109">
        <v>2016</v>
      </c>
      <c r="G285" s="110">
        <v>42601.333333333336</v>
      </c>
      <c r="H285" s="110">
        <v>42614.5</v>
      </c>
      <c r="I285" s="111">
        <v>42601</v>
      </c>
      <c r="J285" s="111">
        <v>42614</v>
      </c>
      <c r="K285" s="112" t="s">
        <v>522</v>
      </c>
      <c r="L285" s="112">
        <v>0.5</v>
      </c>
      <c r="M285" s="112" t="s">
        <v>539</v>
      </c>
      <c r="N285" s="112" t="s">
        <v>534</v>
      </c>
      <c r="O285" s="112" t="s">
        <v>524</v>
      </c>
      <c r="P285" s="109" t="s">
        <v>9</v>
      </c>
      <c r="Q285" s="109" t="s">
        <v>190</v>
      </c>
      <c r="R285" s="109" t="s">
        <v>109</v>
      </c>
      <c r="S285" s="109">
        <v>2</v>
      </c>
      <c r="T285" s="109">
        <v>8</v>
      </c>
      <c r="U285" s="139">
        <v>42</v>
      </c>
      <c r="V285" s="140">
        <v>336</v>
      </c>
    </row>
    <row r="286" spans="1:22" x14ac:dyDescent="0.25">
      <c r="A286" s="103">
        <v>4639</v>
      </c>
      <c r="B286" s="104" t="s">
        <v>29</v>
      </c>
      <c r="C286" s="104" t="s">
        <v>177</v>
      </c>
      <c r="D286" s="104" t="s">
        <v>85</v>
      </c>
      <c r="E286" s="104" t="s">
        <v>170</v>
      </c>
      <c r="F286" s="104">
        <v>2016</v>
      </c>
      <c r="G286" s="105">
        <v>42602.375</v>
      </c>
      <c r="H286" s="105">
        <v>42607.75</v>
      </c>
      <c r="I286" s="106">
        <v>42602</v>
      </c>
      <c r="J286" s="106">
        <v>42607</v>
      </c>
      <c r="K286" s="107" t="s">
        <v>525</v>
      </c>
      <c r="L286" s="107">
        <v>0.75</v>
      </c>
      <c r="M286" s="107" t="s">
        <v>540</v>
      </c>
      <c r="N286" s="107" t="s">
        <v>534</v>
      </c>
      <c r="O286" s="107" t="s">
        <v>524</v>
      </c>
      <c r="P286" s="104" t="s">
        <v>9</v>
      </c>
      <c r="Q286" s="104" t="s">
        <v>33</v>
      </c>
      <c r="R286" s="104" t="s">
        <v>113</v>
      </c>
      <c r="S286" s="104">
        <v>4</v>
      </c>
      <c r="T286" s="104">
        <v>9</v>
      </c>
      <c r="U286" s="137">
        <v>48</v>
      </c>
      <c r="V286" s="138">
        <v>432</v>
      </c>
    </row>
    <row r="287" spans="1:22" x14ac:dyDescent="0.25">
      <c r="A287" s="108">
        <v>4640</v>
      </c>
      <c r="B287" s="109" t="s">
        <v>11</v>
      </c>
      <c r="C287" s="109" t="s">
        <v>175</v>
      </c>
      <c r="D287" s="109" t="s">
        <v>88</v>
      </c>
      <c r="E287" s="109" t="s">
        <v>170</v>
      </c>
      <c r="F287" s="109">
        <v>2016</v>
      </c>
      <c r="G287" s="110">
        <v>42604.791666666664</v>
      </c>
      <c r="H287" s="110">
        <v>42615.958333333336</v>
      </c>
      <c r="I287" s="111">
        <v>42604</v>
      </c>
      <c r="J287" s="111">
        <v>42615</v>
      </c>
      <c r="K287" s="112" t="s">
        <v>526</v>
      </c>
      <c r="L287" s="112">
        <v>0.95833333333333337</v>
      </c>
      <c r="M287" s="112" t="s">
        <v>541</v>
      </c>
      <c r="N287" s="112" t="s">
        <v>534</v>
      </c>
      <c r="O287" s="112" t="s">
        <v>524</v>
      </c>
      <c r="P287" s="109" t="s">
        <v>9</v>
      </c>
      <c r="Q287" s="109" t="s">
        <v>16</v>
      </c>
      <c r="R287" s="109" t="s">
        <v>109</v>
      </c>
      <c r="S287" s="109">
        <v>3</v>
      </c>
      <c r="T287" s="109">
        <v>11</v>
      </c>
      <c r="U287" s="139">
        <v>42</v>
      </c>
      <c r="V287" s="140">
        <v>462</v>
      </c>
    </row>
    <row r="288" spans="1:22" x14ac:dyDescent="0.25">
      <c r="A288" s="103">
        <v>4641</v>
      </c>
      <c r="B288" s="104" t="s">
        <v>29</v>
      </c>
      <c r="C288" s="104" t="s">
        <v>177</v>
      </c>
      <c r="D288" s="104" t="s">
        <v>77</v>
      </c>
      <c r="E288" s="104" t="s">
        <v>172</v>
      </c>
      <c r="F288" s="104">
        <v>2016</v>
      </c>
      <c r="G288" s="105">
        <v>42604.791666666664</v>
      </c>
      <c r="H288" s="105">
        <v>42615.958333333336</v>
      </c>
      <c r="I288" s="106">
        <v>42604</v>
      </c>
      <c r="J288" s="106">
        <v>42615</v>
      </c>
      <c r="K288" s="107" t="s">
        <v>526</v>
      </c>
      <c r="L288" s="107">
        <v>0.95833333333333337</v>
      </c>
      <c r="M288" s="107" t="s">
        <v>541</v>
      </c>
      <c r="N288" s="107" t="s">
        <v>534</v>
      </c>
      <c r="O288" s="107" t="s">
        <v>524</v>
      </c>
      <c r="P288" s="104" t="s">
        <v>9</v>
      </c>
      <c r="Q288" s="104" t="s">
        <v>28</v>
      </c>
      <c r="R288" s="104" t="s">
        <v>109</v>
      </c>
      <c r="S288" s="104">
        <v>4</v>
      </c>
      <c r="T288" s="104">
        <v>11</v>
      </c>
      <c r="U288" s="137">
        <v>35</v>
      </c>
      <c r="V288" s="138">
        <v>385</v>
      </c>
    </row>
    <row r="289" spans="1:22" x14ac:dyDescent="0.25">
      <c r="A289" s="108">
        <v>4642</v>
      </c>
      <c r="B289" s="109" t="s">
        <v>39</v>
      </c>
      <c r="C289" s="109" t="s">
        <v>177</v>
      </c>
      <c r="D289" s="109" t="s">
        <v>76</v>
      </c>
      <c r="E289" s="109" t="s">
        <v>174</v>
      </c>
      <c r="F289" s="109">
        <v>2016</v>
      </c>
      <c r="G289" s="110">
        <v>42605.791666666664</v>
      </c>
      <c r="H289" s="110">
        <v>42618.958333333336</v>
      </c>
      <c r="I289" s="111">
        <v>42605</v>
      </c>
      <c r="J289" s="111">
        <v>42618</v>
      </c>
      <c r="K289" s="112" t="s">
        <v>526</v>
      </c>
      <c r="L289" s="112">
        <v>0.95833333333333337</v>
      </c>
      <c r="M289" s="112" t="s">
        <v>541</v>
      </c>
      <c r="N289" s="112" t="s">
        <v>534</v>
      </c>
      <c r="O289" s="112" t="s">
        <v>524</v>
      </c>
      <c r="P289" s="109" t="s">
        <v>9</v>
      </c>
      <c r="Q289" s="109" t="s">
        <v>31</v>
      </c>
      <c r="R289" s="109" t="s">
        <v>113</v>
      </c>
      <c r="S289" s="109">
        <v>5</v>
      </c>
      <c r="T289" s="109">
        <v>8</v>
      </c>
      <c r="U289" s="139">
        <v>53</v>
      </c>
      <c r="V289" s="140">
        <v>424</v>
      </c>
    </row>
    <row r="290" spans="1:22" x14ac:dyDescent="0.25">
      <c r="A290" s="103">
        <v>4643</v>
      </c>
      <c r="B290" s="104" t="s">
        <v>17</v>
      </c>
      <c r="C290" s="104" t="s">
        <v>176</v>
      </c>
      <c r="D290" s="104" t="s">
        <v>79</v>
      </c>
      <c r="E290" s="104" t="s">
        <v>168</v>
      </c>
      <c r="F290" s="104">
        <v>2016</v>
      </c>
      <c r="G290" s="105">
        <v>42606.583333333336</v>
      </c>
      <c r="H290" s="105">
        <v>42619.75</v>
      </c>
      <c r="I290" s="106">
        <v>42606</v>
      </c>
      <c r="J290" s="106">
        <v>42619</v>
      </c>
      <c r="K290" s="107" t="s">
        <v>527</v>
      </c>
      <c r="L290" s="107">
        <v>0.75</v>
      </c>
      <c r="M290" s="107" t="s">
        <v>542</v>
      </c>
      <c r="N290" s="107" t="s">
        <v>534</v>
      </c>
      <c r="O290" s="107" t="s">
        <v>524</v>
      </c>
      <c r="P290" s="104" t="s">
        <v>23</v>
      </c>
      <c r="Q290" s="104" t="s">
        <v>21</v>
      </c>
      <c r="R290" s="104" t="s">
        <v>113</v>
      </c>
      <c r="S290" s="104">
        <v>4</v>
      </c>
      <c r="T290" s="104">
        <v>9</v>
      </c>
      <c r="U290" s="137">
        <v>48</v>
      </c>
      <c r="V290" s="138">
        <v>432</v>
      </c>
    </row>
    <row r="291" spans="1:22" x14ac:dyDescent="0.25">
      <c r="A291" s="108">
        <v>4644</v>
      </c>
      <c r="B291" s="109" t="s">
        <v>17</v>
      </c>
      <c r="C291" s="109" t="s">
        <v>176</v>
      </c>
      <c r="D291" s="109" t="s">
        <v>78</v>
      </c>
      <c r="E291" s="109" t="s">
        <v>172</v>
      </c>
      <c r="F291" s="109">
        <v>2016</v>
      </c>
      <c r="G291" s="110">
        <v>42607.375</v>
      </c>
      <c r="H291" s="110">
        <v>42613.75</v>
      </c>
      <c r="I291" s="111">
        <v>42607</v>
      </c>
      <c r="J291" s="111">
        <v>42613</v>
      </c>
      <c r="K291" s="112" t="s">
        <v>525</v>
      </c>
      <c r="L291" s="112">
        <v>0.75</v>
      </c>
      <c r="M291" s="112" t="s">
        <v>540</v>
      </c>
      <c r="N291" s="112" t="s">
        <v>534</v>
      </c>
      <c r="O291" s="112" t="s">
        <v>524</v>
      </c>
      <c r="P291" s="109" t="s">
        <v>9</v>
      </c>
      <c r="Q291" s="109" t="s">
        <v>35</v>
      </c>
      <c r="R291" s="109" t="s">
        <v>109</v>
      </c>
      <c r="S291" s="109">
        <v>2</v>
      </c>
      <c r="T291" s="109">
        <v>10</v>
      </c>
      <c r="U291" s="139">
        <v>62</v>
      </c>
      <c r="V291" s="140">
        <v>620</v>
      </c>
    </row>
    <row r="292" spans="1:22" x14ac:dyDescent="0.25">
      <c r="A292" s="103">
        <v>4645</v>
      </c>
      <c r="B292" s="104" t="s">
        <v>14</v>
      </c>
      <c r="C292" s="104" t="s">
        <v>175</v>
      </c>
      <c r="D292" s="104" t="s">
        <v>80</v>
      </c>
      <c r="E292" s="104" t="s">
        <v>173</v>
      </c>
      <c r="F292" s="104">
        <v>2016</v>
      </c>
      <c r="G292" s="105">
        <v>42608.333333333336</v>
      </c>
      <c r="H292" s="105">
        <v>42621.5</v>
      </c>
      <c r="I292" s="106">
        <v>42608</v>
      </c>
      <c r="J292" s="106">
        <v>42621</v>
      </c>
      <c r="K292" s="107" t="s">
        <v>522</v>
      </c>
      <c r="L292" s="107">
        <v>0.5</v>
      </c>
      <c r="M292" s="107" t="s">
        <v>539</v>
      </c>
      <c r="N292" s="107" t="s">
        <v>534</v>
      </c>
      <c r="O292" s="107" t="s">
        <v>524</v>
      </c>
      <c r="P292" s="104" t="s">
        <v>23</v>
      </c>
      <c r="Q292" s="104" t="s">
        <v>35</v>
      </c>
      <c r="R292" s="104" t="s">
        <v>109</v>
      </c>
      <c r="S292" s="104">
        <v>5</v>
      </c>
      <c r="T292" s="104">
        <v>10</v>
      </c>
      <c r="U292" s="137">
        <v>32</v>
      </c>
      <c r="V292" s="138">
        <v>320</v>
      </c>
    </row>
    <row r="293" spans="1:22" x14ac:dyDescent="0.25">
      <c r="A293" s="108">
        <v>4646</v>
      </c>
      <c r="B293" s="109" t="s">
        <v>19</v>
      </c>
      <c r="C293" s="109" t="s">
        <v>176</v>
      </c>
      <c r="D293" s="109" t="s">
        <v>83</v>
      </c>
      <c r="E293" s="109" t="s">
        <v>174</v>
      </c>
      <c r="F293" s="109">
        <v>2016</v>
      </c>
      <c r="G293" s="110">
        <v>42609.375</v>
      </c>
      <c r="H293" s="110">
        <v>42614.75</v>
      </c>
      <c r="I293" s="111">
        <v>42609</v>
      </c>
      <c r="J293" s="111">
        <v>42614</v>
      </c>
      <c r="K293" s="112" t="s">
        <v>525</v>
      </c>
      <c r="L293" s="112">
        <v>0.75</v>
      </c>
      <c r="M293" s="112" t="s">
        <v>540</v>
      </c>
      <c r="N293" s="112" t="s">
        <v>534</v>
      </c>
      <c r="O293" s="112" t="s">
        <v>524</v>
      </c>
      <c r="P293" s="109" t="s">
        <v>9</v>
      </c>
      <c r="Q293" s="109" t="s">
        <v>38</v>
      </c>
      <c r="R293" s="109" t="s">
        <v>113</v>
      </c>
      <c r="S293" s="109">
        <v>3</v>
      </c>
      <c r="T293" s="109">
        <v>8</v>
      </c>
      <c r="U293" s="139">
        <v>63</v>
      </c>
      <c r="V293" s="140">
        <v>504</v>
      </c>
    </row>
    <row r="294" spans="1:22" x14ac:dyDescent="0.25">
      <c r="A294" s="103">
        <v>4647</v>
      </c>
      <c r="B294" s="104" t="s">
        <v>14</v>
      </c>
      <c r="C294" s="104" t="s">
        <v>175</v>
      </c>
      <c r="D294" s="104" t="s">
        <v>81</v>
      </c>
      <c r="E294" s="104" t="s">
        <v>172</v>
      </c>
      <c r="F294" s="104">
        <v>2016</v>
      </c>
      <c r="G294" s="105">
        <v>42611.791666666664</v>
      </c>
      <c r="H294" s="105">
        <v>42622.958333333336</v>
      </c>
      <c r="I294" s="106">
        <v>42611</v>
      </c>
      <c r="J294" s="106">
        <v>42622</v>
      </c>
      <c r="K294" s="107" t="s">
        <v>526</v>
      </c>
      <c r="L294" s="107">
        <v>0.95833333333333337</v>
      </c>
      <c r="M294" s="107" t="s">
        <v>541</v>
      </c>
      <c r="N294" s="107" t="s">
        <v>534</v>
      </c>
      <c r="O294" s="107" t="s">
        <v>524</v>
      </c>
      <c r="P294" s="104" t="s">
        <v>23</v>
      </c>
      <c r="Q294" s="104" t="s">
        <v>190</v>
      </c>
      <c r="R294" s="104" t="s">
        <v>109</v>
      </c>
      <c r="S294" s="104">
        <v>3</v>
      </c>
      <c r="T294" s="104">
        <v>8</v>
      </c>
      <c r="U294" s="137">
        <v>43</v>
      </c>
      <c r="V294" s="138">
        <v>344</v>
      </c>
    </row>
    <row r="295" spans="1:22" x14ac:dyDescent="0.25">
      <c r="A295" s="108">
        <v>4648</v>
      </c>
      <c r="B295" s="109" t="s">
        <v>19</v>
      </c>
      <c r="C295" s="109" t="s">
        <v>176</v>
      </c>
      <c r="D295" s="109" t="s">
        <v>79</v>
      </c>
      <c r="E295" s="109" t="s">
        <v>168</v>
      </c>
      <c r="F295" s="109">
        <v>2016</v>
      </c>
      <c r="G295" s="110">
        <v>42611.791666666664</v>
      </c>
      <c r="H295" s="110">
        <v>42622.958333333336</v>
      </c>
      <c r="I295" s="111">
        <v>42611</v>
      </c>
      <c r="J295" s="111">
        <v>42622</v>
      </c>
      <c r="K295" s="112" t="s">
        <v>526</v>
      </c>
      <c r="L295" s="112">
        <v>0.95833333333333337</v>
      </c>
      <c r="M295" s="112" t="s">
        <v>541</v>
      </c>
      <c r="N295" s="112" t="s">
        <v>534</v>
      </c>
      <c r="O295" s="112" t="s">
        <v>524</v>
      </c>
      <c r="P295" s="109" t="s">
        <v>23</v>
      </c>
      <c r="Q295" s="109" t="s">
        <v>22</v>
      </c>
      <c r="R295" s="109" t="s">
        <v>109</v>
      </c>
      <c r="S295" s="109">
        <v>5</v>
      </c>
      <c r="T295" s="109">
        <v>10</v>
      </c>
      <c r="U295" s="139">
        <v>48</v>
      </c>
      <c r="V295" s="140">
        <v>480</v>
      </c>
    </row>
    <row r="296" spans="1:22" x14ac:dyDescent="0.25">
      <c r="A296" s="103">
        <v>4649</v>
      </c>
      <c r="B296" s="104" t="s">
        <v>29</v>
      </c>
      <c r="C296" s="104" t="s">
        <v>177</v>
      </c>
      <c r="D296" s="104" t="s">
        <v>89</v>
      </c>
      <c r="E296" s="104" t="s">
        <v>169</v>
      </c>
      <c r="F296" s="104">
        <v>2016</v>
      </c>
      <c r="G296" s="105">
        <v>42612.791666666664</v>
      </c>
      <c r="H296" s="105">
        <v>42625.958333333336</v>
      </c>
      <c r="I296" s="106">
        <v>42612</v>
      </c>
      <c r="J296" s="106">
        <v>42625</v>
      </c>
      <c r="K296" s="107" t="s">
        <v>526</v>
      </c>
      <c r="L296" s="107">
        <v>0.95833333333333337</v>
      </c>
      <c r="M296" s="107" t="s">
        <v>541</v>
      </c>
      <c r="N296" s="107" t="s">
        <v>534</v>
      </c>
      <c r="O296" s="107" t="s">
        <v>524</v>
      </c>
      <c r="P296" s="104" t="s">
        <v>23</v>
      </c>
      <c r="Q296" s="104" t="s">
        <v>18</v>
      </c>
      <c r="R296" s="104" t="s">
        <v>113</v>
      </c>
      <c r="S296" s="104">
        <v>4</v>
      </c>
      <c r="T296" s="104">
        <v>9</v>
      </c>
      <c r="U296" s="137">
        <v>62</v>
      </c>
      <c r="V296" s="138">
        <v>558</v>
      </c>
    </row>
    <row r="297" spans="1:22" x14ac:dyDescent="0.25">
      <c r="A297" s="108">
        <v>4650</v>
      </c>
      <c r="B297" s="109" t="s">
        <v>22</v>
      </c>
      <c r="C297" s="109" t="s">
        <v>176</v>
      </c>
      <c r="D297" s="109" t="s">
        <v>84</v>
      </c>
      <c r="E297" s="109" t="s">
        <v>172</v>
      </c>
      <c r="F297" s="109">
        <v>2016</v>
      </c>
      <c r="G297" s="110">
        <v>42613.583333333336</v>
      </c>
      <c r="H297" s="110">
        <v>42626.75</v>
      </c>
      <c r="I297" s="111">
        <v>42613</v>
      </c>
      <c r="J297" s="111">
        <v>42626</v>
      </c>
      <c r="K297" s="112" t="s">
        <v>527</v>
      </c>
      <c r="L297" s="112">
        <v>0.75</v>
      </c>
      <c r="M297" s="112" t="s">
        <v>542</v>
      </c>
      <c r="N297" s="112" t="s">
        <v>534</v>
      </c>
      <c r="O297" s="112" t="s">
        <v>524</v>
      </c>
      <c r="P297" s="109" t="s">
        <v>23</v>
      </c>
      <c r="Q297" s="109" t="s">
        <v>12</v>
      </c>
      <c r="R297" s="109" t="s">
        <v>113</v>
      </c>
      <c r="S297" s="109">
        <v>3</v>
      </c>
      <c r="T297" s="109">
        <v>11</v>
      </c>
      <c r="U297" s="139">
        <v>52</v>
      </c>
      <c r="V297" s="140">
        <v>572</v>
      </c>
    </row>
    <row r="298" spans="1:22" x14ac:dyDescent="0.25">
      <c r="A298" s="103">
        <v>4651</v>
      </c>
      <c r="B298" s="104" t="s">
        <v>14</v>
      </c>
      <c r="C298" s="104" t="s">
        <v>175</v>
      </c>
      <c r="D298" s="104" t="s">
        <v>79</v>
      </c>
      <c r="E298" s="104" t="s">
        <v>168</v>
      </c>
      <c r="F298" s="104">
        <v>2016</v>
      </c>
      <c r="G298" s="105">
        <v>42614.375</v>
      </c>
      <c r="H298" s="105">
        <v>42620.75</v>
      </c>
      <c r="I298" s="106">
        <v>42614</v>
      </c>
      <c r="J298" s="106">
        <v>42620</v>
      </c>
      <c r="K298" s="107" t="s">
        <v>525</v>
      </c>
      <c r="L298" s="107">
        <v>0.75</v>
      </c>
      <c r="M298" s="107" t="s">
        <v>540</v>
      </c>
      <c r="N298" s="107" t="s">
        <v>535</v>
      </c>
      <c r="O298" s="107" t="s">
        <v>524</v>
      </c>
      <c r="P298" s="104" t="s">
        <v>23</v>
      </c>
      <c r="Q298" s="104" t="s">
        <v>37</v>
      </c>
      <c r="R298" s="104" t="s">
        <v>113</v>
      </c>
      <c r="S298" s="104">
        <v>3</v>
      </c>
      <c r="T298" s="104">
        <v>8</v>
      </c>
      <c r="U298" s="137">
        <v>48</v>
      </c>
      <c r="V298" s="138">
        <v>384</v>
      </c>
    </row>
    <row r="299" spans="1:22" x14ac:dyDescent="0.25">
      <c r="A299" s="108">
        <v>4652</v>
      </c>
      <c r="B299" s="109" t="s">
        <v>14</v>
      </c>
      <c r="C299" s="109" t="s">
        <v>175</v>
      </c>
      <c r="D299" s="109" t="s">
        <v>80</v>
      </c>
      <c r="E299" s="109" t="s">
        <v>173</v>
      </c>
      <c r="F299" s="109">
        <v>2016</v>
      </c>
      <c r="G299" s="110">
        <v>42615.333333333336</v>
      </c>
      <c r="H299" s="110">
        <v>42628.5</v>
      </c>
      <c r="I299" s="111">
        <v>42615</v>
      </c>
      <c r="J299" s="111">
        <v>42628</v>
      </c>
      <c r="K299" s="112" t="s">
        <v>522</v>
      </c>
      <c r="L299" s="112">
        <v>0.5</v>
      </c>
      <c r="M299" s="112" t="s">
        <v>539</v>
      </c>
      <c r="N299" s="112" t="s">
        <v>535</v>
      </c>
      <c r="O299" s="112" t="s">
        <v>524</v>
      </c>
      <c r="P299" s="109" t="s">
        <v>9</v>
      </c>
      <c r="Q299" s="109" t="s">
        <v>18</v>
      </c>
      <c r="R299" s="109" t="s">
        <v>113</v>
      </c>
      <c r="S299" s="109">
        <v>2</v>
      </c>
      <c r="T299" s="109">
        <v>9</v>
      </c>
      <c r="U299" s="139">
        <v>32</v>
      </c>
      <c r="V299" s="140">
        <v>288</v>
      </c>
    </row>
    <row r="300" spans="1:22" x14ac:dyDescent="0.25">
      <c r="A300" s="103">
        <v>4653</v>
      </c>
      <c r="B300" s="104" t="s">
        <v>14</v>
      </c>
      <c r="C300" s="104" t="s">
        <v>175</v>
      </c>
      <c r="D300" s="104" t="s">
        <v>85</v>
      </c>
      <c r="E300" s="104" t="s">
        <v>170</v>
      </c>
      <c r="F300" s="104">
        <v>2016</v>
      </c>
      <c r="G300" s="105">
        <v>42616.375</v>
      </c>
      <c r="H300" s="105">
        <v>42621.75</v>
      </c>
      <c r="I300" s="106">
        <v>42616</v>
      </c>
      <c r="J300" s="106">
        <v>42621</v>
      </c>
      <c r="K300" s="107" t="s">
        <v>525</v>
      </c>
      <c r="L300" s="107">
        <v>0.75</v>
      </c>
      <c r="M300" s="107" t="s">
        <v>540</v>
      </c>
      <c r="N300" s="107" t="s">
        <v>535</v>
      </c>
      <c r="O300" s="107" t="s">
        <v>524</v>
      </c>
      <c r="P300" s="104" t="s">
        <v>23</v>
      </c>
      <c r="Q300" s="104" t="s">
        <v>38</v>
      </c>
      <c r="R300" s="104" t="s">
        <v>113</v>
      </c>
      <c r="S300" s="104">
        <v>2</v>
      </c>
      <c r="T300" s="104">
        <v>9</v>
      </c>
      <c r="U300" s="137">
        <v>48</v>
      </c>
      <c r="V300" s="138">
        <v>432</v>
      </c>
    </row>
    <row r="301" spans="1:22" x14ac:dyDescent="0.25">
      <c r="A301" s="108">
        <v>4654</v>
      </c>
      <c r="B301" s="109" t="s">
        <v>17</v>
      </c>
      <c r="C301" s="109" t="s">
        <v>176</v>
      </c>
      <c r="D301" s="109" t="s">
        <v>84</v>
      </c>
      <c r="E301" s="109" t="s">
        <v>172</v>
      </c>
      <c r="F301" s="109">
        <v>2016</v>
      </c>
      <c r="G301" s="110">
        <v>42618.791666666664</v>
      </c>
      <c r="H301" s="110">
        <v>42629.958333333336</v>
      </c>
      <c r="I301" s="111">
        <v>42618</v>
      </c>
      <c r="J301" s="111">
        <v>42629</v>
      </c>
      <c r="K301" s="112" t="s">
        <v>526</v>
      </c>
      <c r="L301" s="112">
        <v>0.95833333333333337</v>
      </c>
      <c r="M301" s="112" t="s">
        <v>541</v>
      </c>
      <c r="N301" s="112" t="s">
        <v>535</v>
      </c>
      <c r="O301" s="112" t="s">
        <v>524</v>
      </c>
      <c r="P301" s="109" t="s">
        <v>23</v>
      </c>
      <c r="Q301" s="109" t="s">
        <v>18</v>
      </c>
      <c r="R301" s="109" t="s">
        <v>113</v>
      </c>
      <c r="S301" s="109">
        <v>3</v>
      </c>
      <c r="T301" s="109">
        <v>11</v>
      </c>
      <c r="U301" s="139">
        <v>52</v>
      </c>
      <c r="V301" s="140">
        <v>572</v>
      </c>
    </row>
    <row r="302" spans="1:22" x14ac:dyDescent="0.25">
      <c r="A302" s="103">
        <v>4655</v>
      </c>
      <c r="B302" s="104" t="s">
        <v>17</v>
      </c>
      <c r="C302" s="104" t="s">
        <v>176</v>
      </c>
      <c r="D302" s="104" t="s">
        <v>88</v>
      </c>
      <c r="E302" s="104" t="s">
        <v>170</v>
      </c>
      <c r="F302" s="104">
        <v>2016</v>
      </c>
      <c r="G302" s="105">
        <v>42618.791666666664</v>
      </c>
      <c r="H302" s="105">
        <v>42629.958333333336</v>
      </c>
      <c r="I302" s="106">
        <v>42618</v>
      </c>
      <c r="J302" s="106">
        <v>42629</v>
      </c>
      <c r="K302" s="107" t="s">
        <v>526</v>
      </c>
      <c r="L302" s="107">
        <v>0.95833333333333337</v>
      </c>
      <c r="M302" s="107" t="s">
        <v>541</v>
      </c>
      <c r="N302" s="107" t="s">
        <v>535</v>
      </c>
      <c r="O302" s="107" t="s">
        <v>524</v>
      </c>
      <c r="P302" s="104" t="s">
        <v>23</v>
      </c>
      <c r="Q302" s="104" t="s">
        <v>190</v>
      </c>
      <c r="R302" s="104" t="s">
        <v>109</v>
      </c>
      <c r="S302" s="104">
        <v>5</v>
      </c>
      <c r="T302" s="104">
        <v>12</v>
      </c>
      <c r="U302" s="137">
        <v>42</v>
      </c>
      <c r="V302" s="138">
        <v>504</v>
      </c>
    </row>
    <row r="303" spans="1:22" x14ac:dyDescent="0.25">
      <c r="A303" s="108">
        <v>4656</v>
      </c>
      <c r="B303" s="109" t="s">
        <v>14</v>
      </c>
      <c r="C303" s="109" t="s">
        <v>175</v>
      </c>
      <c r="D303" s="109" t="s">
        <v>78</v>
      </c>
      <c r="E303" s="109" t="s">
        <v>172</v>
      </c>
      <c r="F303" s="109">
        <v>2016</v>
      </c>
      <c r="G303" s="110">
        <v>42619.791666666664</v>
      </c>
      <c r="H303" s="110">
        <v>42632.958333333336</v>
      </c>
      <c r="I303" s="111">
        <v>42619</v>
      </c>
      <c r="J303" s="111">
        <v>42632</v>
      </c>
      <c r="K303" s="112" t="s">
        <v>526</v>
      </c>
      <c r="L303" s="112">
        <v>0.95833333333333337</v>
      </c>
      <c r="M303" s="112" t="s">
        <v>541</v>
      </c>
      <c r="N303" s="112" t="s">
        <v>535</v>
      </c>
      <c r="O303" s="112" t="s">
        <v>524</v>
      </c>
      <c r="P303" s="109" t="s">
        <v>9</v>
      </c>
      <c r="Q303" s="109" t="s">
        <v>16</v>
      </c>
      <c r="R303" s="109" t="s">
        <v>109</v>
      </c>
      <c r="S303" s="109">
        <v>2</v>
      </c>
      <c r="T303" s="109">
        <v>10</v>
      </c>
      <c r="U303" s="139">
        <v>62</v>
      </c>
      <c r="V303" s="140">
        <v>620</v>
      </c>
    </row>
    <row r="304" spans="1:22" x14ac:dyDescent="0.25">
      <c r="A304" s="103">
        <v>4657</v>
      </c>
      <c r="B304" s="104" t="s">
        <v>22</v>
      </c>
      <c r="C304" s="104" t="s">
        <v>176</v>
      </c>
      <c r="D304" s="104" t="s">
        <v>81</v>
      </c>
      <c r="E304" s="104" t="s">
        <v>172</v>
      </c>
      <c r="F304" s="104">
        <v>2016</v>
      </c>
      <c r="G304" s="105">
        <v>42620.583333333336</v>
      </c>
      <c r="H304" s="105">
        <v>42633.75</v>
      </c>
      <c r="I304" s="106">
        <v>42620</v>
      </c>
      <c r="J304" s="106">
        <v>42633</v>
      </c>
      <c r="K304" s="107" t="s">
        <v>527</v>
      </c>
      <c r="L304" s="107">
        <v>0.75</v>
      </c>
      <c r="M304" s="107" t="s">
        <v>542</v>
      </c>
      <c r="N304" s="107" t="s">
        <v>535</v>
      </c>
      <c r="O304" s="107" t="s">
        <v>524</v>
      </c>
      <c r="P304" s="104" t="s">
        <v>9</v>
      </c>
      <c r="Q304" s="104" t="s">
        <v>16</v>
      </c>
      <c r="R304" s="104" t="s">
        <v>109</v>
      </c>
      <c r="S304" s="104">
        <v>2</v>
      </c>
      <c r="T304" s="104">
        <v>10</v>
      </c>
      <c r="U304" s="137">
        <v>43</v>
      </c>
      <c r="V304" s="138">
        <v>430</v>
      </c>
    </row>
    <row r="305" spans="1:22" x14ac:dyDescent="0.25">
      <c r="A305" s="108">
        <v>4658</v>
      </c>
      <c r="B305" s="109" t="s">
        <v>19</v>
      </c>
      <c r="C305" s="109" t="s">
        <v>176</v>
      </c>
      <c r="D305" s="109" t="s">
        <v>79</v>
      </c>
      <c r="E305" s="109" t="s">
        <v>168</v>
      </c>
      <c r="F305" s="109">
        <v>2016</v>
      </c>
      <c r="G305" s="110">
        <v>42621.375</v>
      </c>
      <c r="H305" s="110">
        <v>42627.75</v>
      </c>
      <c r="I305" s="111">
        <v>42621</v>
      </c>
      <c r="J305" s="111">
        <v>42627</v>
      </c>
      <c r="K305" s="112" t="s">
        <v>525</v>
      </c>
      <c r="L305" s="112">
        <v>0.75</v>
      </c>
      <c r="M305" s="112" t="s">
        <v>540</v>
      </c>
      <c r="N305" s="112" t="s">
        <v>535</v>
      </c>
      <c r="O305" s="112" t="s">
        <v>524</v>
      </c>
      <c r="P305" s="109" t="s">
        <v>9</v>
      </c>
      <c r="Q305" s="109" t="s">
        <v>38</v>
      </c>
      <c r="R305" s="109" t="s">
        <v>113</v>
      </c>
      <c r="S305" s="109">
        <v>2</v>
      </c>
      <c r="T305" s="109">
        <v>12</v>
      </c>
      <c r="U305" s="139">
        <v>48</v>
      </c>
      <c r="V305" s="140">
        <v>576</v>
      </c>
    </row>
    <row r="306" spans="1:22" x14ac:dyDescent="0.25">
      <c r="A306" s="103">
        <v>4659</v>
      </c>
      <c r="B306" s="104" t="s">
        <v>22</v>
      </c>
      <c r="C306" s="104" t="s">
        <v>176</v>
      </c>
      <c r="D306" s="104" t="s">
        <v>80</v>
      </c>
      <c r="E306" s="104" t="s">
        <v>173</v>
      </c>
      <c r="F306" s="104">
        <v>2016</v>
      </c>
      <c r="G306" s="105">
        <v>42622.333333333336</v>
      </c>
      <c r="H306" s="105">
        <v>42635.5</v>
      </c>
      <c r="I306" s="106">
        <v>42622</v>
      </c>
      <c r="J306" s="106">
        <v>42635</v>
      </c>
      <c r="K306" s="107" t="s">
        <v>522</v>
      </c>
      <c r="L306" s="107">
        <v>0.5</v>
      </c>
      <c r="M306" s="107" t="s">
        <v>539</v>
      </c>
      <c r="N306" s="107" t="s">
        <v>535</v>
      </c>
      <c r="O306" s="107" t="s">
        <v>524</v>
      </c>
      <c r="P306" s="104" t="s">
        <v>23</v>
      </c>
      <c r="Q306" s="104" t="s">
        <v>31</v>
      </c>
      <c r="R306" s="104" t="s">
        <v>113</v>
      </c>
      <c r="S306" s="104">
        <v>5</v>
      </c>
      <c r="T306" s="104">
        <v>10</v>
      </c>
      <c r="U306" s="137">
        <v>32</v>
      </c>
      <c r="V306" s="138">
        <v>320</v>
      </c>
    </row>
    <row r="307" spans="1:22" x14ac:dyDescent="0.25">
      <c r="A307" s="108">
        <v>4660</v>
      </c>
      <c r="B307" s="109" t="s">
        <v>39</v>
      </c>
      <c r="C307" s="109" t="s">
        <v>177</v>
      </c>
      <c r="D307" s="109" t="s">
        <v>77</v>
      </c>
      <c r="E307" s="109" t="s">
        <v>172</v>
      </c>
      <c r="F307" s="109">
        <v>2016</v>
      </c>
      <c r="G307" s="110">
        <v>42623.375</v>
      </c>
      <c r="H307" s="110">
        <v>42628.75</v>
      </c>
      <c r="I307" s="111">
        <v>42623</v>
      </c>
      <c r="J307" s="111">
        <v>42628</v>
      </c>
      <c r="K307" s="112" t="s">
        <v>525</v>
      </c>
      <c r="L307" s="112">
        <v>0.75</v>
      </c>
      <c r="M307" s="112" t="s">
        <v>540</v>
      </c>
      <c r="N307" s="112" t="s">
        <v>535</v>
      </c>
      <c r="O307" s="112" t="s">
        <v>524</v>
      </c>
      <c r="P307" s="109" t="s">
        <v>9</v>
      </c>
      <c r="Q307" s="109" t="s">
        <v>38</v>
      </c>
      <c r="R307" s="109" t="s">
        <v>113</v>
      </c>
      <c r="S307" s="109">
        <v>2</v>
      </c>
      <c r="T307" s="109">
        <v>11</v>
      </c>
      <c r="U307" s="139">
        <v>35</v>
      </c>
      <c r="V307" s="140">
        <v>385</v>
      </c>
    </row>
    <row r="308" spans="1:22" x14ac:dyDescent="0.25">
      <c r="A308" s="103">
        <v>4661</v>
      </c>
      <c r="B308" s="104" t="s">
        <v>7</v>
      </c>
      <c r="C308" s="104" t="s">
        <v>175</v>
      </c>
      <c r="D308" s="104" t="s">
        <v>78</v>
      </c>
      <c r="E308" s="104" t="s">
        <v>172</v>
      </c>
      <c r="F308" s="104">
        <v>2016</v>
      </c>
      <c r="G308" s="105">
        <v>42625.791666666664</v>
      </c>
      <c r="H308" s="105">
        <v>42636.958333333336</v>
      </c>
      <c r="I308" s="106">
        <v>42625</v>
      </c>
      <c r="J308" s="106">
        <v>42636</v>
      </c>
      <c r="K308" s="107" t="s">
        <v>526</v>
      </c>
      <c r="L308" s="107">
        <v>0.95833333333333337</v>
      </c>
      <c r="M308" s="107" t="s">
        <v>541</v>
      </c>
      <c r="N308" s="107" t="s">
        <v>535</v>
      </c>
      <c r="O308" s="107" t="s">
        <v>524</v>
      </c>
      <c r="P308" s="104" t="s">
        <v>9</v>
      </c>
      <c r="Q308" s="104" t="s">
        <v>16</v>
      </c>
      <c r="R308" s="104" t="s">
        <v>109</v>
      </c>
      <c r="S308" s="104">
        <v>4</v>
      </c>
      <c r="T308" s="104">
        <v>9</v>
      </c>
      <c r="U308" s="137">
        <v>62</v>
      </c>
      <c r="V308" s="138">
        <v>558</v>
      </c>
    </row>
    <row r="309" spans="1:22" x14ac:dyDescent="0.25">
      <c r="A309" s="108">
        <v>4662</v>
      </c>
      <c r="B309" s="109" t="s">
        <v>45</v>
      </c>
      <c r="C309" s="109" t="s">
        <v>177</v>
      </c>
      <c r="D309" s="109" t="s">
        <v>76</v>
      </c>
      <c r="E309" s="109" t="s">
        <v>174</v>
      </c>
      <c r="F309" s="109">
        <v>2016</v>
      </c>
      <c r="G309" s="110">
        <v>42625.791666666664</v>
      </c>
      <c r="H309" s="110">
        <v>42636.958333333336</v>
      </c>
      <c r="I309" s="111">
        <v>42625</v>
      </c>
      <c r="J309" s="111">
        <v>42636</v>
      </c>
      <c r="K309" s="112" t="s">
        <v>526</v>
      </c>
      <c r="L309" s="112">
        <v>0.95833333333333337</v>
      </c>
      <c r="M309" s="112" t="s">
        <v>541</v>
      </c>
      <c r="N309" s="112" t="s">
        <v>535</v>
      </c>
      <c r="O309" s="112" t="s">
        <v>524</v>
      </c>
      <c r="P309" s="109" t="s">
        <v>23</v>
      </c>
      <c r="Q309" s="109" t="s">
        <v>190</v>
      </c>
      <c r="R309" s="109" t="s">
        <v>109</v>
      </c>
      <c r="S309" s="109">
        <v>3</v>
      </c>
      <c r="T309" s="109">
        <v>10</v>
      </c>
      <c r="U309" s="139">
        <v>53</v>
      </c>
      <c r="V309" s="140">
        <v>530</v>
      </c>
    </row>
    <row r="310" spans="1:22" x14ac:dyDescent="0.25">
      <c r="A310" s="103">
        <v>4663</v>
      </c>
      <c r="B310" s="104" t="s">
        <v>11</v>
      </c>
      <c r="C310" s="104" t="s">
        <v>175</v>
      </c>
      <c r="D310" s="104" t="s">
        <v>79</v>
      </c>
      <c r="E310" s="104" t="s">
        <v>168</v>
      </c>
      <c r="F310" s="104">
        <v>2016</v>
      </c>
      <c r="G310" s="105">
        <v>42626.791666666664</v>
      </c>
      <c r="H310" s="105">
        <v>42639.958333333336</v>
      </c>
      <c r="I310" s="106">
        <v>42626</v>
      </c>
      <c r="J310" s="106">
        <v>42639</v>
      </c>
      <c r="K310" s="107" t="s">
        <v>526</v>
      </c>
      <c r="L310" s="107">
        <v>0.95833333333333337</v>
      </c>
      <c r="M310" s="107" t="s">
        <v>541</v>
      </c>
      <c r="N310" s="107" t="s">
        <v>535</v>
      </c>
      <c r="O310" s="107" t="s">
        <v>524</v>
      </c>
      <c r="P310" s="104" t="s">
        <v>23</v>
      </c>
      <c r="Q310" s="104" t="s">
        <v>190</v>
      </c>
      <c r="R310" s="104" t="s">
        <v>109</v>
      </c>
      <c r="S310" s="104">
        <v>4</v>
      </c>
      <c r="T310" s="104">
        <v>10</v>
      </c>
      <c r="U310" s="137">
        <v>48</v>
      </c>
      <c r="V310" s="138">
        <v>480</v>
      </c>
    </row>
    <row r="311" spans="1:22" x14ac:dyDescent="0.25">
      <c r="A311" s="108">
        <v>4664</v>
      </c>
      <c r="B311" s="109" t="s">
        <v>45</v>
      </c>
      <c r="C311" s="109" t="s">
        <v>177</v>
      </c>
      <c r="D311" s="109" t="s">
        <v>85</v>
      </c>
      <c r="E311" s="109" t="s">
        <v>170</v>
      </c>
      <c r="F311" s="109">
        <v>2016</v>
      </c>
      <c r="G311" s="110">
        <v>42627.583333333336</v>
      </c>
      <c r="H311" s="110">
        <v>42640.75</v>
      </c>
      <c r="I311" s="111">
        <v>42627</v>
      </c>
      <c r="J311" s="111">
        <v>42640</v>
      </c>
      <c r="K311" s="112" t="s">
        <v>527</v>
      </c>
      <c r="L311" s="112">
        <v>0.75</v>
      </c>
      <c r="M311" s="112" t="s">
        <v>542</v>
      </c>
      <c r="N311" s="112" t="s">
        <v>535</v>
      </c>
      <c r="O311" s="112" t="s">
        <v>524</v>
      </c>
      <c r="P311" s="109" t="s">
        <v>9</v>
      </c>
      <c r="Q311" s="109" t="s">
        <v>24</v>
      </c>
      <c r="R311" s="109" t="s">
        <v>113</v>
      </c>
      <c r="S311" s="109">
        <v>3</v>
      </c>
      <c r="T311" s="109">
        <v>9</v>
      </c>
      <c r="U311" s="139">
        <v>48</v>
      </c>
      <c r="V311" s="140">
        <v>432</v>
      </c>
    </row>
    <row r="312" spans="1:22" x14ac:dyDescent="0.25">
      <c r="A312" s="103">
        <v>4665</v>
      </c>
      <c r="B312" s="104" t="s">
        <v>22</v>
      </c>
      <c r="C312" s="104" t="s">
        <v>176</v>
      </c>
      <c r="D312" s="104" t="s">
        <v>85</v>
      </c>
      <c r="E312" s="104" t="s">
        <v>170</v>
      </c>
      <c r="F312" s="104">
        <v>2016</v>
      </c>
      <c r="G312" s="105">
        <v>42628.375</v>
      </c>
      <c r="H312" s="105">
        <v>42634.75</v>
      </c>
      <c r="I312" s="106">
        <v>42628</v>
      </c>
      <c r="J312" s="106">
        <v>42634</v>
      </c>
      <c r="K312" s="107" t="s">
        <v>525</v>
      </c>
      <c r="L312" s="107">
        <v>0.75</v>
      </c>
      <c r="M312" s="107" t="s">
        <v>540</v>
      </c>
      <c r="N312" s="107" t="s">
        <v>535</v>
      </c>
      <c r="O312" s="107" t="s">
        <v>524</v>
      </c>
      <c r="P312" s="104" t="s">
        <v>9</v>
      </c>
      <c r="Q312" s="104" t="s">
        <v>18</v>
      </c>
      <c r="R312" s="104" t="s">
        <v>113</v>
      </c>
      <c r="S312" s="104">
        <v>4</v>
      </c>
      <c r="T312" s="104">
        <v>11</v>
      </c>
      <c r="U312" s="137">
        <v>48</v>
      </c>
      <c r="V312" s="138">
        <v>528</v>
      </c>
    </row>
    <row r="313" spans="1:22" x14ac:dyDescent="0.25">
      <c r="A313" s="108">
        <v>4666</v>
      </c>
      <c r="B313" s="109" t="s">
        <v>45</v>
      </c>
      <c r="C313" s="109" t="s">
        <v>177</v>
      </c>
      <c r="D313" s="109" t="s">
        <v>80</v>
      </c>
      <c r="E313" s="109" t="s">
        <v>173</v>
      </c>
      <c r="F313" s="109">
        <v>2016</v>
      </c>
      <c r="G313" s="110">
        <v>42629.333333333336</v>
      </c>
      <c r="H313" s="110">
        <v>42642.5</v>
      </c>
      <c r="I313" s="111">
        <v>42629</v>
      </c>
      <c r="J313" s="111">
        <v>42642</v>
      </c>
      <c r="K313" s="112" t="s">
        <v>522</v>
      </c>
      <c r="L313" s="112">
        <v>0.5</v>
      </c>
      <c r="M313" s="112" t="s">
        <v>539</v>
      </c>
      <c r="N313" s="112" t="s">
        <v>535</v>
      </c>
      <c r="O313" s="112" t="s">
        <v>524</v>
      </c>
      <c r="P313" s="109" t="s">
        <v>23</v>
      </c>
      <c r="Q313" s="109" t="s">
        <v>18</v>
      </c>
      <c r="R313" s="109" t="s">
        <v>113</v>
      </c>
      <c r="S313" s="109">
        <v>2</v>
      </c>
      <c r="T313" s="109">
        <v>8</v>
      </c>
      <c r="U313" s="139">
        <v>32</v>
      </c>
      <c r="V313" s="140">
        <v>256</v>
      </c>
    </row>
    <row r="314" spans="1:22" x14ac:dyDescent="0.25">
      <c r="A314" s="103">
        <v>4667</v>
      </c>
      <c r="B314" s="104" t="s">
        <v>11</v>
      </c>
      <c r="C314" s="104" t="s">
        <v>175</v>
      </c>
      <c r="D314" s="104" t="s">
        <v>86</v>
      </c>
      <c r="E314" s="104" t="s">
        <v>169</v>
      </c>
      <c r="F314" s="104">
        <v>2016</v>
      </c>
      <c r="G314" s="105">
        <v>42630.375</v>
      </c>
      <c r="H314" s="105">
        <v>42635.75</v>
      </c>
      <c r="I314" s="106">
        <v>42630</v>
      </c>
      <c r="J314" s="106">
        <v>42635</v>
      </c>
      <c r="K314" s="107" t="s">
        <v>525</v>
      </c>
      <c r="L314" s="107">
        <v>0.75</v>
      </c>
      <c r="M314" s="107" t="s">
        <v>540</v>
      </c>
      <c r="N314" s="107" t="s">
        <v>535</v>
      </c>
      <c r="O314" s="107" t="s">
        <v>524</v>
      </c>
      <c r="P314" s="104" t="s">
        <v>23</v>
      </c>
      <c r="Q314" s="104" t="s">
        <v>21</v>
      </c>
      <c r="R314" s="104" t="s">
        <v>113</v>
      </c>
      <c r="S314" s="104">
        <v>2</v>
      </c>
      <c r="T314" s="104">
        <v>9</v>
      </c>
      <c r="U314" s="137">
        <v>48</v>
      </c>
      <c r="V314" s="138">
        <v>432</v>
      </c>
    </row>
    <row r="315" spans="1:22" x14ac:dyDescent="0.25">
      <c r="A315" s="108">
        <v>4668</v>
      </c>
      <c r="B315" s="109" t="s">
        <v>17</v>
      </c>
      <c r="C315" s="109" t="s">
        <v>176</v>
      </c>
      <c r="D315" s="109" t="s">
        <v>81</v>
      </c>
      <c r="E315" s="109" t="s">
        <v>172</v>
      </c>
      <c r="F315" s="109">
        <v>2016</v>
      </c>
      <c r="G315" s="110">
        <v>42632.791666666664</v>
      </c>
      <c r="H315" s="110">
        <v>42643.958333333336</v>
      </c>
      <c r="I315" s="111">
        <v>42632</v>
      </c>
      <c r="J315" s="111">
        <v>42643</v>
      </c>
      <c r="K315" s="112" t="s">
        <v>526</v>
      </c>
      <c r="L315" s="112">
        <v>0.95833333333333337</v>
      </c>
      <c r="M315" s="112" t="s">
        <v>541</v>
      </c>
      <c r="N315" s="112" t="s">
        <v>535</v>
      </c>
      <c r="O315" s="112" t="s">
        <v>524</v>
      </c>
      <c r="P315" s="109" t="s">
        <v>9</v>
      </c>
      <c r="Q315" s="109" t="s">
        <v>22</v>
      </c>
      <c r="R315" s="109" t="s">
        <v>109</v>
      </c>
      <c r="S315" s="109">
        <v>3</v>
      </c>
      <c r="T315" s="109">
        <v>11</v>
      </c>
      <c r="U315" s="139">
        <v>43</v>
      </c>
      <c r="V315" s="140">
        <v>473</v>
      </c>
    </row>
    <row r="316" spans="1:22" x14ac:dyDescent="0.25">
      <c r="A316" s="103">
        <v>4669</v>
      </c>
      <c r="B316" s="104" t="s">
        <v>17</v>
      </c>
      <c r="C316" s="104" t="s">
        <v>176</v>
      </c>
      <c r="D316" s="104" t="s">
        <v>82</v>
      </c>
      <c r="E316" s="104" t="s">
        <v>172</v>
      </c>
      <c r="F316" s="104">
        <v>2016</v>
      </c>
      <c r="G316" s="105">
        <v>42632.791666666664</v>
      </c>
      <c r="H316" s="105">
        <v>42643.958333333336</v>
      </c>
      <c r="I316" s="106">
        <v>42632</v>
      </c>
      <c r="J316" s="106">
        <v>42643</v>
      </c>
      <c r="K316" s="107" t="s">
        <v>526</v>
      </c>
      <c r="L316" s="107">
        <v>0.95833333333333337</v>
      </c>
      <c r="M316" s="107" t="s">
        <v>541</v>
      </c>
      <c r="N316" s="107" t="s">
        <v>535</v>
      </c>
      <c r="O316" s="107" t="s">
        <v>524</v>
      </c>
      <c r="P316" s="104" t="s">
        <v>23</v>
      </c>
      <c r="Q316" s="104" t="s">
        <v>22</v>
      </c>
      <c r="R316" s="104" t="s">
        <v>109</v>
      </c>
      <c r="S316" s="104">
        <v>2</v>
      </c>
      <c r="T316" s="104">
        <v>9</v>
      </c>
      <c r="U316" s="137">
        <v>75</v>
      </c>
      <c r="V316" s="138">
        <v>675</v>
      </c>
    </row>
    <row r="317" spans="1:22" x14ac:dyDescent="0.25">
      <c r="A317" s="108">
        <v>4670</v>
      </c>
      <c r="B317" s="109" t="s">
        <v>19</v>
      </c>
      <c r="C317" s="109" t="s">
        <v>176</v>
      </c>
      <c r="D317" s="109" t="s">
        <v>85</v>
      </c>
      <c r="E317" s="109" t="s">
        <v>170</v>
      </c>
      <c r="F317" s="109">
        <v>2016</v>
      </c>
      <c r="G317" s="110">
        <v>42633.791666666664</v>
      </c>
      <c r="H317" s="110">
        <v>42646.958333333336</v>
      </c>
      <c r="I317" s="111">
        <v>42633</v>
      </c>
      <c r="J317" s="111">
        <v>42646</v>
      </c>
      <c r="K317" s="112" t="s">
        <v>526</v>
      </c>
      <c r="L317" s="112">
        <v>0.95833333333333337</v>
      </c>
      <c r="M317" s="112" t="s">
        <v>541</v>
      </c>
      <c r="N317" s="112" t="s">
        <v>535</v>
      </c>
      <c r="O317" s="112" t="s">
        <v>524</v>
      </c>
      <c r="P317" s="109" t="s">
        <v>23</v>
      </c>
      <c r="Q317" s="109" t="s">
        <v>16</v>
      </c>
      <c r="R317" s="109" t="s">
        <v>109</v>
      </c>
      <c r="S317" s="109">
        <v>4</v>
      </c>
      <c r="T317" s="109">
        <v>10</v>
      </c>
      <c r="U317" s="139">
        <v>48</v>
      </c>
      <c r="V317" s="140">
        <v>480</v>
      </c>
    </row>
    <row r="318" spans="1:22" x14ac:dyDescent="0.25">
      <c r="A318" s="103">
        <v>4671</v>
      </c>
      <c r="B318" s="104" t="s">
        <v>14</v>
      </c>
      <c r="C318" s="104" t="s">
        <v>175</v>
      </c>
      <c r="D318" s="104" t="s">
        <v>78</v>
      </c>
      <c r="E318" s="104" t="s">
        <v>172</v>
      </c>
      <c r="F318" s="104">
        <v>2016</v>
      </c>
      <c r="G318" s="105">
        <v>42634.583333333336</v>
      </c>
      <c r="H318" s="105">
        <v>42647.75</v>
      </c>
      <c r="I318" s="106">
        <v>42634</v>
      </c>
      <c r="J318" s="106">
        <v>42647</v>
      </c>
      <c r="K318" s="107" t="s">
        <v>527</v>
      </c>
      <c r="L318" s="107">
        <v>0.75</v>
      </c>
      <c r="M318" s="107" t="s">
        <v>542</v>
      </c>
      <c r="N318" s="107" t="s">
        <v>535</v>
      </c>
      <c r="O318" s="107" t="s">
        <v>524</v>
      </c>
      <c r="P318" s="104" t="s">
        <v>9</v>
      </c>
      <c r="Q318" s="104" t="s">
        <v>16</v>
      </c>
      <c r="R318" s="104" t="s">
        <v>109</v>
      </c>
      <c r="S318" s="104">
        <v>3</v>
      </c>
      <c r="T318" s="104">
        <v>9</v>
      </c>
      <c r="U318" s="137">
        <v>62</v>
      </c>
      <c r="V318" s="138">
        <v>558</v>
      </c>
    </row>
    <row r="319" spans="1:22" x14ac:dyDescent="0.25">
      <c r="A319" s="108">
        <v>4672</v>
      </c>
      <c r="B319" s="109" t="s">
        <v>45</v>
      </c>
      <c r="C319" s="109" t="s">
        <v>177</v>
      </c>
      <c r="D319" s="109" t="s">
        <v>85</v>
      </c>
      <c r="E319" s="109" t="s">
        <v>170</v>
      </c>
      <c r="F319" s="109">
        <v>2016</v>
      </c>
      <c r="G319" s="110">
        <v>42635.375</v>
      </c>
      <c r="H319" s="110">
        <v>42641.75</v>
      </c>
      <c r="I319" s="111">
        <v>42635</v>
      </c>
      <c r="J319" s="111">
        <v>42641</v>
      </c>
      <c r="K319" s="112" t="s">
        <v>525</v>
      </c>
      <c r="L319" s="112">
        <v>0.75</v>
      </c>
      <c r="M319" s="112" t="s">
        <v>540</v>
      </c>
      <c r="N319" s="112" t="s">
        <v>535</v>
      </c>
      <c r="O319" s="112" t="s">
        <v>524</v>
      </c>
      <c r="P319" s="109" t="s">
        <v>23</v>
      </c>
      <c r="Q319" s="109" t="s">
        <v>18</v>
      </c>
      <c r="R319" s="109" t="s">
        <v>113</v>
      </c>
      <c r="S319" s="109">
        <v>5</v>
      </c>
      <c r="T319" s="109">
        <v>10</v>
      </c>
      <c r="U319" s="139">
        <v>48</v>
      </c>
      <c r="V319" s="140">
        <v>480</v>
      </c>
    </row>
    <row r="320" spans="1:22" x14ac:dyDescent="0.25">
      <c r="A320" s="103">
        <v>4673</v>
      </c>
      <c r="B320" s="104" t="s">
        <v>11</v>
      </c>
      <c r="C320" s="104" t="s">
        <v>175</v>
      </c>
      <c r="D320" s="104" t="s">
        <v>77</v>
      </c>
      <c r="E320" s="104" t="s">
        <v>172</v>
      </c>
      <c r="F320" s="104">
        <v>2016</v>
      </c>
      <c r="G320" s="105">
        <v>42636.333333333336</v>
      </c>
      <c r="H320" s="105">
        <v>42649.5</v>
      </c>
      <c r="I320" s="106">
        <v>42636</v>
      </c>
      <c r="J320" s="106">
        <v>42649</v>
      </c>
      <c r="K320" s="107" t="s">
        <v>522</v>
      </c>
      <c r="L320" s="107">
        <v>0.5</v>
      </c>
      <c r="M320" s="107" t="s">
        <v>539</v>
      </c>
      <c r="N320" s="107" t="s">
        <v>535</v>
      </c>
      <c r="O320" s="107" t="s">
        <v>524</v>
      </c>
      <c r="P320" s="104" t="s">
        <v>9</v>
      </c>
      <c r="Q320" s="104" t="s">
        <v>38</v>
      </c>
      <c r="R320" s="104" t="s">
        <v>113</v>
      </c>
      <c r="S320" s="104">
        <v>4</v>
      </c>
      <c r="T320" s="104">
        <v>12</v>
      </c>
      <c r="U320" s="137">
        <v>35</v>
      </c>
      <c r="V320" s="138">
        <v>420</v>
      </c>
    </row>
    <row r="321" spans="1:22" x14ac:dyDescent="0.25">
      <c r="A321" s="108">
        <v>4674</v>
      </c>
      <c r="B321" s="109" t="s">
        <v>45</v>
      </c>
      <c r="C321" s="109" t="s">
        <v>177</v>
      </c>
      <c r="D321" s="109" t="s">
        <v>86</v>
      </c>
      <c r="E321" s="109" t="s">
        <v>169</v>
      </c>
      <c r="F321" s="109">
        <v>2016</v>
      </c>
      <c r="G321" s="110">
        <v>42637.375</v>
      </c>
      <c r="H321" s="110">
        <v>42642.75</v>
      </c>
      <c r="I321" s="111">
        <v>42637</v>
      </c>
      <c r="J321" s="111">
        <v>42642</v>
      </c>
      <c r="K321" s="112" t="s">
        <v>525</v>
      </c>
      <c r="L321" s="112">
        <v>0.75</v>
      </c>
      <c r="M321" s="112" t="s">
        <v>540</v>
      </c>
      <c r="N321" s="112" t="s">
        <v>535</v>
      </c>
      <c r="O321" s="112" t="s">
        <v>524</v>
      </c>
      <c r="P321" s="109" t="s">
        <v>23</v>
      </c>
      <c r="Q321" s="109" t="s">
        <v>16</v>
      </c>
      <c r="R321" s="109" t="s">
        <v>109</v>
      </c>
      <c r="S321" s="109">
        <v>3</v>
      </c>
      <c r="T321" s="109">
        <v>11</v>
      </c>
      <c r="U321" s="139">
        <v>48</v>
      </c>
      <c r="V321" s="140">
        <v>528</v>
      </c>
    </row>
    <row r="322" spans="1:22" x14ac:dyDescent="0.25">
      <c r="A322" s="103">
        <v>4675</v>
      </c>
      <c r="B322" s="104" t="s">
        <v>45</v>
      </c>
      <c r="C322" s="104" t="s">
        <v>177</v>
      </c>
      <c r="D322" s="104" t="s">
        <v>77</v>
      </c>
      <c r="E322" s="104" t="s">
        <v>172</v>
      </c>
      <c r="F322" s="104">
        <v>2016</v>
      </c>
      <c r="G322" s="105">
        <v>42639.791666666664</v>
      </c>
      <c r="H322" s="105">
        <v>42650.958333333336</v>
      </c>
      <c r="I322" s="106">
        <v>42639</v>
      </c>
      <c r="J322" s="106">
        <v>42650</v>
      </c>
      <c r="K322" s="107" t="s">
        <v>526</v>
      </c>
      <c r="L322" s="107">
        <v>0.95833333333333337</v>
      </c>
      <c r="M322" s="107" t="s">
        <v>541</v>
      </c>
      <c r="N322" s="107" t="s">
        <v>535</v>
      </c>
      <c r="O322" s="107" t="s">
        <v>524</v>
      </c>
      <c r="P322" s="104" t="s">
        <v>9</v>
      </c>
      <c r="Q322" s="104" t="s">
        <v>18</v>
      </c>
      <c r="R322" s="104" t="s">
        <v>113</v>
      </c>
      <c r="S322" s="104">
        <v>5</v>
      </c>
      <c r="T322" s="104">
        <v>9</v>
      </c>
      <c r="U322" s="137">
        <v>35</v>
      </c>
      <c r="V322" s="138">
        <v>315</v>
      </c>
    </row>
    <row r="323" spans="1:22" x14ac:dyDescent="0.25">
      <c r="A323" s="108">
        <v>4676</v>
      </c>
      <c r="B323" s="109" t="s">
        <v>17</v>
      </c>
      <c r="C323" s="109" t="s">
        <v>176</v>
      </c>
      <c r="D323" s="109" t="s">
        <v>79</v>
      </c>
      <c r="E323" s="109" t="s">
        <v>168</v>
      </c>
      <c r="F323" s="109">
        <v>2016</v>
      </c>
      <c r="G323" s="110">
        <v>42639.791666666664</v>
      </c>
      <c r="H323" s="110">
        <v>42650.958333333336</v>
      </c>
      <c r="I323" s="111">
        <v>42639</v>
      </c>
      <c r="J323" s="111">
        <v>42650</v>
      </c>
      <c r="K323" s="112" t="s">
        <v>526</v>
      </c>
      <c r="L323" s="112">
        <v>0.95833333333333337</v>
      </c>
      <c r="M323" s="112" t="s">
        <v>541</v>
      </c>
      <c r="N323" s="112" t="s">
        <v>535</v>
      </c>
      <c r="O323" s="112" t="s">
        <v>524</v>
      </c>
      <c r="P323" s="109" t="s">
        <v>23</v>
      </c>
      <c r="Q323" s="109" t="s">
        <v>16</v>
      </c>
      <c r="R323" s="109" t="s">
        <v>109</v>
      </c>
      <c r="S323" s="109">
        <v>4</v>
      </c>
      <c r="T323" s="109">
        <v>9</v>
      </c>
      <c r="U323" s="139">
        <v>48</v>
      </c>
      <c r="V323" s="140">
        <v>432</v>
      </c>
    </row>
    <row r="324" spans="1:22" x14ac:dyDescent="0.25">
      <c r="A324" s="103">
        <v>4677</v>
      </c>
      <c r="B324" s="104" t="s">
        <v>39</v>
      </c>
      <c r="C324" s="104" t="s">
        <v>177</v>
      </c>
      <c r="D324" s="104" t="s">
        <v>82</v>
      </c>
      <c r="E324" s="104" t="s">
        <v>172</v>
      </c>
      <c r="F324" s="104">
        <v>2016</v>
      </c>
      <c r="G324" s="105">
        <v>42640.791666666664</v>
      </c>
      <c r="H324" s="105">
        <v>42653.958333333336</v>
      </c>
      <c r="I324" s="106">
        <v>42640</v>
      </c>
      <c r="J324" s="106">
        <v>42653</v>
      </c>
      <c r="K324" s="107" t="s">
        <v>526</v>
      </c>
      <c r="L324" s="107">
        <v>0.95833333333333337</v>
      </c>
      <c r="M324" s="107" t="s">
        <v>541</v>
      </c>
      <c r="N324" s="107" t="s">
        <v>535</v>
      </c>
      <c r="O324" s="107" t="s">
        <v>524</v>
      </c>
      <c r="P324" s="104" t="s">
        <v>9</v>
      </c>
      <c r="Q324" s="104" t="s">
        <v>190</v>
      </c>
      <c r="R324" s="104" t="s">
        <v>109</v>
      </c>
      <c r="S324" s="104">
        <v>4</v>
      </c>
      <c r="T324" s="104">
        <v>8</v>
      </c>
      <c r="U324" s="137">
        <v>75</v>
      </c>
      <c r="V324" s="138">
        <v>600</v>
      </c>
    </row>
    <row r="325" spans="1:22" x14ac:dyDescent="0.25">
      <c r="A325" s="108">
        <v>4678</v>
      </c>
      <c r="B325" s="109" t="s">
        <v>22</v>
      </c>
      <c r="C325" s="109" t="s">
        <v>176</v>
      </c>
      <c r="D325" s="109" t="s">
        <v>82</v>
      </c>
      <c r="E325" s="109" t="s">
        <v>172</v>
      </c>
      <c r="F325" s="109">
        <v>2016</v>
      </c>
      <c r="G325" s="110">
        <v>42641.583333333336</v>
      </c>
      <c r="H325" s="110">
        <v>42654.75</v>
      </c>
      <c r="I325" s="111">
        <v>42641</v>
      </c>
      <c r="J325" s="111">
        <v>42654</v>
      </c>
      <c r="K325" s="112" t="s">
        <v>527</v>
      </c>
      <c r="L325" s="112">
        <v>0.75</v>
      </c>
      <c r="M325" s="112" t="s">
        <v>542</v>
      </c>
      <c r="N325" s="112" t="s">
        <v>535</v>
      </c>
      <c r="O325" s="112" t="s">
        <v>524</v>
      </c>
      <c r="P325" s="109" t="s">
        <v>23</v>
      </c>
      <c r="Q325" s="109" t="s">
        <v>16</v>
      </c>
      <c r="R325" s="109" t="s">
        <v>109</v>
      </c>
      <c r="S325" s="109">
        <v>3</v>
      </c>
      <c r="T325" s="109">
        <v>8</v>
      </c>
      <c r="U325" s="139">
        <v>75</v>
      </c>
      <c r="V325" s="140">
        <v>600</v>
      </c>
    </row>
    <row r="326" spans="1:22" x14ac:dyDescent="0.25">
      <c r="A326" s="103">
        <v>4679</v>
      </c>
      <c r="B326" s="104" t="s">
        <v>45</v>
      </c>
      <c r="C326" s="104" t="s">
        <v>177</v>
      </c>
      <c r="D326" s="104" t="s">
        <v>80</v>
      </c>
      <c r="E326" s="104" t="s">
        <v>173</v>
      </c>
      <c r="F326" s="104">
        <v>2016</v>
      </c>
      <c r="G326" s="105">
        <v>42642.375</v>
      </c>
      <c r="H326" s="105">
        <v>42648.75</v>
      </c>
      <c r="I326" s="106">
        <v>42642</v>
      </c>
      <c r="J326" s="106">
        <v>42648</v>
      </c>
      <c r="K326" s="107" t="s">
        <v>525</v>
      </c>
      <c r="L326" s="107">
        <v>0.75</v>
      </c>
      <c r="M326" s="107" t="s">
        <v>540</v>
      </c>
      <c r="N326" s="107" t="s">
        <v>535</v>
      </c>
      <c r="O326" s="107" t="s">
        <v>524</v>
      </c>
      <c r="P326" s="104" t="s">
        <v>9</v>
      </c>
      <c r="Q326" s="104" t="s">
        <v>16</v>
      </c>
      <c r="R326" s="104" t="s">
        <v>109</v>
      </c>
      <c r="S326" s="104">
        <v>4</v>
      </c>
      <c r="T326" s="104">
        <v>8</v>
      </c>
      <c r="U326" s="137">
        <v>32</v>
      </c>
      <c r="V326" s="138">
        <v>256</v>
      </c>
    </row>
    <row r="327" spans="1:22" x14ac:dyDescent="0.25">
      <c r="A327" s="108">
        <v>4680</v>
      </c>
      <c r="B327" s="109" t="s">
        <v>11</v>
      </c>
      <c r="C327" s="109" t="s">
        <v>175</v>
      </c>
      <c r="D327" s="109" t="s">
        <v>85</v>
      </c>
      <c r="E327" s="109" t="s">
        <v>170</v>
      </c>
      <c r="F327" s="109">
        <v>2016</v>
      </c>
      <c r="G327" s="110">
        <v>42643.333333333336</v>
      </c>
      <c r="H327" s="110">
        <v>42656.5</v>
      </c>
      <c r="I327" s="111">
        <v>42643</v>
      </c>
      <c r="J327" s="111">
        <v>42656</v>
      </c>
      <c r="K327" s="112" t="s">
        <v>522</v>
      </c>
      <c r="L327" s="112">
        <v>0.5</v>
      </c>
      <c r="M327" s="112" t="s">
        <v>539</v>
      </c>
      <c r="N327" s="112" t="s">
        <v>535</v>
      </c>
      <c r="O327" s="112" t="s">
        <v>524</v>
      </c>
      <c r="P327" s="109" t="s">
        <v>23</v>
      </c>
      <c r="Q327" s="109" t="s">
        <v>12</v>
      </c>
      <c r="R327" s="109" t="s">
        <v>113</v>
      </c>
      <c r="S327" s="109">
        <v>3</v>
      </c>
      <c r="T327" s="109">
        <v>12</v>
      </c>
      <c r="U327" s="139">
        <v>48</v>
      </c>
      <c r="V327" s="140">
        <v>576</v>
      </c>
    </row>
    <row r="328" spans="1:22" x14ac:dyDescent="0.25">
      <c r="A328" s="103">
        <v>4681</v>
      </c>
      <c r="B328" s="104" t="s">
        <v>29</v>
      </c>
      <c r="C328" s="104" t="s">
        <v>177</v>
      </c>
      <c r="D328" s="104" t="s">
        <v>78</v>
      </c>
      <c r="E328" s="104" t="s">
        <v>172</v>
      </c>
      <c r="F328" s="104">
        <v>2016</v>
      </c>
      <c r="G328" s="105">
        <v>42644.375</v>
      </c>
      <c r="H328" s="105">
        <v>42649.75</v>
      </c>
      <c r="I328" s="106">
        <v>42644</v>
      </c>
      <c r="J328" s="106">
        <v>42649</v>
      </c>
      <c r="K328" s="107" t="s">
        <v>525</v>
      </c>
      <c r="L328" s="107">
        <v>0.75</v>
      </c>
      <c r="M328" s="107" t="s">
        <v>540</v>
      </c>
      <c r="N328" s="107" t="s">
        <v>536</v>
      </c>
      <c r="O328" s="107" t="s">
        <v>524</v>
      </c>
      <c r="P328" s="104" t="s">
        <v>9</v>
      </c>
      <c r="Q328" s="104" t="s">
        <v>44</v>
      </c>
      <c r="R328" s="104" t="s">
        <v>113</v>
      </c>
      <c r="S328" s="104">
        <v>5</v>
      </c>
      <c r="T328" s="104">
        <v>11</v>
      </c>
      <c r="U328" s="137">
        <v>62</v>
      </c>
      <c r="V328" s="138">
        <v>682</v>
      </c>
    </row>
    <row r="329" spans="1:22" x14ac:dyDescent="0.25">
      <c r="A329" s="108">
        <v>4682</v>
      </c>
      <c r="B329" s="109" t="s">
        <v>22</v>
      </c>
      <c r="C329" s="109" t="s">
        <v>176</v>
      </c>
      <c r="D329" s="109" t="s">
        <v>89</v>
      </c>
      <c r="E329" s="109" t="s">
        <v>169</v>
      </c>
      <c r="F329" s="109">
        <v>2016</v>
      </c>
      <c r="G329" s="110">
        <v>42646.791666666664</v>
      </c>
      <c r="H329" s="110">
        <v>42657.958333333336</v>
      </c>
      <c r="I329" s="111">
        <v>42646</v>
      </c>
      <c r="J329" s="111">
        <v>42657</v>
      </c>
      <c r="K329" s="112" t="s">
        <v>526</v>
      </c>
      <c r="L329" s="112">
        <v>0.95833333333333337</v>
      </c>
      <c r="M329" s="112" t="s">
        <v>541</v>
      </c>
      <c r="N329" s="112" t="s">
        <v>536</v>
      </c>
      <c r="O329" s="112" t="s">
        <v>524</v>
      </c>
      <c r="P329" s="109" t="s">
        <v>23</v>
      </c>
      <c r="Q329" s="109" t="s">
        <v>190</v>
      </c>
      <c r="R329" s="109" t="s">
        <v>109</v>
      </c>
      <c r="S329" s="109" t="s">
        <v>191</v>
      </c>
      <c r="T329" s="109">
        <v>10</v>
      </c>
      <c r="U329" s="139">
        <v>62</v>
      </c>
      <c r="V329" s="140">
        <v>620</v>
      </c>
    </row>
    <row r="330" spans="1:22" x14ac:dyDescent="0.25">
      <c r="A330" s="103">
        <v>4683</v>
      </c>
      <c r="B330" s="104" t="s">
        <v>11</v>
      </c>
      <c r="C330" s="104" t="s">
        <v>175</v>
      </c>
      <c r="D330" s="104" t="s">
        <v>79</v>
      </c>
      <c r="E330" s="104" t="s">
        <v>168</v>
      </c>
      <c r="F330" s="104">
        <v>2016</v>
      </c>
      <c r="G330" s="105">
        <v>42646.791666666664</v>
      </c>
      <c r="H330" s="105">
        <v>42657.958333333336</v>
      </c>
      <c r="I330" s="106">
        <v>42646</v>
      </c>
      <c r="J330" s="106">
        <v>42657</v>
      </c>
      <c r="K330" s="107" t="s">
        <v>526</v>
      </c>
      <c r="L330" s="107">
        <v>0.95833333333333337</v>
      </c>
      <c r="M330" s="107" t="s">
        <v>541</v>
      </c>
      <c r="N330" s="107" t="s">
        <v>536</v>
      </c>
      <c r="O330" s="107" t="s">
        <v>524</v>
      </c>
      <c r="P330" s="104" t="s">
        <v>23</v>
      </c>
      <c r="Q330" s="104" t="s">
        <v>28</v>
      </c>
      <c r="R330" s="104" t="s">
        <v>109</v>
      </c>
      <c r="S330" s="104">
        <v>2</v>
      </c>
      <c r="T330" s="104">
        <v>8</v>
      </c>
      <c r="U330" s="137">
        <v>48</v>
      </c>
      <c r="V330" s="138">
        <v>384</v>
      </c>
    </row>
    <row r="331" spans="1:22" x14ac:dyDescent="0.25">
      <c r="A331" s="108">
        <v>4684</v>
      </c>
      <c r="B331" s="109" t="s">
        <v>39</v>
      </c>
      <c r="C331" s="109" t="s">
        <v>177</v>
      </c>
      <c r="D331" s="109" t="s">
        <v>89</v>
      </c>
      <c r="E331" s="109" t="s">
        <v>169</v>
      </c>
      <c r="F331" s="109">
        <v>2016</v>
      </c>
      <c r="G331" s="110">
        <v>42647.791666666664</v>
      </c>
      <c r="H331" s="110">
        <v>42660.958333333336</v>
      </c>
      <c r="I331" s="111">
        <v>42647</v>
      </c>
      <c r="J331" s="111">
        <v>42660</v>
      </c>
      <c r="K331" s="112" t="s">
        <v>526</v>
      </c>
      <c r="L331" s="112">
        <v>0.95833333333333337</v>
      </c>
      <c r="M331" s="112" t="s">
        <v>541</v>
      </c>
      <c r="N331" s="112" t="s">
        <v>536</v>
      </c>
      <c r="O331" s="112" t="s">
        <v>524</v>
      </c>
      <c r="P331" s="109" t="s">
        <v>23</v>
      </c>
      <c r="Q331" s="109" t="s">
        <v>18</v>
      </c>
      <c r="R331" s="109" t="s">
        <v>113</v>
      </c>
      <c r="S331" s="109">
        <v>5</v>
      </c>
      <c r="T331" s="109">
        <v>10</v>
      </c>
      <c r="U331" s="139">
        <v>62</v>
      </c>
      <c r="V331" s="140">
        <v>620</v>
      </c>
    </row>
    <row r="332" spans="1:22" x14ac:dyDescent="0.25">
      <c r="A332" s="103">
        <v>4685</v>
      </c>
      <c r="B332" s="104" t="s">
        <v>39</v>
      </c>
      <c r="C332" s="104" t="s">
        <v>177</v>
      </c>
      <c r="D332" s="104" t="s">
        <v>83</v>
      </c>
      <c r="E332" s="104" t="s">
        <v>174</v>
      </c>
      <c r="F332" s="104">
        <v>2016</v>
      </c>
      <c r="G332" s="105">
        <v>42648.583333333336</v>
      </c>
      <c r="H332" s="105">
        <v>42661.75</v>
      </c>
      <c r="I332" s="106">
        <v>42648</v>
      </c>
      <c r="J332" s="106">
        <v>42661</v>
      </c>
      <c r="K332" s="107" t="s">
        <v>527</v>
      </c>
      <c r="L332" s="107">
        <v>0.75</v>
      </c>
      <c r="M332" s="107" t="s">
        <v>542</v>
      </c>
      <c r="N332" s="107" t="s">
        <v>536</v>
      </c>
      <c r="O332" s="107" t="s">
        <v>524</v>
      </c>
      <c r="P332" s="104" t="s">
        <v>9</v>
      </c>
      <c r="Q332" s="104" t="s">
        <v>190</v>
      </c>
      <c r="R332" s="104" t="s">
        <v>109</v>
      </c>
      <c r="S332" s="104">
        <v>2</v>
      </c>
      <c r="T332" s="104">
        <v>8</v>
      </c>
      <c r="U332" s="137">
        <v>63</v>
      </c>
      <c r="V332" s="138">
        <v>504</v>
      </c>
    </row>
    <row r="333" spans="1:22" x14ac:dyDescent="0.25">
      <c r="A333" s="108">
        <v>4686</v>
      </c>
      <c r="B333" s="109" t="s">
        <v>19</v>
      </c>
      <c r="C333" s="109" t="s">
        <v>176</v>
      </c>
      <c r="D333" s="109" t="s">
        <v>78</v>
      </c>
      <c r="E333" s="109" t="s">
        <v>172</v>
      </c>
      <c r="F333" s="109">
        <v>2016</v>
      </c>
      <c r="G333" s="110">
        <v>42649.375</v>
      </c>
      <c r="H333" s="110">
        <v>42655.75</v>
      </c>
      <c r="I333" s="111">
        <v>42649</v>
      </c>
      <c r="J333" s="111">
        <v>42655</v>
      </c>
      <c r="K333" s="112" t="s">
        <v>525</v>
      </c>
      <c r="L333" s="112">
        <v>0.75</v>
      </c>
      <c r="M333" s="112" t="s">
        <v>540</v>
      </c>
      <c r="N333" s="112" t="s">
        <v>536</v>
      </c>
      <c r="O333" s="112" t="s">
        <v>524</v>
      </c>
      <c r="P333" s="109" t="s">
        <v>9</v>
      </c>
      <c r="Q333" s="109" t="s">
        <v>41</v>
      </c>
      <c r="R333" s="109" t="s">
        <v>113</v>
      </c>
      <c r="S333" s="109">
        <v>5</v>
      </c>
      <c r="T333" s="109">
        <v>12</v>
      </c>
      <c r="U333" s="139">
        <v>62</v>
      </c>
      <c r="V333" s="140">
        <v>744</v>
      </c>
    </row>
    <row r="334" spans="1:22" x14ac:dyDescent="0.25">
      <c r="A334" s="103">
        <v>4687</v>
      </c>
      <c r="B334" s="104" t="s">
        <v>11</v>
      </c>
      <c r="C334" s="104" t="s">
        <v>175</v>
      </c>
      <c r="D334" s="104" t="s">
        <v>79</v>
      </c>
      <c r="E334" s="104" t="s">
        <v>168</v>
      </c>
      <c r="F334" s="104">
        <v>2016</v>
      </c>
      <c r="G334" s="105">
        <v>42650.333333333336</v>
      </c>
      <c r="H334" s="105">
        <v>42663.5</v>
      </c>
      <c r="I334" s="106">
        <v>42650</v>
      </c>
      <c r="J334" s="106">
        <v>42663</v>
      </c>
      <c r="K334" s="107" t="s">
        <v>522</v>
      </c>
      <c r="L334" s="107">
        <v>0.5</v>
      </c>
      <c r="M334" s="107" t="s">
        <v>539</v>
      </c>
      <c r="N334" s="107" t="s">
        <v>536</v>
      </c>
      <c r="O334" s="107" t="s">
        <v>524</v>
      </c>
      <c r="P334" s="104" t="s">
        <v>9</v>
      </c>
      <c r="Q334" s="104" t="s">
        <v>26</v>
      </c>
      <c r="R334" s="104" t="s">
        <v>113</v>
      </c>
      <c r="S334" s="104">
        <v>2</v>
      </c>
      <c r="T334" s="104">
        <v>10</v>
      </c>
      <c r="U334" s="137">
        <v>48</v>
      </c>
      <c r="V334" s="138">
        <v>480</v>
      </c>
    </row>
    <row r="335" spans="1:22" x14ac:dyDescent="0.25">
      <c r="A335" s="108">
        <v>4688</v>
      </c>
      <c r="B335" s="109" t="s">
        <v>19</v>
      </c>
      <c r="C335" s="109" t="s">
        <v>176</v>
      </c>
      <c r="D335" s="109" t="s">
        <v>76</v>
      </c>
      <c r="E335" s="109" t="s">
        <v>174</v>
      </c>
      <c r="F335" s="109">
        <v>2016</v>
      </c>
      <c r="G335" s="110">
        <v>42651.375</v>
      </c>
      <c r="H335" s="110">
        <v>42656.75</v>
      </c>
      <c r="I335" s="111">
        <v>42651</v>
      </c>
      <c r="J335" s="111">
        <v>42656</v>
      </c>
      <c r="K335" s="112" t="s">
        <v>525</v>
      </c>
      <c r="L335" s="112">
        <v>0.75</v>
      </c>
      <c r="M335" s="112" t="s">
        <v>540</v>
      </c>
      <c r="N335" s="112" t="s">
        <v>536</v>
      </c>
      <c r="O335" s="112" t="s">
        <v>524</v>
      </c>
      <c r="P335" s="109" t="s">
        <v>9</v>
      </c>
      <c r="Q335" s="109" t="s">
        <v>33</v>
      </c>
      <c r="R335" s="109" t="s">
        <v>113</v>
      </c>
      <c r="S335" s="109">
        <v>3</v>
      </c>
      <c r="T335" s="109">
        <v>11</v>
      </c>
      <c r="U335" s="139">
        <v>53</v>
      </c>
      <c r="V335" s="140">
        <v>583</v>
      </c>
    </row>
    <row r="336" spans="1:22" x14ac:dyDescent="0.25">
      <c r="A336" s="103">
        <v>4689</v>
      </c>
      <c r="B336" s="104" t="s">
        <v>11</v>
      </c>
      <c r="C336" s="104" t="s">
        <v>175</v>
      </c>
      <c r="D336" s="104" t="s">
        <v>76</v>
      </c>
      <c r="E336" s="104" t="s">
        <v>174</v>
      </c>
      <c r="F336" s="104">
        <v>2016</v>
      </c>
      <c r="G336" s="105">
        <v>42653.791666666664</v>
      </c>
      <c r="H336" s="105">
        <v>42664.958333333336</v>
      </c>
      <c r="I336" s="106">
        <v>42653</v>
      </c>
      <c r="J336" s="106">
        <v>42664</v>
      </c>
      <c r="K336" s="107" t="s">
        <v>526</v>
      </c>
      <c r="L336" s="107">
        <v>0.95833333333333337</v>
      </c>
      <c r="M336" s="107" t="s">
        <v>541</v>
      </c>
      <c r="N336" s="107" t="s">
        <v>536</v>
      </c>
      <c r="O336" s="107" t="s">
        <v>524</v>
      </c>
      <c r="P336" s="104" t="s">
        <v>9</v>
      </c>
      <c r="Q336" s="104" t="s">
        <v>33</v>
      </c>
      <c r="R336" s="104" t="s">
        <v>113</v>
      </c>
      <c r="S336" s="104">
        <v>3</v>
      </c>
      <c r="T336" s="104">
        <v>8</v>
      </c>
      <c r="U336" s="137">
        <v>53</v>
      </c>
      <c r="V336" s="138">
        <v>424</v>
      </c>
    </row>
    <row r="337" spans="1:22" x14ac:dyDescent="0.25">
      <c r="A337" s="108">
        <v>4690</v>
      </c>
      <c r="B337" s="109" t="s">
        <v>39</v>
      </c>
      <c r="C337" s="109" t="s">
        <v>177</v>
      </c>
      <c r="D337" s="109" t="s">
        <v>79</v>
      </c>
      <c r="E337" s="109" t="s">
        <v>168</v>
      </c>
      <c r="F337" s="109">
        <v>2016</v>
      </c>
      <c r="G337" s="110">
        <v>42653.791666666664</v>
      </c>
      <c r="H337" s="110">
        <v>42664.958333333336</v>
      </c>
      <c r="I337" s="111">
        <v>42653</v>
      </c>
      <c r="J337" s="111">
        <v>42664</v>
      </c>
      <c r="K337" s="112" t="s">
        <v>526</v>
      </c>
      <c r="L337" s="112">
        <v>0.95833333333333337</v>
      </c>
      <c r="M337" s="112" t="s">
        <v>541</v>
      </c>
      <c r="N337" s="112" t="s">
        <v>536</v>
      </c>
      <c r="O337" s="112" t="s">
        <v>524</v>
      </c>
      <c r="P337" s="109" t="s">
        <v>9</v>
      </c>
      <c r="Q337" s="109" t="s">
        <v>21</v>
      </c>
      <c r="R337" s="109" t="s">
        <v>113</v>
      </c>
      <c r="S337" s="109">
        <v>3</v>
      </c>
      <c r="T337" s="109">
        <v>8</v>
      </c>
      <c r="U337" s="139">
        <v>48</v>
      </c>
      <c r="V337" s="140">
        <v>384</v>
      </c>
    </row>
    <row r="338" spans="1:22" x14ac:dyDescent="0.25">
      <c r="A338" s="103">
        <v>4691</v>
      </c>
      <c r="B338" s="104" t="s">
        <v>45</v>
      </c>
      <c r="C338" s="104" t="s">
        <v>177</v>
      </c>
      <c r="D338" s="104" t="s">
        <v>85</v>
      </c>
      <c r="E338" s="104" t="s">
        <v>170</v>
      </c>
      <c r="F338" s="104">
        <v>2016</v>
      </c>
      <c r="G338" s="105">
        <v>42654.791666666664</v>
      </c>
      <c r="H338" s="105">
        <v>42667.958333333336</v>
      </c>
      <c r="I338" s="106">
        <v>42654</v>
      </c>
      <c r="J338" s="106">
        <v>42667</v>
      </c>
      <c r="K338" s="107" t="s">
        <v>526</v>
      </c>
      <c r="L338" s="107">
        <v>0.95833333333333337</v>
      </c>
      <c r="M338" s="107" t="s">
        <v>541</v>
      </c>
      <c r="N338" s="107" t="s">
        <v>536</v>
      </c>
      <c r="O338" s="107" t="s">
        <v>524</v>
      </c>
      <c r="P338" s="104" t="s">
        <v>23</v>
      </c>
      <c r="Q338" s="104" t="s">
        <v>16</v>
      </c>
      <c r="R338" s="104" t="s">
        <v>109</v>
      </c>
      <c r="S338" s="104">
        <v>2</v>
      </c>
      <c r="T338" s="104">
        <v>8</v>
      </c>
      <c r="U338" s="137">
        <v>48</v>
      </c>
      <c r="V338" s="138">
        <v>384</v>
      </c>
    </row>
    <row r="339" spans="1:22" x14ac:dyDescent="0.25">
      <c r="A339" s="108">
        <v>4692</v>
      </c>
      <c r="B339" s="109" t="s">
        <v>7</v>
      </c>
      <c r="C339" s="109" t="s">
        <v>175</v>
      </c>
      <c r="D339" s="109" t="s">
        <v>77</v>
      </c>
      <c r="E339" s="109" t="s">
        <v>172</v>
      </c>
      <c r="F339" s="109">
        <v>2016</v>
      </c>
      <c r="G339" s="110">
        <v>42655.583333333336</v>
      </c>
      <c r="H339" s="110">
        <v>42668.75</v>
      </c>
      <c r="I339" s="111">
        <v>42655</v>
      </c>
      <c r="J339" s="111">
        <v>42668</v>
      </c>
      <c r="K339" s="112" t="s">
        <v>527</v>
      </c>
      <c r="L339" s="112">
        <v>0.75</v>
      </c>
      <c r="M339" s="112" t="s">
        <v>542</v>
      </c>
      <c r="N339" s="112" t="s">
        <v>536</v>
      </c>
      <c r="O339" s="112" t="s">
        <v>524</v>
      </c>
      <c r="P339" s="109" t="s">
        <v>9</v>
      </c>
      <c r="Q339" s="109" t="s">
        <v>31</v>
      </c>
      <c r="R339" s="109" t="s">
        <v>113</v>
      </c>
      <c r="S339" s="109">
        <v>2</v>
      </c>
      <c r="T339" s="109">
        <v>10</v>
      </c>
      <c r="U339" s="139">
        <v>35</v>
      </c>
      <c r="V339" s="140">
        <v>350</v>
      </c>
    </row>
    <row r="340" spans="1:22" x14ac:dyDescent="0.25">
      <c r="A340" s="103">
        <v>4693</v>
      </c>
      <c r="B340" s="104" t="s">
        <v>39</v>
      </c>
      <c r="C340" s="104" t="s">
        <v>177</v>
      </c>
      <c r="D340" s="104" t="s">
        <v>89</v>
      </c>
      <c r="E340" s="104" t="s">
        <v>169</v>
      </c>
      <c r="F340" s="104">
        <v>2016</v>
      </c>
      <c r="G340" s="105">
        <v>42656.375</v>
      </c>
      <c r="H340" s="105">
        <v>42662.75</v>
      </c>
      <c r="I340" s="106">
        <v>42656</v>
      </c>
      <c r="J340" s="106">
        <v>42662</v>
      </c>
      <c r="K340" s="107" t="s">
        <v>525</v>
      </c>
      <c r="L340" s="107">
        <v>0.75</v>
      </c>
      <c r="M340" s="107" t="s">
        <v>540</v>
      </c>
      <c r="N340" s="107" t="s">
        <v>536</v>
      </c>
      <c r="O340" s="107" t="s">
        <v>524</v>
      </c>
      <c r="P340" s="104" t="s">
        <v>9</v>
      </c>
      <c r="Q340" s="104" t="s">
        <v>37</v>
      </c>
      <c r="R340" s="104" t="s">
        <v>113</v>
      </c>
      <c r="S340" s="104">
        <v>2</v>
      </c>
      <c r="T340" s="104">
        <v>11</v>
      </c>
      <c r="U340" s="137">
        <v>62</v>
      </c>
      <c r="V340" s="138">
        <v>682</v>
      </c>
    </row>
    <row r="341" spans="1:22" x14ac:dyDescent="0.25">
      <c r="A341" s="108">
        <v>4694</v>
      </c>
      <c r="B341" s="109" t="s">
        <v>14</v>
      </c>
      <c r="C341" s="109" t="s">
        <v>175</v>
      </c>
      <c r="D341" s="109" t="s">
        <v>76</v>
      </c>
      <c r="E341" s="109" t="s">
        <v>174</v>
      </c>
      <c r="F341" s="109">
        <v>2016</v>
      </c>
      <c r="G341" s="110">
        <v>42657.333333333336</v>
      </c>
      <c r="H341" s="110">
        <v>42670.5</v>
      </c>
      <c r="I341" s="111">
        <v>42657</v>
      </c>
      <c r="J341" s="111">
        <v>42670</v>
      </c>
      <c r="K341" s="112" t="s">
        <v>522</v>
      </c>
      <c r="L341" s="112">
        <v>0.5</v>
      </c>
      <c r="M341" s="112" t="s">
        <v>539</v>
      </c>
      <c r="N341" s="112" t="s">
        <v>536</v>
      </c>
      <c r="O341" s="112" t="s">
        <v>524</v>
      </c>
      <c r="P341" s="109" t="s">
        <v>9</v>
      </c>
      <c r="Q341" s="109" t="s">
        <v>21</v>
      </c>
      <c r="R341" s="109" t="s">
        <v>113</v>
      </c>
      <c r="S341" s="109">
        <v>2</v>
      </c>
      <c r="T341" s="109">
        <v>11</v>
      </c>
      <c r="U341" s="139">
        <v>53</v>
      </c>
      <c r="V341" s="140">
        <v>583</v>
      </c>
    </row>
    <row r="342" spans="1:22" x14ac:dyDescent="0.25">
      <c r="A342" s="103">
        <v>4695</v>
      </c>
      <c r="B342" s="104" t="s">
        <v>29</v>
      </c>
      <c r="C342" s="104" t="s">
        <v>177</v>
      </c>
      <c r="D342" s="104" t="s">
        <v>89</v>
      </c>
      <c r="E342" s="104" t="s">
        <v>169</v>
      </c>
      <c r="F342" s="104">
        <v>2016</v>
      </c>
      <c r="G342" s="105">
        <v>42658.375</v>
      </c>
      <c r="H342" s="105">
        <v>42663.75</v>
      </c>
      <c r="I342" s="106">
        <v>42658</v>
      </c>
      <c r="J342" s="106">
        <v>42663</v>
      </c>
      <c r="K342" s="107" t="s">
        <v>525</v>
      </c>
      <c r="L342" s="107">
        <v>0.75</v>
      </c>
      <c r="M342" s="107" t="s">
        <v>540</v>
      </c>
      <c r="N342" s="107" t="s">
        <v>536</v>
      </c>
      <c r="O342" s="107" t="s">
        <v>524</v>
      </c>
      <c r="P342" s="104" t="s">
        <v>23</v>
      </c>
      <c r="Q342" s="104" t="s">
        <v>33</v>
      </c>
      <c r="R342" s="104" t="s">
        <v>113</v>
      </c>
      <c r="S342" s="104">
        <v>2</v>
      </c>
      <c r="T342" s="104">
        <v>8</v>
      </c>
      <c r="U342" s="137">
        <v>62</v>
      </c>
      <c r="V342" s="138">
        <v>496</v>
      </c>
    </row>
    <row r="343" spans="1:22" x14ac:dyDescent="0.25">
      <c r="A343" s="108">
        <v>4696</v>
      </c>
      <c r="B343" s="109" t="s">
        <v>39</v>
      </c>
      <c r="C343" s="109" t="s">
        <v>177</v>
      </c>
      <c r="D343" s="109" t="s">
        <v>88</v>
      </c>
      <c r="E343" s="109" t="s">
        <v>170</v>
      </c>
      <c r="F343" s="109">
        <v>2016</v>
      </c>
      <c r="G343" s="110">
        <v>42660.791666666664</v>
      </c>
      <c r="H343" s="110">
        <v>42671.958333333336</v>
      </c>
      <c r="I343" s="111">
        <v>42660</v>
      </c>
      <c r="J343" s="111">
        <v>42671</v>
      </c>
      <c r="K343" s="112" t="s">
        <v>526</v>
      </c>
      <c r="L343" s="112">
        <v>0.95833333333333337</v>
      </c>
      <c r="M343" s="112" t="s">
        <v>541</v>
      </c>
      <c r="N343" s="112" t="s">
        <v>536</v>
      </c>
      <c r="O343" s="112" t="s">
        <v>524</v>
      </c>
      <c r="P343" s="109" t="s">
        <v>23</v>
      </c>
      <c r="Q343" s="109" t="s">
        <v>16</v>
      </c>
      <c r="R343" s="109" t="s">
        <v>109</v>
      </c>
      <c r="S343" s="109">
        <v>2</v>
      </c>
      <c r="T343" s="109">
        <v>9</v>
      </c>
      <c r="U343" s="139">
        <v>42</v>
      </c>
      <c r="V343" s="140">
        <v>378</v>
      </c>
    </row>
    <row r="344" spans="1:22" x14ac:dyDescent="0.25">
      <c r="A344" s="103">
        <v>4697</v>
      </c>
      <c r="B344" s="104" t="s">
        <v>45</v>
      </c>
      <c r="C344" s="104" t="s">
        <v>177</v>
      </c>
      <c r="D344" s="104" t="s">
        <v>84</v>
      </c>
      <c r="E344" s="104" t="s">
        <v>172</v>
      </c>
      <c r="F344" s="104">
        <v>2016</v>
      </c>
      <c r="G344" s="105">
        <v>42660.791666666664</v>
      </c>
      <c r="H344" s="105">
        <v>42671.958333333336</v>
      </c>
      <c r="I344" s="106">
        <v>42660</v>
      </c>
      <c r="J344" s="106">
        <v>42671</v>
      </c>
      <c r="K344" s="107" t="s">
        <v>526</v>
      </c>
      <c r="L344" s="107">
        <v>0.95833333333333337</v>
      </c>
      <c r="M344" s="107" t="s">
        <v>541</v>
      </c>
      <c r="N344" s="107" t="s">
        <v>536</v>
      </c>
      <c r="O344" s="107" t="s">
        <v>524</v>
      </c>
      <c r="P344" s="104" t="s">
        <v>9</v>
      </c>
      <c r="Q344" s="104" t="s">
        <v>18</v>
      </c>
      <c r="R344" s="104" t="s">
        <v>113</v>
      </c>
      <c r="S344" s="104">
        <v>3</v>
      </c>
      <c r="T344" s="104">
        <v>10</v>
      </c>
      <c r="U344" s="137">
        <v>52</v>
      </c>
      <c r="V344" s="138">
        <v>520</v>
      </c>
    </row>
    <row r="345" spans="1:22" x14ac:dyDescent="0.25">
      <c r="A345" s="108">
        <v>4698</v>
      </c>
      <c r="B345" s="109" t="s">
        <v>29</v>
      </c>
      <c r="C345" s="109" t="s">
        <v>177</v>
      </c>
      <c r="D345" s="109" t="s">
        <v>76</v>
      </c>
      <c r="E345" s="109" t="s">
        <v>174</v>
      </c>
      <c r="F345" s="109">
        <v>2016</v>
      </c>
      <c r="G345" s="110">
        <v>42661.791666666664</v>
      </c>
      <c r="H345" s="110">
        <v>42674.958333333336</v>
      </c>
      <c r="I345" s="111">
        <v>42661</v>
      </c>
      <c r="J345" s="111">
        <v>42674</v>
      </c>
      <c r="K345" s="112" t="s">
        <v>526</v>
      </c>
      <c r="L345" s="112">
        <v>0.95833333333333337</v>
      </c>
      <c r="M345" s="112" t="s">
        <v>541</v>
      </c>
      <c r="N345" s="112" t="s">
        <v>536</v>
      </c>
      <c r="O345" s="112" t="s">
        <v>524</v>
      </c>
      <c r="P345" s="109" t="s">
        <v>9</v>
      </c>
      <c r="Q345" s="109" t="s">
        <v>28</v>
      </c>
      <c r="R345" s="109" t="s">
        <v>109</v>
      </c>
      <c r="S345" s="109">
        <v>3</v>
      </c>
      <c r="T345" s="109">
        <v>12</v>
      </c>
      <c r="U345" s="139">
        <v>53</v>
      </c>
      <c r="V345" s="140">
        <v>636</v>
      </c>
    </row>
    <row r="346" spans="1:22" x14ac:dyDescent="0.25">
      <c r="A346" s="103">
        <v>4699</v>
      </c>
      <c r="B346" s="104" t="s">
        <v>29</v>
      </c>
      <c r="C346" s="104" t="s">
        <v>177</v>
      </c>
      <c r="D346" s="104" t="s">
        <v>77</v>
      </c>
      <c r="E346" s="104" t="s">
        <v>172</v>
      </c>
      <c r="F346" s="104">
        <v>2016</v>
      </c>
      <c r="G346" s="105">
        <v>42662.583333333336</v>
      </c>
      <c r="H346" s="105">
        <v>42675.75</v>
      </c>
      <c r="I346" s="106">
        <v>42662</v>
      </c>
      <c r="J346" s="106">
        <v>42675</v>
      </c>
      <c r="K346" s="107" t="s">
        <v>527</v>
      </c>
      <c r="L346" s="107">
        <v>0.75</v>
      </c>
      <c r="M346" s="107" t="s">
        <v>542</v>
      </c>
      <c r="N346" s="107" t="s">
        <v>536</v>
      </c>
      <c r="O346" s="107" t="s">
        <v>524</v>
      </c>
      <c r="P346" s="104" t="s">
        <v>9</v>
      </c>
      <c r="Q346" s="104" t="s">
        <v>31</v>
      </c>
      <c r="R346" s="104" t="s">
        <v>113</v>
      </c>
      <c r="S346" s="104">
        <v>2</v>
      </c>
      <c r="T346" s="104">
        <v>11</v>
      </c>
      <c r="U346" s="137">
        <v>35</v>
      </c>
      <c r="V346" s="138">
        <v>385</v>
      </c>
    </row>
    <row r="347" spans="1:22" x14ac:dyDescent="0.25">
      <c r="A347" s="108">
        <v>4700</v>
      </c>
      <c r="B347" s="109" t="s">
        <v>7</v>
      </c>
      <c r="C347" s="109" t="s">
        <v>175</v>
      </c>
      <c r="D347" s="109" t="s">
        <v>89</v>
      </c>
      <c r="E347" s="109" t="s">
        <v>169</v>
      </c>
      <c r="F347" s="109">
        <v>2016</v>
      </c>
      <c r="G347" s="110">
        <v>42663.375</v>
      </c>
      <c r="H347" s="110">
        <v>42669.75</v>
      </c>
      <c r="I347" s="111">
        <v>42663</v>
      </c>
      <c r="J347" s="111">
        <v>42669</v>
      </c>
      <c r="K347" s="112" t="s">
        <v>525</v>
      </c>
      <c r="L347" s="112">
        <v>0.75</v>
      </c>
      <c r="M347" s="112" t="s">
        <v>540</v>
      </c>
      <c r="N347" s="112" t="s">
        <v>536</v>
      </c>
      <c r="O347" s="112" t="s">
        <v>524</v>
      </c>
      <c r="P347" s="109" t="s">
        <v>23</v>
      </c>
      <c r="Q347" s="109" t="s">
        <v>16</v>
      </c>
      <c r="R347" s="109" t="s">
        <v>109</v>
      </c>
      <c r="S347" s="109">
        <v>3</v>
      </c>
      <c r="T347" s="109">
        <v>10</v>
      </c>
      <c r="U347" s="139">
        <v>62</v>
      </c>
      <c r="V347" s="140">
        <v>620</v>
      </c>
    </row>
    <row r="348" spans="1:22" x14ac:dyDescent="0.25">
      <c r="A348" s="103">
        <v>4701</v>
      </c>
      <c r="B348" s="104" t="s">
        <v>11</v>
      </c>
      <c r="C348" s="104" t="s">
        <v>175</v>
      </c>
      <c r="D348" s="104" t="s">
        <v>80</v>
      </c>
      <c r="E348" s="104" t="s">
        <v>173</v>
      </c>
      <c r="F348" s="104">
        <v>2016</v>
      </c>
      <c r="G348" s="105">
        <v>42664.333333333336</v>
      </c>
      <c r="H348" s="105">
        <v>42677.5</v>
      </c>
      <c r="I348" s="106">
        <v>42664</v>
      </c>
      <c r="J348" s="106">
        <v>42677</v>
      </c>
      <c r="K348" s="107" t="s">
        <v>522</v>
      </c>
      <c r="L348" s="107">
        <v>0.5</v>
      </c>
      <c r="M348" s="107" t="s">
        <v>539</v>
      </c>
      <c r="N348" s="107" t="s">
        <v>536</v>
      </c>
      <c r="O348" s="107" t="s">
        <v>524</v>
      </c>
      <c r="P348" s="104" t="s">
        <v>23</v>
      </c>
      <c r="Q348" s="104" t="s">
        <v>18</v>
      </c>
      <c r="R348" s="104" t="s">
        <v>113</v>
      </c>
      <c r="S348" s="104">
        <v>2</v>
      </c>
      <c r="T348" s="104">
        <v>10</v>
      </c>
      <c r="U348" s="137">
        <v>32</v>
      </c>
      <c r="V348" s="138">
        <v>320</v>
      </c>
    </row>
    <row r="349" spans="1:22" x14ac:dyDescent="0.25">
      <c r="A349" s="108">
        <v>4702</v>
      </c>
      <c r="B349" s="109" t="s">
        <v>7</v>
      </c>
      <c r="C349" s="109" t="s">
        <v>175</v>
      </c>
      <c r="D349" s="109" t="s">
        <v>80</v>
      </c>
      <c r="E349" s="109" t="s">
        <v>173</v>
      </c>
      <c r="F349" s="109">
        <v>2016</v>
      </c>
      <c r="G349" s="110">
        <v>42665.375</v>
      </c>
      <c r="H349" s="110">
        <v>42670.75</v>
      </c>
      <c r="I349" s="111">
        <v>42665</v>
      </c>
      <c r="J349" s="111">
        <v>42670</v>
      </c>
      <c r="K349" s="112" t="s">
        <v>525</v>
      </c>
      <c r="L349" s="112">
        <v>0.75</v>
      </c>
      <c r="M349" s="112" t="s">
        <v>540</v>
      </c>
      <c r="N349" s="112" t="s">
        <v>536</v>
      </c>
      <c r="O349" s="112" t="s">
        <v>524</v>
      </c>
      <c r="P349" s="109" t="s">
        <v>23</v>
      </c>
      <c r="Q349" s="109" t="s">
        <v>38</v>
      </c>
      <c r="R349" s="109" t="s">
        <v>113</v>
      </c>
      <c r="S349" s="109">
        <v>5</v>
      </c>
      <c r="T349" s="109">
        <v>11</v>
      </c>
      <c r="U349" s="139">
        <v>32</v>
      </c>
      <c r="V349" s="140">
        <v>352</v>
      </c>
    </row>
    <row r="350" spans="1:22" x14ac:dyDescent="0.25">
      <c r="A350" s="103">
        <v>4703</v>
      </c>
      <c r="B350" s="104" t="s">
        <v>11</v>
      </c>
      <c r="C350" s="104" t="s">
        <v>175</v>
      </c>
      <c r="D350" s="104" t="s">
        <v>77</v>
      </c>
      <c r="E350" s="104" t="s">
        <v>172</v>
      </c>
      <c r="F350" s="104">
        <v>2016</v>
      </c>
      <c r="G350" s="105">
        <v>42667.791666666664</v>
      </c>
      <c r="H350" s="105">
        <v>42678.958333333336</v>
      </c>
      <c r="I350" s="106">
        <v>42667</v>
      </c>
      <c r="J350" s="106">
        <v>42678</v>
      </c>
      <c r="K350" s="107" t="s">
        <v>526</v>
      </c>
      <c r="L350" s="107">
        <v>0.95833333333333337</v>
      </c>
      <c r="M350" s="107" t="s">
        <v>541</v>
      </c>
      <c r="N350" s="107" t="s">
        <v>536</v>
      </c>
      <c r="O350" s="107" t="s">
        <v>524</v>
      </c>
      <c r="P350" s="104" t="s">
        <v>9</v>
      </c>
      <c r="Q350" s="104" t="s">
        <v>38</v>
      </c>
      <c r="R350" s="104" t="s">
        <v>113</v>
      </c>
      <c r="S350" s="104">
        <v>2</v>
      </c>
      <c r="T350" s="104">
        <v>10</v>
      </c>
      <c r="U350" s="137">
        <v>35</v>
      </c>
      <c r="V350" s="138">
        <v>350</v>
      </c>
    </row>
    <row r="351" spans="1:22" x14ac:dyDescent="0.25">
      <c r="A351" s="108">
        <v>4704</v>
      </c>
      <c r="B351" s="109" t="s">
        <v>19</v>
      </c>
      <c r="C351" s="109" t="s">
        <v>176</v>
      </c>
      <c r="D351" s="109" t="s">
        <v>80</v>
      </c>
      <c r="E351" s="109" t="s">
        <v>173</v>
      </c>
      <c r="F351" s="109">
        <v>2016</v>
      </c>
      <c r="G351" s="110">
        <v>42667.791666666664</v>
      </c>
      <c r="H351" s="110">
        <v>42678.958333333336</v>
      </c>
      <c r="I351" s="111">
        <v>42667</v>
      </c>
      <c r="J351" s="111">
        <v>42678</v>
      </c>
      <c r="K351" s="112" t="s">
        <v>526</v>
      </c>
      <c r="L351" s="112">
        <v>0.95833333333333337</v>
      </c>
      <c r="M351" s="112" t="s">
        <v>541</v>
      </c>
      <c r="N351" s="112" t="s">
        <v>536</v>
      </c>
      <c r="O351" s="112" t="s">
        <v>524</v>
      </c>
      <c r="P351" s="109" t="s">
        <v>23</v>
      </c>
      <c r="Q351" s="109" t="s">
        <v>12</v>
      </c>
      <c r="R351" s="109" t="s">
        <v>113</v>
      </c>
      <c r="S351" s="109">
        <v>3</v>
      </c>
      <c r="T351" s="109">
        <v>10</v>
      </c>
      <c r="U351" s="139">
        <v>32</v>
      </c>
      <c r="V351" s="140">
        <v>320</v>
      </c>
    </row>
    <row r="352" spans="1:22" x14ac:dyDescent="0.25">
      <c r="A352" s="103">
        <v>4705</v>
      </c>
      <c r="B352" s="104" t="s">
        <v>39</v>
      </c>
      <c r="C352" s="104" t="s">
        <v>177</v>
      </c>
      <c r="D352" s="104" t="s">
        <v>81</v>
      </c>
      <c r="E352" s="104" t="s">
        <v>172</v>
      </c>
      <c r="F352" s="104">
        <v>2016</v>
      </c>
      <c r="G352" s="105">
        <v>42668.791666666664</v>
      </c>
      <c r="H352" s="105">
        <v>42681.958333333336</v>
      </c>
      <c r="I352" s="106">
        <v>42668</v>
      </c>
      <c r="J352" s="106">
        <v>42681</v>
      </c>
      <c r="K352" s="107" t="s">
        <v>526</v>
      </c>
      <c r="L352" s="107">
        <v>0.95833333333333337</v>
      </c>
      <c r="M352" s="107" t="s">
        <v>541</v>
      </c>
      <c r="N352" s="107" t="s">
        <v>536</v>
      </c>
      <c r="O352" s="107" t="s">
        <v>524</v>
      </c>
      <c r="P352" s="104" t="s">
        <v>23</v>
      </c>
      <c r="Q352" s="104" t="s">
        <v>35</v>
      </c>
      <c r="R352" s="104" t="s">
        <v>109</v>
      </c>
      <c r="S352" s="104">
        <v>2</v>
      </c>
      <c r="T352" s="104">
        <v>11</v>
      </c>
      <c r="U352" s="137">
        <v>43</v>
      </c>
      <c r="V352" s="138">
        <v>473</v>
      </c>
    </row>
    <row r="353" spans="1:22" x14ac:dyDescent="0.25">
      <c r="A353" s="108">
        <v>4706</v>
      </c>
      <c r="B353" s="109" t="s">
        <v>17</v>
      </c>
      <c r="C353" s="109" t="s">
        <v>176</v>
      </c>
      <c r="D353" s="109" t="s">
        <v>80</v>
      </c>
      <c r="E353" s="109" t="s">
        <v>173</v>
      </c>
      <c r="F353" s="109">
        <v>2016</v>
      </c>
      <c r="G353" s="110">
        <v>42669.583333333336</v>
      </c>
      <c r="H353" s="110">
        <v>42682.75</v>
      </c>
      <c r="I353" s="111">
        <v>42669</v>
      </c>
      <c r="J353" s="111">
        <v>42682</v>
      </c>
      <c r="K353" s="112" t="s">
        <v>527</v>
      </c>
      <c r="L353" s="112">
        <v>0.75</v>
      </c>
      <c r="M353" s="112" t="s">
        <v>542</v>
      </c>
      <c r="N353" s="112" t="s">
        <v>536</v>
      </c>
      <c r="O353" s="112" t="s">
        <v>524</v>
      </c>
      <c r="P353" s="109" t="s">
        <v>23</v>
      </c>
      <c r="Q353" s="109" t="s">
        <v>35</v>
      </c>
      <c r="R353" s="109" t="s">
        <v>109</v>
      </c>
      <c r="S353" s="109">
        <v>2</v>
      </c>
      <c r="T353" s="109">
        <v>10</v>
      </c>
      <c r="U353" s="139">
        <v>32</v>
      </c>
      <c r="V353" s="140">
        <v>320</v>
      </c>
    </row>
    <row r="354" spans="1:22" x14ac:dyDescent="0.25">
      <c r="A354" s="103">
        <v>4707</v>
      </c>
      <c r="B354" s="104" t="s">
        <v>39</v>
      </c>
      <c r="C354" s="104" t="s">
        <v>177</v>
      </c>
      <c r="D354" s="104" t="s">
        <v>80</v>
      </c>
      <c r="E354" s="104" t="s">
        <v>173</v>
      </c>
      <c r="F354" s="104">
        <v>2016</v>
      </c>
      <c r="G354" s="105">
        <v>42670.375</v>
      </c>
      <c r="H354" s="105">
        <v>42676.75</v>
      </c>
      <c r="I354" s="106">
        <v>42670</v>
      </c>
      <c r="J354" s="106">
        <v>42676</v>
      </c>
      <c r="K354" s="107" t="s">
        <v>525</v>
      </c>
      <c r="L354" s="107">
        <v>0.75</v>
      </c>
      <c r="M354" s="107" t="s">
        <v>540</v>
      </c>
      <c r="N354" s="107" t="s">
        <v>536</v>
      </c>
      <c r="O354" s="107" t="s">
        <v>524</v>
      </c>
      <c r="P354" s="104" t="s">
        <v>23</v>
      </c>
      <c r="Q354" s="104" t="s">
        <v>21</v>
      </c>
      <c r="R354" s="104" t="s">
        <v>113</v>
      </c>
      <c r="S354" s="104">
        <v>5</v>
      </c>
      <c r="T354" s="104">
        <v>11</v>
      </c>
      <c r="U354" s="137">
        <v>32</v>
      </c>
      <c r="V354" s="138">
        <v>352</v>
      </c>
    </row>
    <row r="355" spans="1:22" x14ac:dyDescent="0.25">
      <c r="A355" s="108">
        <v>4708</v>
      </c>
      <c r="B355" s="109" t="s">
        <v>19</v>
      </c>
      <c r="C355" s="109" t="s">
        <v>176</v>
      </c>
      <c r="D355" s="109" t="s">
        <v>78</v>
      </c>
      <c r="E355" s="109" t="s">
        <v>172</v>
      </c>
      <c r="F355" s="109">
        <v>2016</v>
      </c>
      <c r="G355" s="110">
        <v>42671.333333333336</v>
      </c>
      <c r="H355" s="110">
        <v>42684.5</v>
      </c>
      <c r="I355" s="111">
        <v>42671</v>
      </c>
      <c r="J355" s="111">
        <v>42684</v>
      </c>
      <c r="K355" s="112" t="s">
        <v>522</v>
      </c>
      <c r="L355" s="112">
        <v>0.5</v>
      </c>
      <c r="M355" s="112" t="s">
        <v>539</v>
      </c>
      <c r="N355" s="112" t="s">
        <v>536</v>
      </c>
      <c r="O355" s="112" t="s">
        <v>524</v>
      </c>
      <c r="P355" s="109" t="s">
        <v>9</v>
      </c>
      <c r="Q355" s="109" t="s">
        <v>190</v>
      </c>
      <c r="R355" s="109" t="s">
        <v>109</v>
      </c>
      <c r="S355" s="109">
        <v>3</v>
      </c>
      <c r="T355" s="109">
        <v>9</v>
      </c>
      <c r="U355" s="139">
        <v>62</v>
      </c>
      <c r="V355" s="140">
        <v>558</v>
      </c>
    </row>
    <row r="356" spans="1:22" x14ac:dyDescent="0.25">
      <c r="A356" s="103">
        <v>4709</v>
      </c>
      <c r="B356" s="104" t="s">
        <v>14</v>
      </c>
      <c r="C356" s="104" t="s">
        <v>175</v>
      </c>
      <c r="D356" s="104" t="s">
        <v>85</v>
      </c>
      <c r="E356" s="104" t="s">
        <v>170</v>
      </c>
      <c r="F356" s="104">
        <v>2016</v>
      </c>
      <c r="G356" s="105">
        <v>42672.375</v>
      </c>
      <c r="H356" s="105">
        <v>42677.75</v>
      </c>
      <c r="I356" s="106">
        <v>42672</v>
      </c>
      <c r="J356" s="106">
        <v>42677</v>
      </c>
      <c r="K356" s="107" t="s">
        <v>525</v>
      </c>
      <c r="L356" s="107">
        <v>0.75</v>
      </c>
      <c r="M356" s="107" t="s">
        <v>540</v>
      </c>
      <c r="N356" s="107" t="s">
        <v>536</v>
      </c>
      <c r="O356" s="107" t="s">
        <v>524</v>
      </c>
      <c r="P356" s="104" t="s">
        <v>9</v>
      </c>
      <c r="Q356" s="104" t="s">
        <v>37</v>
      </c>
      <c r="R356" s="104" t="s">
        <v>113</v>
      </c>
      <c r="S356" s="104">
        <v>5</v>
      </c>
      <c r="T356" s="104">
        <v>10</v>
      </c>
      <c r="U356" s="137">
        <v>48</v>
      </c>
      <c r="V356" s="138">
        <v>480</v>
      </c>
    </row>
    <row r="357" spans="1:22" x14ac:dyDescent="0.25">
      <c r="A357" s="108">
        <v>4710</v>
      </c>
      <c r="B357" s="109" t="s">
        <v>7</v>
      </c>
      <c r="C357" s="109" t="s">
        <v>175</v>
      </c>
      <c r="D357" s="109" t="s">
        <v>81</v>
      </c>
      <c r="E357" s="109" t="s">
        <v>172</v>
      </c>
      <c r="F357" s="109">
        <v>2016</v>
      </c>
      <c r="G357" s="110">
        <v>42674.791666666664</v>
      </c>
      <c r="H357" s="110">
        <v>42685.958333333336</v>
      </c>
      <c r="I357" s="111">
        <v>42674</v>
      </c>
      <c r="J357" s="111">
        <v>42685</v>
      </c>
      <c r="K357" s="112" t="s">
        <v>526</v>
      </c>
      <c r="L357" s="112">
        <v>0.95833333333333337</v>
      </c>
      <c r="M357" s="112" t="s">
        <v>541</v>
      </c>
      <c r="N357" s="112" t="s">
        <v>536</v>
      </c>
      <c r="O357" s="112" t="s">
        <v>524</v>
      </c>
      <c r="P357" s="109" t="s">
        <v>23</v>
      </c>
      <c r="Q357" s="109" t="s">
        <v>16</v>
      </c>
      <c r="R357" s="109" t="s">
        <v>109</v>
      </c>
      <c r="S357" s="109">
        <v>2</v>
      </c>
      <c r="T357" s="109">
        <v>10</v>
      </c>
      <c r="U357" s="139">
        <v>43</v>
      </c>
      <c r="V357" s="140">
        <v>430</v>
      </c>
    </row>
    <row r="358" spans="1:22" x14ac:dyDescent="0.25">
      <c r="A358" s="103">
        <v>4711</v>
      </c>
      <c r="B358" s="104" t="s">
        <v>14</v>
      </c>
      <c r="C358" s="104" t="s">
        <v>175</v>
      </c>
      <c r="D358" s="104" t="s">
        <v>78</v>
      </c>
      <c r="E358" s="104" t="s">
        <v>172</v>
      </c>
      <c r="F358" s="104">
        <v>2016</v>
      </c>
      <c r="G358" s="105">
        <v>42674.791666666664</v>
      </c>
      <c r="H358" s="105">
        <v>42685.958333333336</v>
      </c>
      <c r="I358" s="106">
        <v>42674</v>
      </c>
      <c r="J358" s="106">
        <v>42685</v>
      </c>
      <c r="K358" s="107" t="s">
        <v>526</v>
      </c>
      <c r="L358" s="107">
        <v>0.95833333333333337</v>
      </c>
      <c r="M358" s="107" t="s">
        <v>541</v>
      </c>
      <c r="N358" s="107" t="s">
        <v>536</v>
      </c>
      <c r="O358" s="107" t="s">
        <v>524</v>
      </c>
      <c r="P358" s="104" t="s">
        <v>23</v>
      </c>
      <c r="Q358" s="104" t="s">
        <v>12</v>
      </c>
      <c r="R358" s="104" t="s">
        <v>113</v>
      </c>
      <c r="S358" s="104">
        <v>5</v>
      </c>
      <c r="T358" s="104">
        <v>12</v>
      </c>
      <c r="U358" s="137">
        <v>62</v>
      </c>
      <c r="V358" s="138">
        <v>744</v>
      </c>
    </row>
    <row r="359" spans="1:22" x14ac:dyDescent="0.25">
      <c r="A359" s="108">
        <v>4712</v>
      </c>
      <c r="B359" s="109" t="s">
        <v>29</v>
      </c>
      <c r="C359" s="109" t="s">
        <v>177</v>
      </c>
      <c r="D359" s="109" t="s">
        <v>88</v>
      </c>
      <c r="E359" s="109" t="s">
        <v>170</v>
      </c>
      <c r="F359" s="109">
        <v>2016</v>
      </c>
      <c r="G359" s="110">
        <v>42675.791666666664</v>
      </c>
      <c r="H359" s="110">
        <v>42688.958333333336</v>
      </c>
      <c r="I359" s="111">
        <v>42675</v>
      </c>
      <c r="J359" s="111">
        <v>42688</v>
      </c>
      <c r="K359" s="112" t="s">
        <v>526</v>
      </c>
      <c r="L359" s="112">
        <v>0.95833333333333337</v>
      </c>
      <c r="M359" s="112" t="s">
        <v>541</v>
      </c>
      <c r="N359" s="112" t="s">
        <v>537</v>
      </c>
      <c r="O359" s="112" t="s">
        <v>524</v>
      </c>
      <c r="P359" s="109" t="s">
        <v>9</v>
      </c>
      <c r="Q359" s="109" t="s">
        <v>38</v>
      </c>
      <c r="R359" s="109" t="s">
        <v>113</v>
      </c>
      <c r="S359" s="109">
        <v>3</v>
      </c>
      <c r="T359" s="109">
        <v>9</v>
      </c>
      <c r="U359" s="139">
        <v>42</v>
      </c>
      <c r="V359" s="140">
        <v>378</v>
      </c>
    </row>
    <row r="360" spans="1:22" x14ac:dyDescent="0.25">
      <c r="A360" s="103">
        <v>4713</v>
      </c>
      <c r="B360" s="104" t="s">
        <v>17</v>
      </c>
      <c r="C360" s="104" t="s">
        <v>176</v>
      </c>
      <c r="D360" s="104" t="s">
        <v>76</v>
      </c>
      <c r="E360" s="104" t="s">
        <v>174</v>
      </c>
      <c r="F360" s="104">
        <v>2016</v>
      </c>
      <c r="G360" s="105">
        <v>42676.583333333336</v>
      </c>
      <c r="H360" s="105">
        <v>42689.75</v>
      </c>
      <c r="I360" s="106">
        <v>42676</v>
      </c>
      <c r="J360" s="106">
        <v>42689</v>
      </c>
      <c r="K360" s="107" t="s">
        <v>527</v>
      </c>
      <c r="L360" s="107">
        <v>0.75</v>
      </c>
      <c r="M360" s="107" t="s">
        <v>542</v>
      </c>
      <c r="N360" s="107" t="s">
        <v>537</v>
      </c>
      <c r="O360" s="107" t="s">
        <v>524</v>
      </c>
      <c r="P360" s="104" t="s">
        <v>9</v>
      </c>
      <c r="Q360" s="104" t="s">
        <v>22</v>
      </c>
      <c r="R360" s="104" t="s">
        <v>109</v>
      </c>
      <c r="S360" s="104">
        <v>4</v>
      </c>
      <c r="T360" s="104">
        <v>10</v>
      </c>
      <c r="U360" s="137">
        <v>53</v>
      </c>
      <c r="V360" s="138">
        <v>530</v>
      </c>
    </row>
    <row r="361" spans="1:22" x14ac:dyDescent="0.25">
      <c r="A361" s="108">
        <v>4714</v>
      </c>
      <c r="B361" s="109" t="s">
        <v>14</v>
      </c>
      <c r="C361" s="109" t="s">
        <v>175</v>
      </c>
      <c r="D361" s="109" t="s">
        <v>79</v>
      </c>
      <c r="E361" s="109" t="s">
        <v>168</v>
      </c>
      <c r="F361" s="109">
        <v>2016</v>
      </c>
      <c r="G361" s="110">
        <v>42677.375</v>
      </c>
      <c r="H361" s="110">
        <v>42683.75</v>
      </c>
      <c r="I361" s="111">
        <v>42677</v>
      </c>
      <c r="J361" s="111">
        <v>42683</v>
      </c>
      <c r="K361" s="112" t="s">
        <v>525</v>
      </c>
      <c r="L361" s="112">
        <v>0.75</v>
      </c>
      <c r="M361" s="112" t="s">
        <v>540</v>
      </c>
      <c r="N361" s="112" t="s">
        <v>537</v>
      </c>
      <c r="O361" s="112" t="s">
        <v>524</v>
      </c>
      <c r="P361" s="109" t="s">
        <v>23</v>
      </c>
      <c r="Q361" s="109" t="s">
        <v>22</v>
      </c>
      <c r="R361" s="109" t="s">
        <v>109</v>
      </c>
      <c r="S361" s="109">
        <v>2</v>
      </c>
      <c r="T361" s="109">
        <v>12</v>
      </c>
      <c r="U361" s="139">
        <v>48</v>
      </c>
      <c r="V361" s="140">
        <v>576</v>
      </c>
    </row>
    <row r="362" spans="1:22" x14ac:dyDescent="0.25">
      <c r="A362" s="103">
        <v>4715</v>
      </c>
      <c r="B362" s="104" t="s">
        <v>19</v>
      </c>
      <c r="C362" s="104" t="s">
        <v>176</v>
      </c>
      <c r="D362" s="104" t="s">
        <v>85</v>
      </c>
      <c r="E362" s="104" t="s">
        <v>170</v>
      </c>
      <c r="F362" s="104">
        <v>2016</v>
      </c>
      <c r="G362" s="105">
        <v>42678.333333333336</v>
      </c>
      <c r="H362" s="105">
        <v>42691.5</v>
      </c>
      <c r="I362" s="106">
        <v>42678</v>
      </c>
      <c r="J362" s="106">
        <v>42691</v>
      </c>
      <c r="K362" s="107" t="s">
        <v>522</v>
      </c>
      <c r="L362" s="107">
        <v>0.5</v>
      </c>
      <c r="M362" s="107" t="s">
        <v>539</v>
      </c>
      <c r="N362" s="107" t="s">
        <v>537</v>
      </c>
      <c r="O362" s="107" t="s">
        <v>524</v>
      </c>
      <c r="P362" s="104" t="s">
        <v>23</v>
      </c>
      <c r="Q362" s="104" t="s">
        <v>190</v>
      </c>
      <c r="R362" s="104" t="s">
        <v>109</v>
      </c>
      <c r="S362" s="104">
        <v>4</v>
      </c>
      <c r="T362" s="104">
        <v>8</v>
      </c>
      <c r="U362" s="137">
        <v>48</v>
      </c>
      <c r="V362" s="138">
        <v>384</v>
      </c>
    </row>
    <row r="363" spans="1:22" x14ac:dyDescent="0.25">
      <c r="A363" s="108">
        <v>4716</v>
      </c>
      <c r="B363" s="109" t="s">
        <v>39</v>
      </c>
      <c r="C363" s="109" t="s">
        <v>177</v>
      </c>
      <c r="D363" s="109" t="s">
        <v>80</v>
      </c>
      <c r="E363" s="109" t="s">
        <v>173</v>
      </c>
      <c r="F363" s="109">
        <v>2016</v>
      </c>
      <c r="G363" s="110">
        <v>42679.375</v>
      </c>
      <c r="H363" s="110">
        <v>42684.75</v>
      </c>
      <c r="I363" s="111">
        <v>42679</v>
      </c>
      <c r="J363" s="111">
        <v>42684</v>
      </c>
      <c r="K363" s="112" t="s">
        <v>525</v>
      </c>
      <c r="L363" s="112">
        <v>0.75</v>
      </c>
      <c r="M363" s="112" t="s">
        <v>540</v>
      </c>
      <c r="N363" s="112" t="s">
        <v>537</v>
      </c>
      <c r="O363" s="112" t="s">
        <v>524</v>
      </c>
      <c r="P363" s="109" t="s">
        <v>23</v>
      </c>
      <c r="Q363" s="109" t="s">
        <v>38</v>
      </c>
      <c r="R363" s="109" t="s">
        <v>113</v>
      </c>
      <c r="S363" s="109">
        <v>4</v>
      </c>
      <c r="T363" s="109">
        <v>9</v>
      </c>
      <c r="U363" s="139">
        <v>32</v>
      </c>
      <c r="V363" s="140">
        <v>288</v>
      </c>
    </row>
    <row r="364" spans="1:22" x14ac:dyDescent="0.25">
      <c r="A364" s="103">
        <v>4717</v>
      </c>
      <c r="B364" s="104" t="s">
        <v>29</v>
      </c>
      <c r="C364" s="104" t="s">
        <v>177</v>
      </c>
      <c r="D364" s="104" t="s">
        <v>80</v>
      </c>
      <c r="E364" s="104" t="s">
        <v>173</v>
      </c>
      <c r="F364" s="104">
        <v>2016</v>
      </c>
      <c r="G364" s="105">
        <v>42681.791666666664</v>
      </c>
      <c r="H364" s="105">
        <v>42692.958333333336</v>
      </c>
      <c r="I364" s="106">
        <v>42681</v>
      </c>
      <c r="J364" s="106">
        <v>42692</v>
      </c>
      <c r="K364" s="107" t="s">
        <v>526</v>
      </c>
      <c r="L364" s="107">
        <v>0.95833333333333337</v>
      </c>
      <c r="M364" s="107" t="s">
        <v>541</v>
      </c>
      <c r="N364" s="107" t="s">
        <v>537</v>
      </c>
      <c r="O364" s="107" t="s">
        <v>524</v>
      </c>
      <c r="P364" s="104" t="s">
        <v>23</v>
      </c>
      <c r="Q364" s="104" t="s">
        <v>38</v>
      </c>
      <c r="R364" s="104" t="s">
        <v>113</v>
      </c>
      <c r="S364" s="104">
        <v>4</v>
      </c>
      <c r="T364" s="104">
        <v>12</v>
      </c>
      <c r="U364" s="137">
        <v>32</v>
      </c>
      <c r="V364" s="138">
        <v>384</v>
      </c>
    </row>
    <row r="365" spans="1:22" x14ac:dyDescent="0.25">
      <c r="A365" s="108">
        <v>4718</v>
      </c>
      <c r="B365" s="109" t="s">
        <v>7</v>
      </c>
      <c r="C365" s="109" t="s">
        <v>175</v>
      </c>
      <c r="D365" s="109" t="s">
        <v>84</v>
      </c>
      <c r="E365" s="109" t="s">
        <v>172</v>
      </c>
      <c r="F365" s="109">
        <v>2016</v>
      </c>
      <c r="G365" s="110">
        <v>42681.791666666664</v>
      </c>
      <c r="H365" s="110">
        <v>42692.958333333336</v>
      </c>
      <c r="I365" s="111">
        <v>42681</v>
      </c>
      <c r="J365" s="111">
        <v>42692</v>
      </c>
      <c r="K365" s="112" t="s">
        <v>526</v>
      </c>
      <c r="L365" s="112">
        <v>0.95833333333333337</v>
      </c>
      <c r="M365" s="112" t="s">
        <v>541</v>
      </c>
      <c r="N365" s="112" t="s">
        <v>537</v>
      </c>
      <c r="O365" s="112" t="s">
        <v>524</v>
      </c>
      <c r="P365" s="109" t="s">
        <v>23</v>
      </c>
      <c r="Q365" s="109" t="s">
        <v>190</v>
      </c>
      <c r="R365" s="109" t="s">
        <v>109</v>
      </c>
      <c r="S365" s="109">
        <v>2</v>
      </c>
      <c r="T365" s="109">
        <v>10</v>
      </c>
      <c r="U365" s="139">
        <v>52</v>
      </c>
      <c r="V365" s="140">
        <v>520</v>
      </c>
    </row>
    <row r="366" spans="1:22" x14ac:dyDescent="0.25">
      <c r="A366" s="103">
        <v>4719</v>
      </c>
      <c r="B366" s="104" t="s">
        <v>17</v>
      </c>
      <c r="C366" s="104" t="s">
        <v>176</v>
      </c>
      <c r="D366" s="104" t="s">
        <v>81</v>
      </c>
      <c r="E366" s="104" t="s">
        <v>172</v>
      </c>
      <c r="F366" s="104">
        <v>2016</v>
      </c>
      <c r="G366" s="105">
        <v>42682.791666666664</v>
      </c>
      <c r="H366" s="105">
        <v>42695.958333333336</v>
      </c>
      <c r="I366" s="106">
        <v>42682</v>
      </c>
      <c r="J366" s="106">
        <v>42695</v>
      </c>
      <c r="K366" s="107" t="s">
        <v>526</v>
      </c>
      <c r="L366" s="107">
        <v>0.95833333333333337</v>
      </c>
      <c r="M366" s="107" t="s">
        <v>541</v>
      </c>
      <c r="N366" s="107" t="s">
        <v>537</v>
      </c>
      <c r="O366" s="107" t="s">
        <v>524</v>
      </c>
      <c r="P366" s="104" t="s">
        <v>9</v>
      </c>
      <c r="Q366" s="104" t="s">
        <v>28</v>
      </c>
      <c r="R366" s="104" t="s">
        <v>109</v>
      </c>
      <c r="S366" s="104">
        <v>2</v>
      </c>
      <c r="T366" s="104">
        <v>9</v>
      </c>
      <c r="U366" s="137">
        <v>43</v>
      </c>
      <c r="V366" s="138">
        <v>387</v>
      </c>
    </row>
    <row r="367" spans="1:22" x14ac:dyDescent="0.25">
      <c r="A367" s="108">
        <v>4720</v>
      </c>
      <c r="B367" s="109" t="s">
        <v>11</v>
      </c>
      <c r="C367" s="109" t="s">
        <v>175</v>
      </c>
      <c r="D367" s="109" t="s">
        <v>89</v>
      </c>
      <c r="E367" s="109" t="s">
        <v>169</v>
      </c>
      <c r="F367" s="109">
        <v>2016</v>
      </c>
      <c r="G367" s="110">
        <v>42683.583333333336</v>
      </c>
      <c r="H367" s="110">
        <v>42696.75</v>
      </c>
      <c r="I367" s="111">
        <v>42683</v>
      </c>
      <c r="J367" s="111">
        <v>42696</v>
      </c>
      <c r="K367" s="112" t="s">
        <v>527</v>
      </c>
      <c r="L367" s="112">
        <v>0.75</v>
      </c>
      <c r="M367" s="112" t="s">
        <v>542</v>
      </c>
      <c r="N367" s="112" t="s">
        <v>537</v>
      </c>
      <c r="O367" s="112" t="s">
        <v>524</v>
      </c>
      <c r="P367" s="109" t="s">
        <v>23</v>
      </c>
      <c r="Q367" s="109" t="s">
        <v>35</v>
      </c>
      <c r="R367" s="109" t="s">
        <v>109</v>
      </c>
      <c r="S367" s="109">
        <v>3</v>
      </c>
      <c r="T367" s="109">
        <v>11</v>
      </c>
      <c r="U367" s="139">
        <v>62</v>
      </c>
      <c r="V367" s="140">
        <v>682</v>
      </c>
    </row>
    <row r="368" spans="1:22" x14ac:dyDescent="0.25">
      <c r="A368" s="103">
        <v>4721</v>
      </c>
      <c r="B368" s="104" t="s">
        <v>39</v>
      </c>
      <c r="C368" s="104" t="s">
        <v>177</v>
      </c>
      <c r="D368" s="104" t="s">
        <v>80</v>
      </c>
      <c r="E368" s="104" t="s">
        <v>173</v>
      </c>
      <c r="F368" s="104">
        <v>2016</v>
      </c>
      <c r="G368" s="105">
        <v>42684.375</v>
      </c>
      <c r="H368" s="105">
        <v>42690.75</v>
      </c>
      <c r="I368" s="106">
        <v>42684</v>
      </c>
      <c r="J368" s="106">
        <v>42690</v>
      </c>
      <c r="K368" s="107" t="s">
        <v>525</v>
      </c>
      <c r="L368" s="107">
        <v>0.75</v>
      </c>
      <c r="M368" s="107" t="s">
        <v>540</v>
      </c>
      <c r="N368" s="107" t="s">
        <v>537</v>
      </c>
      <c r="O368" s="107" t="s">
        <v>524</v>
      </c>
      <c r="P368" s="104" t="s">
        <v>9</v>
      </c>
      <c r="Q368" s="104" t="s">
        <v>16</v>
      </c>
      <c r="R368" s="104" t="s">
        <v>109</v>
      </c>
      <c r="S368" s="104">
        <v>3</v>
      </c>
      <c r="T368" s="104">
        <v>9</v>
      </c>
      <c r="U368" s="137">
        <v>32</v>
      </c>
      <c r="V368" s="138">
        <v>288</v>
      </c>
    </row>
    <row r="369" spans="1:22" x14ac:dyDescent="0.25">
      <c r="A369" s="108">
        <v>4722</v>
      </c>
      <c r="B369" s="109" t="s">
        <v>29</v>
      </c>
      <c r="C369" s="109" t="s">
        <v>177</v>
      </c>
      <c r="D369" s="109" t="s">
        <v>86</v>
      </c>
      <c r="E369" s="109" t="s">
        <v>169</v>
      </c>
      <c r="F369" s="109">
        <v>2016</v>
      </c>
      <c r="G369" s="110">
        <v>42685.333333333336</v>
      </c>
      <c r="H369" s="110">
        <v>42698.5</v>
      </c>
      <c r="I369" s="111">
        <v>42685</v>
      </c>
      <c r="J369" s="111">
        <v>42698</v>
      </c>
      <c r="K369" s="112" t="s">
        <v>522</v>
      </c>
      <c r="L369" s="112">
        <v>0.5</v>
      </c>
      <c r="M369" s="112" t="s">
        <v>539</v>
      </c>
      <c r="N369" s="112" t="s">
        <v>537</v>
      </c>
      <c r="O369" s="112" t="s">
        <v>524</v>
      </c>
      <c r="P369" s="109" t="s">
        <v>9</v>
      </c>
      <c r="Q369" s="109" t="s">
        <v>16</v>
      </c>
      <c r="R369" s="109" t="s">
        <v>109</v>
      </c>
      <c r="S369" s="109">
        <v>4</v>
      </c>
      <c r="T369" s="109">
        <v>10</v>
      </c>
      <c r="U369" s="139">
        <v>48</v>
      </c>
      <c r="V369" s="140">
        <v>480</v>
      </c>
    </row>
    <row r="370" spans="1:22" x14ac:dyDescent="0.25">
      <c r="A370" s="103">
        <v>4723</v>
      </c>
      <c r="B370" s="104" t="s">
        <v>17</v>
      </c>
      <c r="C370" s="104" t="s">
        <v>176</v>
      </c>
      <c r="D370" s="104" t="s">
        <v>80</v>
      </c>
      <c r="E370" s="104" t="s">
        <v>173</v>
      </c>
      <c r="F370" s="104">
        <v>2016</v>
      </c>
      <c r="G370" s="105">
        <v>42686.375</v>
      </c>
      <c r="H370" s="105">
        <v>42691.75</v>
      </c>
      <c r="I370" s="106">
        <v>42686</v>
      </c>
      <c r="J370" s="106">
        <v>42691</v>
      </c>
      <c r="K370" s="107" t="s">
        <v>525</v>
      </c>
      <c r="L370" s="107">
        <v>0.75</v>
      </c>
      <c r="M370" s="107" t="s">
        <v>540</v>
      </c>
      <c r="N370" s="107" t="s">
        <v>537</v>
      </c>
      <c r="O370" s="107" t="s">
        <v>524</v>
      </c>
      <c r="P370" s="104" t="s">
        <v>9</v>
      </c>
      <c r="Q370" s="104" t="s">
        <v>18</v>
      </c>
      <c r="R370" s="104" t="s">
        <v>113</v>
      </c>
      <c r="S370" s="104">
        <v>4</v>
      </c>
      <c r="T370" s="104">
        <v>12</v>
      </c>
      <c r="U370" s="137">
        <v>32</v>
      </c>
      <c r="V370" s="138">
        <v>384</v>
      </c>
    </row>
    <row r="371" spans="1:22" x14ac:dyDescent="0.25">
      <c r="A371" s="108">
        <v>4724</v>
      </c>
      <c r="B371" s="109" t="s">
        <v>22</v>
      </c>
      <c r="C371" s="109" t="s">
        <v>176</v>
      </c>
      <c r="D371" s="109" t="s">
        <v>80</v>
      </c>
      <c r="E371" s="109" t="s">
        <v>173</v>
      </c>
      <c r="F371" s="109">
        <v>2016</v>
      </c>
      <c r="G371" s="110">
        <v>42688.791666666664</v>
      </c>
      <c r="H371" s="110">
        <v>42699.958333333336</v>
      </c>
      <c r="I371" s="111">
        <v>42688</v>
      </c>
      <c r="J371" s="111">
        <v>42699</v>
      </c>
      <c r="K371" s="112" t="s">
        <v>526</v>
      </c>
      <c r="L371" s="112">
        <v>0.95833333333333337</v>
      </c>
      <c r="M371" s="112" t="s">
        <v>541</v>
      </c>
      <c r="N371" s="112" t="s">
        <v>537</v>
      </c>
      <c r="O371" s="112" t="s">
        <v>524</v>
      </c>
      <c r="P371" s="109" t="s">
        <v>9</v>
      </c>
      <c r="Q371" s="109" t="s">
        <v>35</v>
      </c>
      <c r="R371" s="109" t="s">
        <v>109</v>
      </c>
      <c r="S371" s="109">
        <v>4</v>
      </c>
      <c r="T371" s="109">
        <v>12</v>
      </c>
      <c r="U371" s="139">
        <v>32</v>
      </c>
      <c r="V371" s="140">
        <v>384</v>
      </c>
    </row>
    <row r="372" spans="1:22" x14ac:dyDescent="0.25">
      <c r="A372" s="103">
        <v>4725</v>
      </c>
      <c r="B372" s="104" t="s">
        <v>17</v>
      </c>
      <c r="C372" s="104" t="s">
        <v>176</v>
      </c>
      <c r="D372" s="104" t="s">
        <v>84</v>
      </c>
      <c r="E372" s="104" t="s">
        <v>172</v>
      </c>
      <c r="F372" s="104">
        <v>2016</v>
      </c>
      <c r="G372" s="105">
        <v>42688.791666666664</v>
      </c>
      <c r="H372" s="105">
        <v>42699.958333333336</v>
      </c>
      <c r="I372" s="106">
        <v>42688</v>
      </c>
      <c r="J372" s="106">
        <v>42699</v>
      </c>
      <c r="K372" s="107" t="s">
        <v>526</v>
      </c>
      <c r="L372" s="107">
        <v>0.95833333333333337</v>
      </c>
      <c r="M372" s="107" t="s">
        <v>541</v>
      </c>
      <c r="N372" s="107" t="s">
        <v>537</v>
      </c>
      <c r="O372" s="107" t="s">
        <v>524</v>
      </c>
      <c r="P372" s="104" t="s">
        <v>9</v>
      </c>
      <c r="Q372" s="104" t="s">
        <v>190</v>
      </c>
      <c r="R372" s="104" t="s">
        <v>109</v>
      </c>
      <c r="S372" s="104">
        <v>4</v>
      </c>
      <c r="T372" s="104">
        <v>11</v>
      </c>
      <c r="U372" s="137">
        <v>52</v>
      </c>
      <c r="V372" s="138">
        <v>572</v>
      </c>
    </row>
    <row r="373" spans="1:22" x14ac:dyDescent="0.25">
      <c r="A373" s="108">
        <v>4726</v>
      </c>
      <c r="B373" s="109" t="s">
        <v>11</v>
      </c>
      <c r="C373" s="109" t="s">
        <v>175</v>
      </c>
      <c r="D373" s="109" t="s">
        <v>89</v>
      </c>
      <c r="E373" s="109" t="s">
        <v>169</v>
      </c>
      <c r="F373" s="109">
        <v>2016</v>
      </c>
      <c r="G373" s="110">
        <v>42689.791666666664</v>
      </c>
      <c r="H373" s="110">
        <v>42702.958333333336</v>
      </c>
      <c r="I373" s="111">
        <v>42689</v>
      </c>
      <c r="J373" s="111">
        <v>42702</v>
      </c>
      <c r="K373" s="112" t="s">
        <v>526</v>
      </c>
      <c r="L373" s="112">
        <v>0.95833333333333337</v>
      </c>
      <c r="M373" s="112" t="s">
        <v>541</v>
      </c>
      <c r="N373" s="112" t="s">
        <v>537</v>
      </c>
      <c r="O373" s="112" t="s">
        <v>524</v>
      </c>
      <c r="P373" s="109" t="s">
        <v>23</v>
      </c>
      <c r="Q373" s="109" t="s">
        <v>31</v>
      </c>
      <c r="R373" s="109" t="s">
        <v>113</v>
      </c>
      <c r="S373" s="109">
        <v>2</v>
      </c>
      <c r="T373" s="109">
        <v>9</v>
      </c>
      <c r="U373" s="139">
        <v>62</v>
      </c>
      <c r="V373" s="140">
        <v>558</v>
      </c>
    </row>
    <row r="374" spans="1:22" x14ac:dyDescent="0.25">
      <c r="A374" s="103">
        <v>4727</v>
      </c>
      <c r="B374" s="104" t="s">
        <v>7</v>
      </c>
      <c r="C374" s="104" t="s">
        <v>175</v>
      </c>
      <c r="D374" s="104" t="s">
        <v>77</v>
      </c>
      <c r="E374" s="104" t="s">
        <v>172</v>
      </c>
      <c r="F374" s="104">
        <v>2016</v>
      </c>
      <c r="G374" s="105">
        <v>42690.583333333336</v>
      </c>
      <c r="H374" s="105">
        <v>42703.75</v>
      </c>
      <c r="I374" s="106">
        <v>42690</v>
      </c>
      <c r="J374" s="106">
        <v>42703</v>
      </c>
      <c r="K374" s="107" t="s">
        <v>527</v>
      </c>
      <c r="L374" s="107">
        <v>0.75</v>
      </c>
      <c r="M374" s="107" t="s">
        <v>542</v>
      </c>
      <c r="N374" s="107" t="s">
        <v>537</v>
      </c>
      <c r="O374" s="107" t="s">
        <v>524</v>
      </c>
      <c r="P374" s="104" t="s">
        <v>9</v>
      </c>
      <c r="Q374" s="104" t="s">
        <v>38</v>
      </c>
      <c r="R374" s="104" t="s">
        <v>113</v>
      </c>
      <c r="S374" s="104">
        <v>3</v>
      </c>
      <c r="T374" s="104">
        <v>10</v>
      </c>
      <c r="U374" s="137">
        <v>35</v>
      </c>
      <c r="V374" s="138">
        <v>350</v>
      </c>
    </row>
    <row r="375" spans="1:22" x14ac:dyDescent="0.25">
      <c r="A375" s="108">
        <v>4728</v>
      </c>
      <c r="B375" s="109" t="s">
        <v>19</v>
      </c>
      <c r="C375" s="109" t="s">
        <v>176</v>
      </c>
      <c r="D375" s="109" t="s">
        <v>79</v>
      </c>
      <c r="E375" s="109" t="s">
        <v>168</v>
      </c>
      <c r="F375" s="109">
        <v>2016</v>
      </c>
      <c r="G375" s="110">
        <v>42691.375</v>
      </c>
      <c r="H375" s="110">
        <v>42697.75</v>
      </c>
      <c r="I375" s="111">
        <v>42691</v>
      </c>
      <c r="J375" s="111">
        <v>42697</v>
      </c>
      <c r="K375" s="112" t="s">
        <v>525</v>
      </c>
      <c r="L375" s="112">
        <v>0.75</v>
      </c>
      <c r="M375" s="112" t="s">
        <v>540</v>
      </c>
      <c r="N375" s="112" t="s">
        <v>537</v>
      </c>
      <c r="O375" s="112" t="s">
        <v>524</v>
      </c>
      <c r="P375" s="109" t="s">
        <v>9</v>
      </c>
      <c r="Q375" s="109" t="s">
        <v>37</v>
      </c>
      <c r="R375" s="109" t="s">
        <v>113</v>
      </c>
      <c r="S375" s="109">
        <v>3</v>
      </c>
      <c r="T375" s="109">
        <v>12</v>
      </c>
      <c r="U375" s="139">
        <v>48</v>
      </c>
      <c r="V375" s="140">
        <v>576</v>
      </c>
    </row>
    <row r="376" spans="1:22" x14ac:dyDescent="0.25">
      <c r="A376" s="103">
        <v>4729</v>
      </c>
      <c r="B376" s="104" t="s">
        <v>22</v>
      </c>
      <c r="C376" s="104" t="s">
        <v>176</v>
      </c>
      <c r="D376" s="104" t="s">
        <v>80</v>
      </c>
      <c r="E376" s="104" t="s">
        <v>173</v>
      </c>
      <c r="F376" s="104">
        <v>2016</v>
      </c>
      <c r="G376" s="105">
        <v>42692.333333333336</v>
      </c>
      <c r="H376" s="105">
        <v>42705.5</v>
      </c>
      <c r="I376" s="106">
        <v>42692</v>
      </c>
      <c r="J376" s="106">
        <v>42705</v>
      </c>
      <c r="K376" s="107" t="s">
        <v>522</v>
      </c>
      <c r="L376" s="107">
        <v>0.5</v>
      </c>
      <c r="M376" s="107" t="s">
        <v>539</v>
      </c>
      <c r="N376" s="107" t="s">
        <v>537</v>
      </c>
      <c r="O376" s="107" t="s">
        <v>524</v>
      </c>
      <c r="P376" s="104" t="s">
        <v>23</v>
      </c>
      <c r="Q376" s="104" t="s">
        <v>190</v>
      </c>
      <c r="R376" s="104" t="s">
        <v>109</v>
      </c>
      <c r="S376" s="104">
        <v>3</v>
      </c>
      <c r="T376" s="104">
        <v>11</v>
      </c>
      <c r="U376" s="137">
        <v>32</v>
      </c>
      <c r="V376" s="138">
        <v>352</v>
      </c>
    </row>
    <row r="377" spans="1:22" x14ac:dyDescent="0.25">
      <c r="A377" s="108">
        <v>4730</v>
      </c>
      <c r="B377" s="109" t="s">
        <v>39</v>
      </c>
      <c r="C377" s="109" t="s">
        <v>177</v>
      </c>
      <c r="D377" s="109" t="s">
        <v>82</v>
      </c>
      <c r="E377" s="109" t="s">
        <v>172</v>
      </c>
      <c r="F377" s="109">
        <v>2016</v>
      </c>
      <c r="G377" s="110">
        <v>42693.375</v>
      </c>
      <c r="H377" s="110">
        <v>42698.75</v>
      </c>
      <c r="I377" s="111">
        <v>42693</v>
      </c>
      <c r="J377" s="111">
        <v>42698</v>
      </c>
      <c r="K377" s="112" t="s">
        <v>525</v>
      </c>
      <c r="L377" s="112">
        <v>0.75</v>
      </c>
      <c r="M377" s="112" t="s">
        <v>540</v>
      </c>
      <c r="N377" s="112" t="s">
        <v>537</v>
      </c>
      <c r="O377" s="112" t="s">
        <v>524</v>
      </c>
      <c r="P377" s="109" t="s">
        <v>23</v>
      </c>
      <c r="Q377" s="109" t="s">
        <v>35</v>
      </c>
      <c r="R377" s="109" t="s">
        <v>109</v>
      </c>
      <c r="S377" s="109">
        <v>5</v>
      </c>
      <c r="T377" s="109">
        <v>9</v>
      </c>
      <c r="U377" s="139">
        <v>75</v>
      </c>
      <c r="V377" s="140">
        <v>675</v>
      </c>
    </row>
    <row r="378" spans="1:22" x14ac:dyDescent="0.25">
      <c r="A378" s="103">
        <v>4731</v>
      </c>
      <c r="B378" s="104" t="s">
        <v>19</v>
      </c>
      <c r="C378" s="104" t="s">
        <v>176</v>
      </c>
      <c r="D378" s="104" t="s">
        <v>78</v>
      </c>
      <c r="E378" s="104" t="s">
        <v>172</v>
      </c>
      <c r="F378" s="104">
        <v>2016</v>
      </c>
      <c r="G378" s="105">
        <v>42695.791666666664</v>
      </c>
      <c r="H378" s="105">
        <v>42706.958333333336</v>
      </c>
      <c r="I378" s="106">
        <v>42695</v>
      </c>
      <c r="J378" s="106">
        <v>42706</v>
      </c>
      <c r="K378" s="107" t="s">
        <v>526</v>
      </c>
      <c r="L378" s="107">
        <v>0.95833333333333337</v>
      </c>
      <c r="M378" s="107" t="s">
        <v>541</v>
      </c>
      <c r="N378" s="107" t="s">
        <v>537</v>
      </c>
      <c r="O378" s="107" t="s">
        <v>524</v>
      </c>
      <c r="P378" s="104" t="s">
        <v>23</v>
      </c>
      <c r="Q378" s="104" t="s">
        <v>16</v>
      </c>
      <c r="R378" s="104" t="s">
        <v>109</v>
      </c>
      <c r="S378" s="104">
        <v>2</v>
      </c>
      <c r="T378" s="104">
        <v>9</v>
      </c>
      <c r="U378" s="137">
        <v>62</v>
      </c>
      <c r="V378" s="138">
        <v>558</v>
      </c>
    </row>
    <row r="379" spans="1:22" x14ac:dyDescent="0.25">
      <c r="A379" s="108">
        <v>4732</v>
      </c>
      <c r="B379" s="109" t="s">
        <v>29</v>
      </c>
      <c r="C379" s="109" t="s">
        <v>177</v>
      </c>
      <c r="D379" s="109" t="s">
        <v>79</v>
      </c>
      <c r="E379" s="109" t="s">
        <v>168</v>
      </c>
      <c r="F379" s="109">
        <v>2016</v>
      </c>
      <c r="G379" s="110">
        <v>42695.791666666664</v>
      </c>
      <c r="H379" s="110">
        <v>42706.958333333336</v>
      </c>
      <c r="I379" s="111">
        <v>42695</v>
      </c>
      <c r="J379" s="111">
        <v>42706</v>
      </c>
      <c r="K379" s="112" t="s">
        <v>526</v>
      </c>
      <c r="L379" s="112">
        <v>0.95833333333333337</v>
      </c>
      <c r="M379" s="112" t="s">
        <v>541</v>
      </c>
      <c r="N379" s="112" t="s">
        <v>537</v>
      </c>
      <c r="O379" s="112" t="s">
        <v>524</v>
      </c>
      <c r="P379" s="109" t="s">
        <v>23</v>
      </c>
      <c r="Q379" s="109" t="s">
        <v>38</v>
      </c>
      <c r="R379" s="109" t="s">
        <v>113</v>
      </c>
      <c r="S379" s="109" t="s">
        <v>191</v>
      </c>
      <c r="T379" s="109">
        <v>12</v>
      </c>
      <c r="U379" s="139">
        <v>48</v>
      </c>
      <c r="V379" s="140">
        <v>576</v>
      </c>
    </row>
    <row r="380" spans="1:22" x14ac:dyDescent="0.25">
      <c r="A380" s="103">
        <v>4733</v>
      </c>
      <c r="B380" s="104" t="s">
        <v>19</v>
      </c>
      <c r="C380" s="104" t="s">
        <v>176</v>
      </c>
      <c r="D380" s="104" t="s">
        <v>82</v>
      </c>
      <c r="E380" s="104" t="s">
        <v>172</v>
      </c>
      <c r="F380" s="104">
        <v>2016</v>
      </c>
      <c r="G380" s="105">
        <v>42696.791666666664</v>
      </c>
      <c r="H380" s="105">
        <v>42709.958333333336</v>
      </c>
      <c r="I380" s="106">
        <v>42696</v>
      </c>
      <c r="J380" s="106">
        <v>42709</v>
      </c>
      <c r="K380" s="107" t="s">
        <v>526</v>
      </c>
      <c r="L380" s="107">
        <v>0.95833333333333337</v>
      </c>
      <c r="M380" s="107" t="s">
        <v>541</v>
      </c>
      <c r="N380" s="107" t="s">
        <v>537</v>
      </c>
      <c r="O380" s="107" t="s">
        <v>524</v>
      </c>
      <c r="P380" s="104" t="s">
        <v>9</v>
      </c>
      <c r="Q380" s="104" t="s">
        <v>18</v>
      </c>
      <c r="R380" s="104" t="s">
        <v>113</v>
      </c>
      <c r="S380" s="104">
        <v>4</v>
      </c>
      <c r="T380" s="104">
        <v>8</v>
      </c>
      <c r="U380" s="137">
        <v>75</v>
      </c>
      <c r="V380" s="138">
        <v>600</v>
      </c>
    </row>
    <row r="381" spans="1:22" x14ac:dyDescent="0.25">
      <c r="A381" s="108">
        <v>4734</v>
      </c>
      <c r="B381" s="109" t="s">
        <v>14</v>
      </c>
      <c r="C381" s="109" t="s">
        <v>175</v>
      </c>
      <c r="D381" s="109" t="s">
        <v>85</v>
      </c>
      <c r="E381" s="109" t="s">
        <v>170</v>
      </c>
      <c r="F381" s="109">
        <v>2016</v>
      </c>
      <c r="G381" s="110">
        <v>42697.583333333336</v>
      </c>
      <c r="H381" s="110">
        <v>42710.75</v>
      </c>
      <c r="I381" s="111">
        <v>42697</v>
      </c>
      <c r="J381" s="111">
        <v>42710</v>
      </c>
      <c r="K381" s="112" t="s">
        <v>527</v>
      </c>
      <c r="L381" s="112">
        <v>0.75</v>
      </c>
      <c r="M381" s="112" t="s">
        <v>542</v>
      </c>
      <c r="N381" s="112" t="s">
        <v>537</v>
      </c>
      <c r="O381" s="112" t="s">
        <v>524</v>
      </c>
      <c r="P381" s="109" t="s">
        <v>23</v>
      </c>
      <c r="Q381" s="109" t="s">
        <v>26</v>
      </c>
      <c r="R381" s="109" t="s">
        <v>113</v>
      </c>
      <c r="S381" s="109">
        <v>4</v>
      </c>
      <c r="T381" s="109">
        <v>9</v>
      </c>
      <c r="U381" s="139">
        <v>48</v>
      </c>
      <c r="V381" s="140">
        <v>432</v>
      </c>
    </row>
    <row r="382" spans="1:22" x14ac:dyDescent="0.25">
      <c r="A382" s="103">
        <v>4735</v>
      </c>
      <c r="B382" s="104" t="s">
        <v>45</v>
      </c>
      <c r="C382" s="104" t="s">
        <v>177</v>
      </c>
      <c r="D382" s="104" t="s">
        <v>79</v>
      </c>
      <c r="E382" s="104" t="s">
        <v>168</v>
      </c>
      <c r="F382" s="104">
        <v>2016</v>
      </c>
      <c r="G382" s="105">
        <v>42698.375</v>
      </c>
      <c r="H382" s="105">
        <v>42704.75</v>
      </c>
      <c r="I382" s="106">
        <v>42698</v>
      </c>
      <c r="J382" s="106">
        <v>42704</v>
      </c>
      <c r="K382" s="107" t="s">
        <v>525</v>
      </c>
      <c r="L382" s="107">
        <v>0.75</v>
      </c>
      <c r="M382" s="107" t="s">
        <v>540</v>
      </c>
      <c r="N382" s="107" t="s">
        <v>537</v>
      </c>
      <c r="O382" s="107" t="s">
        <v>524</v>
      </c>
      <c r="P382" s="104" t="s">
        <v>23</v>
      </c>
      <c r="Q382" s="104" t="s">
        <v>18</v>
      </c>
      <c r="R382" s="104" t="s">
        <v>113</v>
      </c>
      <c r="S382" s="104">
        <v>5</v>
      </c>
      <c r="T382" s="104">
        <v>10</v>
      </c>
      <c r="U382" s="137">
        <v>48</v>
      </c>
      <c r="V382" s="138">
        <v>480</v>
      </c>
    </row>
    <row r="383" spans="1:22" x14ac:dyDescent="0.25">
      <c r="A383" s="108">
        <v>4736</v>
      </c>
      <c r="B383" s="109" t="s">
        <v>14</v>
      </c>
      <c r="C383" s="109" t="s">
        <v>175</v>
      </c>
      <c r="D383" s="109" t="s">
        <v>86</v>
      </c>
      <c r="E383" s="109" t="s">
        <v>169</v>
      </c>
      <c r="F383" s="109">
        <v>2016</v>
      </c>
      <c r="G383" s="110">
        <v>42699.333333333336</v>
      </c>
      <c r="H383" s="110">
        <v>42712.5</v>
      </c>
      <c r="I383" s="111">
        <v>42699</v>
      </c>
      <c r="J383" s="111">
        <v>42712</v>
      </c>
      <c r="K383" s="112" t="s">
        <v>522</v>
      </c>
      <c r="L383" s="112">
        <v>0.5</v>
      </c>
      <c r="M383" s="112" t="s">
        <v>539</v>
      </c>
      <c r="N383" s="112" t="s">
        <v>537</v>
      </c>
      <c r="O383" s="112" t="s">
        <v>524</v>
      </c>
      <c r="P383" s="109" t="s">
        <v>9</v>
      </c>
      <c r="Q383" s="109" t="s">
        <v>38</v>
      </c>
      <c r="R383" s="109" t="s">
        <v>113</v>
      </c>
      <c r="S383" s="109">
        <v>5</v>
      </c>
      <c r="T383" s="109">
        <v>8</v>
      </c>
      <c r="U383" s="139">
        <v>48</v>
      </c>
      <c r="V383" s="140">
        <v>384</v>
      </c>
    </row>
    <row r="384" spans="1:22" x14ac:dyDescent="0.25">
      <c r="A384" s="103">
        <v>4737</v>
      </c>
      <c r="B384" s="104" t="s">
        <v>22</v>
      </c>
      <c r="C384" s="104" t="s">
        <v>176</v>
      </c>
      <c r="D384" s="104" t="s">
        <v>80</v>
      </c>
      <c r="E384" s="104" t="s">
        <v>173</v>
      </c>
      <c r="F384" s="104">
        <v>2016</v>
      </c>
      <c r="G384" s="105">
        <v>42700.375</v>
      </c>
      <c r="H384" s="105">
        <v>42705.75</v>
      </c>
      <c r="I384" s="106">
        <v>42700</v>
      </c>
      <c r="J384" s="106">
        <v>42705</v>
      </c>
      <c r="K384" s="107" t="s">
        <v>525</v>
      </c>
      <c r="L384" s="107">
        <v>0.75</v>
      </c>
      <c r="M384" s="107" t="s">
        <v>540</v>
      </c>
      <c r="N384" s="107" t="s">
        <v>537</v>
      </c>
      <c r="O384" s="107" t="s">
        <v>524</v>
      </c>
      <c r="P384" s="104" t="s">
        <v>23</v>
      </c>
      <c r="Q384" s="104" t="s">
        <v>37</v>
      </c>
      <c r="R384" s="104" t="s">
        <v>113</v>
      </c>
      <c r="S384" s="104">
        <v>4</v>
      </c>
      <c r="T384" s="104">
        <v>8</v>
      </c>
      <c r="U384" s="137">
        <v>32</v>
      </c>
      <c r="V384" s="138">
        <v>256</v>
      </c>
    </row>
    <row r="385" spans="1:22" x14ac:dyDescent="0.25">
      <c r="A385" s="108">
        <v>4738</v>
      </c>
      <c r="B385" s="109" t="s">
        <v>22</v>
      </c>
      <c r="C385" s="109" t="s">
        <v>176</v>
      </c>
      <c r="D385" s="109" t="s">
        <v>80</v>
      </c>
      <c r="E385" s="109" t="s">
        <v>173</v>
      </c>
      <c r="F385" s="109">
        <v>2016</v>
      </c>
      <c r="G385" s="110">
        <v>42702.791666666664</v>
      </c>
      <c r="H385" s="110">
        <v>42713.958333333336</v>
      </c>
      <c r="I385" s="111">
        <v>42702</v>
      </c>
      <c r="J385" s="111">
        <v>42713</v>
      </c>
      <c r="K385" s="112" t="s">
        <v>526</v>
      </c>
      <c r="L385" s="112">
        <v>0.95833333333333337</v>
      </c>
      <c r="M385" s="112" t="s">
        <v>541</v>
      </c>
      <c r="N385" s="112" t="s">
        <v>537</v>
      </c>
      <c r="O385" s="112" t="s">
        <v>524</v>
      </c>
      <c r="P385" s="109" t="s">
        <v>9</v>
      </c>
      <c r="Q385" s="109" t="s">
        <v>33</v>
      </c>
      <c r="R385" s="109" t="s">
        <v>113</v>
      </c>
      <c r="S385" s="109">
        <v>4</v>
      </c>
      <c r="T385" s="109">
        <v>9</v>
      </c>
      <c r="U385" s="139">
        <v>32</v>
      </c>
      <c r="V385" s="140">
        <v>288</v>
      </c>
    </row>
    <row r="386" spans="1:22" x14ac:dyDescent="0.25">
      <c r="A386" s="103">
        <v>4739</v>
      </c>
      <c r="B386" s="104" t="s">
        <v>17</v>
      </c>
      <c r="C386" s="104" t="s">
        <v>176</v>
      </c>
      <c r="D386" s="104" t="s">
        <v>85</v>
      </c>
      <c r="E386" s="104" t="s">
        <v>170</v>
      </c>
      <c r="F386" s="104">
        <v>2016</v>
      </c>
      <c r="G386" s="105">
        <v>42702.791666666664</v>
      </c>
      <c r="H386" s="105">
        <v>42713.958333333336</v>
      </c>
      <c r="I386" s="106">
        <v>42702</v>
      </c>
      <c r="J386" s="106">
        <v>42713</v>
      </c>
      <c r="K386" s="107" t="s">
        <v>526</v>
      </c>
      <c r="L386" s="107">
        <v>0.95833333333333337</v>
      </c>
      <c r="M386" s="107" t="s">
        <v>541</v>
      </c>
      <c r="N386" s="107" t="s">
        <v>537</v>
      </c>
      <c r="O386" s="107" t="s">
        <v>524</v>
      </c>
      <c r="P386" s="104" t="s">
        <v>23</v>
      </c>
      <c r="Q386" s="104" t="s">
        <v>190</v>
      </c>
      <c r="R386" s="104" t="s">
        <v>109</v>
      </c>
      <c r="S386" s="104">
        <v>4</v>
      </c>
      <c r="T386" s="104">
        <v>12</v>
      </c>
      <c r="U386" s="137">
        <v>48</v>
      </c>
      <c r="V386" s="138">
        <v>576</v>
      </c>
    </row>
    <row r="387" spans="1:22" x14ac:dyDescent="0.25">
      <c r="A387" s="108">
        <v>4740</v>
      </c>
      <c r="B387" s="109" t="s">
        <v>39</v>
      </c>
      <c r="C387" s="109" t="s">
        <v>177</v>
      </c>
      <c r="D387" s="109" t="s">
        <v>89</v>
      </c>
      <c r="E387" s="109" t="s">
        <v>169</v>
      </c>
      <c r="F387" s="109">
        <v>2016</v>
      </c>
      <c r="G387" s="110">
        <v>42703.791666666664</v>
      </c>
      <c r="H387" s="110">
        <v>42716.958333333336</v>
      </c>
      <c r="I387" s="111">
        <v>42703</v>
      </c>
      <c r="J387" s="111">
        <v>42716</v>
      </c>
      <c r="K387" s="112" t="s">
        <v>526</v>
      </c>
      <c r="L387" s="112">
        <v>0.95833333333333337</v>
      </c>
      <c r="M387" s="112" t="s">
        <v>541</v>
      </c>
      <c r="N387" s="112" t="s">
        <v>537</v>
      </c>
      <c r="O387" s="112" t="s">
        <v>524</v>
      </c>
      <c r="P387" s="109" t="s">
        <v>23</v>
      </c>
      <c r="Q387" s="109" t="s">
        <v>16</v>
      </c>
      <c r="R387" s="109" t="s">
        <v>109</v>
      </c>
      <c r="S387" s="109">
        <v>3</v>
      </c>
      <c r="T387" s="109">
        <v>8</v>
      </c>
      <c r="U387" s="139">
        <v>62</v>
      </c>
      <c r="V387" s="140">
        <v>496</v>
      </c>
    </row>
    <row r="388" spans="1:22" x14ac:dyDescent="0.25">
      <c r="A388" s="103">
        <v>4741</v>
      </c>
      <c r="B388" s="104" t="s">
        <v>11</v>
      </c>
      <c r="C388" s="104" t="s">
        <v>175</v>
      </c>
      <c r="D388" s="104" t="s">
        <v>79</v>
      </c>
      <c r="E388" s="104" t="s">
        <v>168</v>
      </c>
      <c r="F388" s="104">
        <v>2016</v>
      </c>
      <c r="G388" s="105">
        <v>42704.583333333336</v>
      </c>
      <c r="H388" s="105">
        <v>42717.75</v>
      </c>
      <c r="I388" s="106">
        <v>42704</v>
      </c>
      <c r="J388" s="106">
        <v>42717</v>
      </c>
      <c r="K388" s="107" t="s">
        <v>527</v>
      </c>
      <c r="L388" s="107">
        <v>0.75</v>
      </c>
      <c r="M388" s="107" t="s">
        <v>542</v>
      </c>
      <c r="N388" s="107" t="s">
        <v>537</v>
      </c>
      <c r="O388" s="107" t="s">
        <v>524</v>
      </c>
      <c r="P388" s="104" t="s">
        <v>23</v>
      </c>
      <c r="Q388" s="104" t="s">
        <v>16</v>
      </c>
      <c r="R388" s="104" t="s">
        <v>109</v>
      </c>
      <c r="S388" s="104">
        <v>5</v>
      </c>
      <c r="T388" s="104">
        <v>12</v>
      </c>
      <c r="U388" s="137">
        <v>48</v>
      </c>
      <c r="V388" s="138">
        <v>576</v>
      </c>
    </row>
    <row r="389" spans="1:22" x14ac:dyDescent="0.25">
      <c r="A389" s="108">
        <v>4742</v>
      </c>
      <c r="B389" s="109" t="s">
        <v>7</v>
      </c>
      <c r="C389" s="109" t="s">
        <v>175</v>
      </c>
      <c r="D389" s="109" t="s">
        <v>80</v>
      </c>
      <c r="E389" s="109" t="s">
        <v>173</v>
      </c>
      <c r="F389" s="109">
        <v>2016</v>
      </c>
      <c r="G389" s="110">
        <v>42705.375</v>
      </c>
      <c r="H389" s="110">
        <v>42711.75</v>
      </c>
      <c r="I389" s="111">
        <v>42705</v>
      </c>
      <c r="J389" s="111">
        <v>42711</v>
      </c>
      <c r="K389" s="112" t="s">
        <v>525</v>
      </c>
      <c r="L389" s="112">
        <v>0.75</v>
      </c>
      <c r="M389" s="112" t="s">
        <v>540</v>
      </c>
      <c r="N389" s="112" t="s">
        <v>538</v>
      </c>
      <c r="O389" s="112" t="s">
        <v>524</v>
      </c>
      <c r="P389" s="109" t="s">
        <v>23</v>
      </c>
      <c r="Q389" s="109" t="s">
        <v>12</v>
      </c>
      <c r="R389" s="109" t="s">
        <v>113</v>
      </c>
      <c r="S389" s="109">
        <v>5</v>
      </c>
      <c r="T389" s="109">
        <v>10</v>
      </c>
      <c r="U389" s="139">
        <v>32</v>
      </c>
      <c r="V389" s="140">
        <v>320</v>
      </c>
    </row>
    <row r="390" spans="1:22" x14ac:dyDescent="0.25">
      <c r="A390" s="103">
        <v>4743</v>
      </c>
      <c r="B390" s="104" t="s">
        <v>7</v>
      </c>
      <c r="C390" s="104" t="s">
        <v>175</v>
      </c>
      <c r="D390" s="104" t="s">
        <v>86</v>
      </c>
      <c r="E390" s="104" t="s">
        <v>169</v>
      </c>
      <c r="F390" s="104">
        <v>2016</v>
      </c>
      <c r="G390" s="105">
        <v>42706.333333333336</v>
      </c>
      <c r="H390" s="105">
        <v>42719.5</v>
      </c>
      <c r="I390" s="106">
        <v>42706</v>
      </c>
      <c r="J390" s="106">
        <v>42719</v>
      </c>
      <c r="K390" s="107" t="s">
        <v>522</v>
      </c>
      <c r="L390" s="107">
        <v>0.5</v>
      </c>
      <c r="M390" s="107" t="s">
        <v>539</v>
      </c>
      <c r="N390" s="107" t="s">
        <v>538</v>
      </c>
      <c r="O390" s="107" t="s">
        <v>524</v>
      </c>
      <c r="P390" s="104" t="s">
        <v>9</v>
      </c>
      <c r="Q390" s="104" t="s">
        <v>38</v>
      </c>
      <c r="R390" s="104" t="s">
        <v>113</v>
      </c>
      <c r="S390" s="104">
        <v>3</v>
      </c>
      <c r="T390" s="104">
        <v>9</v>
      </c>
      <c r="U390" s="137">
        <v>48</v>
      </c>
      <c r="V390" s="138">
        <v>432</v>
      </c>
    </row>
    <row r="391" spans="1:22" x14ac:dyDescent="0.25">
      <c r="A391" s="108">
        <v>4744</v>
      </c>
      <c r="B391" s="109" t="s">
        <v>45</v>
      </c>
      <c r="C391" s="109" t="s">
        <v>177</v>
      </c>
      <c r="D391" s="109" t="s">
        <v>89</v>
      </c>
      <c r="E391" s="109" t="s">
        <v>169</v>
      </c>
      <c r="F391" s="109">
        <v>2016</v>
      </c>
      <c r="G391" s="110">
        <v>42707.375</v>
      </c>
      <c r="H391" s="110">
        <v>42712.75</v>
      </c>
      <c r="I391" s="111">
        <v>42707</v>
      </c>
      <c r="J391" s="111">
        <v>42712</v>
      </c>
      <c r="K391" s="112" t="s">
        <v>525</v>
      </c>
      <c r="L391" s="112">
        <v>0.75</v>
      </c>
      <c r="M391" s="112" t="s">
        <v>540</v>
      </c>
      <c r="N391" s="112" t="s">
        <v>538</v>
      </c>
      <c r="O391" s="112" t="s">
        <v>524</v>
      </c>
      <c r="P391" s="109" t="s">
        <v>9</v>
      </c>
      <c r="Q391" s="109" t="s">
        <v>190</v>
      </c>
      <c r="R391" s="109" t="s">
        <v>109</v>
      </c>
      <c r="S391" s="109">
        <v>2</v>
      </c>
      <c r="T391" s="109">
        <v>8</v>
      </c>
      <c r="U391" s="139">
        <v>62</v>
      </c>
      <c r="V391" s="140">
        <v>496</v>
      </c>
    </row>
    <row r="392" spans="1:22" x14ac:dyDescent="0.25">
      <c r="A392" s="103">
        <v>4745</v>
      </c>
      <c r="B392" s="104" t="s">
        <v>19</v>
      </c>
      <c r="C392" s="104" t="s">
        <v>176</v>
      </c>
      <c r="D392" s="104" t="s">
        <v>80</v>
      </c>
      <c r="E392" s="104" t="s">
        <v>173</v>
      </c>
      <c r="F392" s="104">
        <v>2016</v>
      </c>
      <c r="G392" s="105">
        <v>42709.791666666664</v>
      </c>
      <c r="H392" s="105">
        <v>42720.958333333336</v>
      </c>
      <c r="I392" s="106">
        <v>42709</v>
      </c>
      <c r="J392" s="106">
        <v>42720</v>
      </c>
      <c r="K392" s="107" t="s">
        <v>526</v>
      </c>
      <c r="L392" s="107">
        <v>0.95833333333333337</v>
      </c>
      <c r="M392" s="107" t="s">
        <v>541</v>
      </c>
      <c r="N392" s="107" t="s">
        <v>538</v>
      </c>
      <c r="O392" s="107" t="s">
        <v>524</v>
      </c>
      <c r="P392" s="104" t="s">
        <v>23</v>
      </c>
      <c r="Q392" s="104" t="s">
        <v>16</v>
      </c>
      <c r="R392" s="104" t="s">
        <v>109</v>
      </c>
      <c r="S392" s="104">
        <v>5</v>
      </c>
      <c r="T392" s="104">
        <v>8</v>
      </c>
      <c r="U392" s="137">
        <v>32</v>
      </c>
      <c r="V392" s="138">
        <v>256</v>
      </c>
    </row>
    <row r="393" spans="1:22" x14ac:dyDescent="0.25">
      <c r="A393" s="108">
        <v>4746</v>
      </c>
      <c r="B393" s="109" t="s">
        <v>39</v>
      </c>
      <c r="C393" s="109" t="s">
        <v>177</v>
      </c>
      <c r="D393" s="109" t="s">
        <v>88</v>
      </c>
      <c r="E393" s="109" t="s">
        <v>170</v>
      </c>
      <c r="F393" s="109">
        <v>2016</v>
      </c>
      <c r="G393" s="110">
        <v>42709.791666666664</v>
      </c>
      <c r="H393" s="110">
        <v>42720.958333333336</v>
      </c>
      <c r="I393" s="111">
        <v>42709</v>
      </c>
      <c r="J393" s="111">
        <v>42720</v>
      </c>
      <c r="K393" s="112" t="s">
        <v>526</v>
      </c>
      <c r="L393" s="112">
        <v>0.95833333333333337</v>
      </c>
      <c r="M393" s="112" t="s">
        <v>541</v>
      </c>
      <c r="N393" s="112" t="s">
        <v>538</v>
      </c>
      <c r="O393" s="112" t="s">
        <v>524</v>
      </c>
      <c r="P393" s="109" t="s">
        <v>23</v>
      </c>
      <c r="Q393" s="109" t="s">
        <v>26</v>
      </c>
      <c r="R393" s="109" t="s">
        <v>113</v>
      </c>
      <c r="S393" s="109">
        <v>5</v>
      </c>
      <c r="T393" s="109">
        <v>10</v>
      </c>
      <c r="U393" s="139">
        <v>42</v>
      </c>
      <c r="V393" s="140">
        <v>420</v>
      </c>
    </row>
    <row r="394" spans="1:22" x14ac:dyDescent="0.25">
      <c r="A394" s="103">
        <v>4747</v>
      </c>
      <c r="B394" s="104" t="s">
        <v>29</v>
      </c>
      <c r="C394" s="104" t="s">
        <v>177</v>
      </c>
      <c r="D394" s="104" t="s">
        <v>89</v>
      </c>
      <c r="E394" s="104" t="s">
        <v>169</v>
      </c>
      <c r="F394" s="104">
        <v>2016</v>
      </c>
      <c r="G394" s="105">
        <v>42710.791666666664</v>
      </c>
      <c r="H394" s="105">
        <v>42723.958333333336</v>
      </c>
      <c r="I394" s="106">
        <v>42710</v>
      </c>
      <c r="J394" s="106">
        <v>42723</v>
      </c>
      <c r="K394" s="107" t="s">
        <v>526</v>
      </c>
      <c r="L394" s="107">
        <v>0.95833333333333337</v>
      </c>
      <c r="M394" s="107" t="s">
        <v>541</v>
      </c>
      <c r="N394" s="107" t="s">
        <v>538</v>
      </c>
      <c r="O394" s="107" t="s">
        <v>524</v>
      </c>
      <c r="P394" s="104" t="s">
        <v>23</v>
      </c>
      <c r="Q394" s="104" t="s">
        <v>190</v>
      </c>
      <c r="R394" s="104" t="s">
        <v>109</v>
      </c>
      <c r="S394" s="104">
        <v>5</v>
      </c>
      <c r="T394" s="104">
        <v>11</v>
      </c>
      <c r="U394" s="137">
        <v>62</v>
      </c>
      <c r="V394" s="138">
        <v>682</v>
      </c>
    </row>
    <row r="395" spans="1:22" x14ac:dyDescent="0.25">
      <c r="A395" s="108">
        <v>4748</v>
      </c>
      <c r="B395" s="109" t="s">
        <v>29</v>
      </c>
      <c r="C395" s="109" t="s">
        <v>177</v>
      </c>
      <c r="D395" s="109" t="s">
        <v>85</v>
      </c>
      <c r="E395" s="109" t="s">
        <v>170</v>
      </c>
      <c r="F395" s="109">
        <v>2016</v>
      </c>
      <c r="G395" s="110">
        <v>42711.583333333336</v>
      </c>
      <c r="H395" s="110">
        <v>42724.75</v>
      </c>
      <c r="I395" s="111">
        <v>42711</v>
      </c>
      <c r="J395" s="111">
        <v>42724</v>
      </c>
      <c r="K395" s="112" t="s">
        <v>527</v>
      </c>
      <c r="L395" s="112">
        <v>0.75</v>
      </c>
      <c r="M395" s="112" t="s">
        <v>542</v>
      </c>
      <c r="N395" s="112" t="s">
        <v>538</v>
      </c>
      <c r="O395" s="112" t="s">
        <v>524</v>
      </c>
      <c r="P395" s="109" t="s">
        <v>23</v>
      </c>
      <c r="Q395" s="109" t="s">
        <v>38</v>
      </c>
      <c r="R395" s="109" t="s">
        <v>113</v>
      </c>
      <c r="S395" s="109">
        <v>2</v>
      </c>
      <c r="T395" s="109">
        <v>8</v>
      </c>
      <c r="U395" s="139">
        <v>48</v>
      </c>
      <c r="V395" s="140">
        <v>384</v>
      </c>
    </row>
    <row r="396" spans="1:22" x14ac:dyDescent="0.25">
      <c r="A396" s="103">
        <v>4749</v>
      </c>
      <c r="B396" s="104" t="s">
        <v>11</v>
      </c>
      <c r="C396" s="104" t="s">
        <v>175</v>
      </c>
      <c r="D396" s="104" t="s">
        <v>77</v>
      </c>
      <c r="E396" s="104" t="s">
        <v>172</v>
      </c>
      <c r="F396" s="104">
        <v>2016</v>
      </c>
      <c r="G396" s="105">
        <v>42712.375</v>
      </c>
      <c r="H396" s="105">
        <v>42718.75</v>
      </c>
      <c r="I396" s="106">
        <v>42712</v>
      </c>
      <c r="J396" s="106">
        <v>42718</v>
      </c>
      <c r="K396" s="107" t="s">
        <v>525</v>
      </c>
      <c r="L396" s="107">
        <v>0.75</v>
      </c>
      <c r="M396" s="107" t="s">
        <v>540</v>
      </c>
      <c r="N396" s="107" t="s">
        <v>538</v>
      </c>
      <c r="O396" s="107" t="s">
        <v>524</v>
      </c>
      <c r="P396" s="104" t="s">
        <v>23</v>
      </c>
      <c r="Q396" s="104" t="s">
        <v>12</v>
      </c>
      <c r="R396" s="104" t="s">
        <v>113</v>
      </c>
      <c r="S396" s="104">
        <v>3</v>
      </c>
      <c r="T396" s="104">
        <v>9</v>
      </c>
      <c r="U396" s="137">
        <v>35</v>
      </c>
      <c r="V396" s="138">
        <v>315</v>
      </c>
    </row>
    <row r="397" spans="1:22" x14ac:dyDescent="0.25">
      <c r="A397" s="108">
        <v>4750</v>
      </c>
      <c r="B397" s="109" t="s">
        <v>19</v>
      </c>
      <c r="C397" s="109" t="s">
        <v>176</v>
      </c>
      <c r="D397" s="109" t="s">
        <v>82</v>
      </c>
      <c r="E397" s="109" t="s">
        <v>172</v>
      </c>
      <c r="F397" s="109">
        <v>2016</v>
      </c>
      <c r="G397" s="110">
        <v>42713.333333333336</v>
      </c>
      <c r="H397" s="110">
        <v>42726.5</v>
      </c>
      <c r="I397" s="111">
        <v>42713</v>
      </c>
      <c r="J397" s="111">
        <v>42726</v>
      </c>
      <c r="K397" s="112" t="s">
        <v>522</v>
      </c>
      <c r="L397" s="112">
        <v>0.5</v>
      </c>
      <c r="M397" s="112" t="s">
        <v>539</v>
      </c>
      <c r="N397" s="112" t="s">
        <v>538</v>
      </c>
      <c r="O397" s="112" t="s">
        <v>524</v>
      </c>
      <c r="P397" s="109" t="s">
        <v>23</v>
      </c>
      <c r="Q397" s="109" t="s">
        <v>28</v>
      </c>
      <c r="R397" s="109" t="s">
        <v>109</v>
      </c>
      <c r="S397" s="109">
        <v>3</v>
      </c>
      <c r="T397" s="109">
        <v>9</v>
      </c>
      <c r="U397" s="139">
        <v>75</v>
      </c>
      <c r="V397" s="140">
        <v>675</v>
      </c>
    </row>
    <row r="398" spans="1:22" x14ac:dyDescent="0.25">
      <c r="A398" s="103">
        <v>4751</v>
      </c>
      <c r="B398" s="104" t="s">
        <v>14</v>
      </c>
      <c r="C398" s="104" t="s">
        <v>175</v>
      </c>
      <c r="D398" s="104" t="s">
        <v>79</v>
      </c>
      <c r="E398" s="104" t="s">
        <v>168</v>
      </c>
      <c r="F398" s="104">
        <v>2016</v>
      </c>
      <c r="G398" s="105">
        <v>42714.375</v>
      </c>
      <c r="H398" s="105">
        <v>42719.75</v>
      </c>
      <c r="I398" s="106">
        <v>42714</v>
      </c>
      <c r="J398" s="106">
        <v>42719</v>
      </c>
      <c r="K398" s="107" t="s">
        <v>525</v>
      </c>
      <c r="L398" s="107">
        <v>0.75</v>
      </c>
      <c r="M398" s="107" t="s">
        <v>540</v>
      </c>
      <c r="N398" s="107" t="s">
        <v>538</v>
      </c>
      <c r="O398" s="107" t="s">
        <v>524</v>
      </c>
      <c r="P398" s="104" t="s">
        <v>9</v>
      </c>
      <c r="Q398" s="104" t="s">
        <v>18</v>
      </c>
      <c r="R398" s="104" t="s">
        <v>113</v>
      </c>
      <c r="S398" s="104">
        <v>4</v>
      </c>
      <c r="T398" s="104">
        <v>8</v>
      </c>
      <c r="U398" s="137">
        <v>48</v>
      </c>
      <c r="V398" s="138">
        <v>384</v>
      </c>
    </row>
    <row r="399" spans="1:22" x14ac:dyDescent="0.25">
      <c r="A399" s="108">
        <v>4752</v>
      </c>
      <c r="B399" s="109" t="s">
        <v>19</v>
      </c>
      <c r="C399" s="109" t="s">
        <v>176</v>
      </c>
      <c r="D399" s="109" t="s">
        <v>78</v>
      </c>
      <c r="E399" s="109" t="s">
        <v>172</v>
      </c>
      <c r="F399" s="109">
        <v>2016</v>
      </c>
      <c r="G399" s="110">
        <v>42716.791666666664</v>
      </c>
      <c r="H399" s="110">
        <v>42727.958333333336</v>
      </c>
      <c r="I399" s="111">
        <v>42716</v>
      </c>
      <c r="J399" s="111">
        <v>42727</v>
      </c>
      <c r="K399" s="112" t="s">
        <v>526</v>
      </c>
      <c r="L399" s="112">
        <v>0.95833333333333337</v>
      </c>
      <c r="M399" s="112" t="s">
        <v>541</v>
      </c>
      <c r="N399" s="112" t="s">
        <v>538</v>
      </c>
      <c r="O399" s="112" t="s">
        <v>524</v>
      </c>
      <c r="P399" s="109" t="s">
        <v>9</v>
      </c>
      <c r="Q399" s="109" t="s">
        <v>190</v>
      </c>
      <c r="R399" s="109" t="s">
        <v>109</v>
      </c>
      <c r="S399" s="109">
        <v>3</v>
      </c>
      <c r="T399" s="109">
        <v>10</v>
      </c>
      <c r="U399" s="139">
        <v>62</v>
      </c>
      <c r="V399" s="140">
        <v>620</v>
      </c>
    </row>
    <row r="400" spans="1:22" x14ac:dyDescent="0.25">
      <c r="A400" s="103">
        <v>4753</v>
      </c>
      <c r="B400" s="104" t="s">
        <v>14</v>
      </c>
      <c r="C400" s="104" t="s">
        <v>175</v>
      </c>
      <c r="D400" s="104" t="s">
        <v>89</v>
      </c>
      <c r="E400" s="104" t="s">
        <v>169</v>
      </c>
      <c r="F400" s="104">
        <v>2016</v>
      </c>
      <c r="G400" s="105">
        <v>42716.791666666664</v>
      </c>
      <c r="H400" s="105">
        <v>42727.958333333336</v>
      </c>
      <c r="I400" s="106">
        <v>42716</v>
      </c>
      <c r="J400" s="106">
        <v>42727</v>
      </c>
      <c r="K400" s="107" t="s">
        <v>526</v>
      </c>
      <c r="L400" s="107">
        <v>0.95833333333333337</v>
      </c>
      <c r="M400" s="107" t="s">
        <v>541</v>
      </c>
      <c r="N400" s="107" t="s">
        <v>538</v>
      </c>
      <c r="O400" s="107" t="s">
        <v>524</v>
      </c>
      <c r="P400" s="104" t="s">
        <v>9</v>
      </c>
      <c r="Q400" s="104" t="s">
        <v>26</v>
      </c>
      <c r="R400" s="104" t="s">
        <v>113</v>
      </c>
      <c r="S400" s="104">
        <v>3</v>
      </c>
      <c r="T400" s="104">
        <v>10</v>
      </c>
      <c r="U400" s="137">
        <v>62</v>
      </c>
      <c r="V400" s="138">
        <v>620</v>
      </c>
    </row>
    <row r="401" spans="1:22" x14ac:dyDescent="0.25">
      <c r="A401" s="108">
        <v>4754</v>
      </c>
      <c r="B401" s="109" t="s">
        <v>17</v>
      </c>
      <c r="C401" s="109" t="s">
        <v>176</v>
      </c>
      <c r="D401" s="109" t="s">
        <v>86</v>
      </c>
      <c r="E401" s="109" t="s">
        <v>169</v>
      </c>
      <c r="F401" s="109">
        <v>2016</v>
      </c>
      <c r="G401" s="110">
        <v>42717.791666666664</v>
      </c>
      <c r="H401" s="110">
        <v>42730.958333333336</v>
      </c>
      <c r="I401" s="111">
        <v>42717</v>
      </c>
      <c r="J401" s="111">
        <v>42730</v>
      </c>
      <c r="K401" s="112" t="s">
        <v>526</v>
      </c>
      <c r="L401" s="112">
        <v>0.95833333333333337</v>
      </c>
      <c r="M401" s="112" t="s">
        <v>541</v>
      </c>
      <c r="N401" s="112" t="s">
        <v>538</v>
      </c>
      <c r="O401" s="112" t="s">
        <v>524</v>
      </c>
      <c r="P401" s="109" t="s">
        <v>9</v>
      </c>
      <c r="Q401" s="109" t="s">
        <v>33</v>
      </c>
      <c r="R401" s="109" t="s">
        <v>113</v>
      </c>
      <c r="S401" s="109">
        <v>4</v>
      </c>
      <c r="T401" s="109">
        <v>12</v>
      </c>
      <c r="U401" s="139">
        <v>48</v>
      </c>
      <c r="V401" s="140">
        <v>576</v>
      </c>
    </row>
    <row r="402" spans="1:22" x14ac:dyDescent="0.25">
      <c r="A402" s="103">
        <v>4755</v>
      </c>
      <c r="B402" s="104" t="s">
        <v>19</v>
      </c>
      <c r="C402" s="104" t="s">
        <v>176</v>
      </c>
      <c r="D402" s="104" t="s">
        <v>84</v>
      </c>
      <c r="E402" s="104" t="s">
        <v>172</v>
      </c>
      <c r="F402" s="104">
        <v>2016</v>
      </c>
      <c r="G402" s="105">
        <v>42718.583333333336</v>
      </c>
      <c r="H402" s="105">
        <v>42731.75</v>
      </c>
      <c r="I402" s="106">
        <v>42718</v>
      </c>
      <c r="J402" s="106">
        <v>42731</v>
      </c>
      <c r="K402" s="107" t="s">
        <v>527</v>
      </c>
      <c r="L402" s="107">
        <v>0.75</v>
      </c>
      <c r="M402" s="107" t="s">
        <v>542</v>
      </c>
      <c r="N402" s="107" t="s">
        <v>538</v>
      </c>
      <c r="O402" s="107" t="s">
        <v>524</v>
      </c>
      <c r="P402" s="104" t="s">
        <v>23</v>
      </c>
      <c r="Q402" s="104" t="s">
        <v>44</v>
      </c>
      <c r="R402" s="104" t="s">
        <v>113</v>
      </c>
      <c r="S402" s="104">
        <v>3</v>
      </c>
      <c r="T402" s="104">
        <v>11</v>
      </c>
      <c r="U402" s="137">
        <v>52</v>
      </c>
      <c r="V402" s="138">
        <v>572</v>
      </c>
    </row>
    <row r="403" spans="1:22" x14ac:dyDescent="0.25">
      <c r="A403" s="108">
        <v>4756</v>
      </c>
      <c r="B403" s="109" t="s">
        <v>29</v>
      </c>
      <c r="C403" s="109" t="s">
        <v>177</v>
      </c>
      <c r="D403" s="109" t="s">
        <v>82</v>
      </c>
      <c r="E403" s="109" t="s">
        <v>172</v>
      </c>
      <c r="F403" s="109">
        <v>2016</v>
      </c>
      <c r="G403" s="110">
        <v>42719.375</v>
      </c>
      <c r="H403" s="110">
        <v>42725.75</v>
      </c>
      <c r="I403" s="111">
        <v>42719</v>
      </c>
      <c r="J403" s="111">
        <v>42725</v>
      </c>
      <c r="K403" s="112" t="s">
        <v>525</v>
      </c>
      <c r="L403" s="112">
        <v>0.75</v>
      </c>
      <c r="M403" s="112" t="s">
        <v>540</v>
      </c>
      <c r="N403" s="112" t="s">
        <v>538</v>
      </c>
      <c r="O403" s="112" t="s">
        <v>524</v>
      </c>
      <c r="P403" s="109" t="s">
        <v>9</v>
      </c>
      <c r="Q403" s="109" t="s">
        <v>18</v>
      </c>
      <c r="R403" s="109" t="s">
        <v>113</v>
      </c>
      <c r="S403" s="109">
        <v>3</v>
      </c>
      <c r="T403" s="109">
        <v>11</v>
      </c>
      <c r="U403" s="139">
        <v>75</v>
      </c>
      <c r="V403" s="140">
        <v>825</v>
      </c>
    </row>
    <row r="404" spans="1:22" x14ac:dyDescent="0.25">
      <c r="A404" s="103">
        <v>4757</v>
      </c>
      <c r="B404" s="104" t="s">
        <v>7</v>
      </c>
      <c r="C404" s="104" t="s">
        <v>175</v>
      </c>
      <c r="D404" s="104" t="s">
        <v>84</v>
      </c>
      <c r="E404" s="104" t="s">
        <v>172</v>
      </c>
      <c r="F404" s="104">
        <v>2016</v>
      </c>
      <c r="G404" s="105">
        <v>42720.333333333336</v>
      </c>
      <c r="H404" s="105">
        <v>42733.5</v>
      </c>
      <c r="I404" s="106">
        <v>42720</v>
      </c>
      <c r="J404" s="106">
        <v>42733</v>
      </c>
      <c r="K404" s="107" t="s">
        <v>522</v>
      </c>
      <c r="L404" s="107">
        <v>0.5</v>
      </c>
      <c r="M404" s="107" t="s">
        <v>539</v>
      </c>
      <c r="N404" s="107" t="s">
        <v>538</v>
      </c>
      <c r="O404" s="107" t="s">
        <v>524</v>
      </c>
      <c r="P404" s="104" t="s">
        <v>23</v>
      </c>
      <c r="Q404" s="104" t="s">
        <v>190</v>
      </c>
      <c r="R404" s="104" t="s">
        <v>109</v>
      </c>
      <c r="S404" s="104">
        <v>2</v>
      </c>
      <c r="T404" s="104">
        <v>11</v>
      </c>
      <c r="U404" s="137">
        <v>52</v>
      </c>
      <c r="V404" s="138">
        <v>572</v>
      </c>
    </row>
    <row r="405" spans="1:22" x14ac:dyDescent="0.25">
      <c r="A405" s="108">
        <v>4758</v>
      </c>
      <c r="B405" s="109" t="s">
        <v>14</v>
      </c>
      <c r="C405" s="109" t="s">
        <v>175</v>
      </c>
      <c r="D405" s="109" t="s">
        <v>86</v>
      </c>
      <c r="E405" s="109" t="s">
        <v>169</v>
      </c>
      <c r="F405" s="109">
        <v>2016</v>
      </c>
      <c r="G405" s="110">
        <v>42721.375</v>
      </c>
      <c r="H405" s="110">
        <v>42726.75</v>
      </c>
      <c r="I405" s="111">
        <v>42721</v>
      </c>
      <c r="J405" s="111">
        <v>42726</v>
      </c>
      <c r="K405" s="112" t="s">
        <v>525</v>
      </c>
      <c r="L405" s="112">
        <v>0.75</v>
      </c>
      <c r="M405" s="112" t="s">
        <v>540</v>
      </c>
      <c r="N405" s="112" t="s">
        <v>538</v>
      </c>
      <c r="O405" s="112" t="s">
        <v>524</v>
      </c>
      <c r="P405" s="109" t="s">
        <v>9</v>
      </c>
      <c r="Q405" s="109" t="s">
        <v>35</v>
      </c>
      <c r="R405" s="109" t="s">
        <v>109</v>
      </c>
      <c r="S405" s="109">
        <v>2</v>
      </c>
      <c r="T405" s="109">
        <v>10</v>
      </c>
      <c r="U405" s="139">
        <v>48</v>
      </c>
      <c r="V405" s="140">
        <v>480</v>
      </c>
    </row>
    <row r="406" spans="1:22" x14ac:dyDescent="0.25">
      <c r="A406" s="103">
        <v>4759</v>
      </c>
      <c r="B406" s="104" t="s">
        <v>45</v>
      </c>
      <c r="C406" s="104" t="s">
        <v>177</v>
      </c>
      <c r="D406" s="104" t="s">
        <v>80</v>
      </c>
      <c r="E406" s="104" t="s">
        <v>173</v>
      </c>
      <c r="F406" s="104">
        <v>2016</v>
      </c>
      <c r="G406" s="105">
        <v>42723.791666666664</v>
      </c>
      <c r="H406" s="105">
        <v>42734.958333333336</v>
      </c>
      <c r="I406" s="106">
        <v>42723</v>
      </c>
      <c r="J406" s="106">
        <v>42734</v>
      </c>
      <c r="K406" s="107" t="s">
        <v>526</v>
      </c>
      <c r="L406" s="107">
        <v>0.95833333333333337</v>
      </c>
      <c r="M406" s="107" t="s">
        <v>541</v>
      </c>
      <c r="N406" s="107" t="s">
        <v>538</v>
      </c>
      <c r="O406" s="107" t="s">
        <v>524</v>
      </c>
      <c r="P406" s="104" t="s">
        <v>23</v>
      </c>
      <c r="Q406" s="104" t="s">
        <v>38</v>
      </c>
      <c r="R406" s="104" t="s">
        <v>113</v>
      </c>
      <c r="S406" s="104">
        <v>2</v>
      </c>
      <c r="T406" s="104">
        <v>10</v>
      </c>
      <c r="U406" s="137">
        <v>32</v>
      </c>
      <c r="V406" s="138">
        <v>320</v>
      </c>
    </row>
    <row r="407" spans="1:22" x14ac:dyDescent="0.25">
      <c r="A407" s="108">
        <v>4760</v>
      </c>
      <c r="B407" s="109" t="s">
        <v>22</v>
      </c>
      <c r="C407" s="109" t="s">
        <v>176</v>
      </c>
      <c r="D407" s="109" t="s">
        <v>77</v>
      </c>
      <c r="E407" s="109" t="s">
        <v>172</v>
      </c>
      <c r="F407" s="109">
        <v>2016</v>
      </c>
      <c r="G407" s="110">
        <v>42723.791666666664</v>
      </c>
      <c r="H407" s="110">
        <v>42734.958333333336</v>
      </c>
      <c r="I407" s="111">
        <v>42723</v>
      </c>
      <c r="J407" s="111">
        <v>42734</v>
      </c>
      <c r="K407" s="112" t="s">
        <v>526</v>
      </c>
      <c r="L407" s="112">
        <v>0.95833333333333337</v>
      </c>
      <c r="M407" s="112" t="s">
        <v>541</v>
      </c>
      <c r="N407" s="112" t="s">
        <v>538</v>
      </c>
      <c r="O407" s="112" t="s">
        <v>524</v>
      </c>
      <c r="P407" s="109" t="s">
        <v>23</v>
      </c>
      <c r="Q407" s="109" t="s">
        <v>18</v>
      </c>
      <c r="R407" s="109" t="s">
        <v>113</v>
      </c>
      <c r="S407" s="109">
        <v>3</v>
      </c>
      <c r="T407" s="109">
        <v>11</v>
      </c>
      <c r="U407" s="139">
        <v>35</v>
      </c>
      <c r="V407" s="140">
        <v>385</v>
      </c>
    </row>
    <row r="408" spans="1:22" x14ac:dyDescent="0.25">
      <c r="A408" s="103">
        <v>4761</v>
      </c>
      <c r="B408" s="104" t="s">
        <v>11</v>
      </c>
      <c r="C408" s="104" t="s">
        <v>175</v>
      </c>
      <c r="D408" s="104" t="s">
        <v>85</v>
      </c>
      <c r="E408" s="104" t="s">
        <v>170</v>
      </c>
      <c r="F408" s="104">
        <v>2016</v>
      </c>
      <c r="G408" s="105">
        <v>42724.791666666664</v>
      </c>
      <c r="H408" s="105">
        <v>42737.958333333336</v>
      </c>
      <c r="I408" s="106">
        <v>42724</v>
      </c>
      <c r="J408" s="106">
        <v>42737</v>
      </c>
      <c r="K408" s="107" t="s">
        <v>526</v>
      </c>
      <c r="L408" s="107">
        <v>0.95833333333333337</v>
      </c>
      <c r="M408" s="107" t="s">
        <v>541</v>
      </c>
      <c r="N408" s="107" t="s">
        <v>538</v>
      </c>
      <c r="O408" s="107" t="s">
        <v>524</v>
      </c>
      <c r="P408" s="104" t="s">
        <v>23</v>
      </c>
      <c r="Q408" s="104" t="s">
        <v>190</v>
      </c>
      <c r="R408" s="104" t="s">
        <v>109</v>
      </c>
      <c r="S408" s="104">
        <v>5</v>
      </c>
      <c r="T408" s="104">
        <v>11</v>
      </c>
      <c r="U408" s="137">
        <v>48</v>
      </c>
      <c r="V408" s="138">
        <v>528</v>
      </c>
    </row>
    <row r="409" spans="1:22" x14ac:dyDescent="0.25">
      <c r="A409" s="108">
        <v>4762</v>
      </c>
      <c r="B409" s="109" t="s">
        <v>14</v>
      </c>
      <c r="C409" s="109" t="s">
        <v>175</v>
      </c>
      <c r="D409" s="109" t="s">
        <v>84</v>
      </c>
      <c r="E409" s="109" t="s">
        <v>172</v>
      </c>
      <c r="F409" s="109">
        <v>2016</v>
      </c>
      <c r="G409" s="110">
        <v>42725.583333333336</v>
      </c>
      <c r="H409" s="110">
        <v>42738.75</v>
      </c>
      <c r="I409" s="111">
        <v>42725</v>
      </c>
      <c r="J409" s="111">
        <v>42738</v>
      </c>
      <c r="K409" s="112" t="s">
        <v>527</v>
      </c>
      <c r="L409" s="112">
        <v>0.75</v>
      </c>
      <c r="M409" s="112" t="s">
        <v>542</v>
      </c>
      <c r="N409" s="112" t="s">
        <v>538</v>
      </c>
      <c r="O409" s="112" t="s">
        <v>524</v>
      </c>
      <c r="P409" s="109" t="s">
        <v>23</v>
      </c>
      <c r="Q409" s="109" t="s">
        <v>38</v>
      </c>
      <c r="R409" s="109" t="s">
        <v>113</v>
      </c>
      <c r="S409" s="109">
        <v>2</v>
      </c>
      <c r="T409" s="109">
        <v>12</v>
      </c>
      <c r="U409" s="139">
        <v>52</v>
      </c>
      <c r="V409" s="140">
        <v>624</v>
      </c>
    </row>
    <row r="410" spans="1:22" x14ac:dyDescent="0.25">
      <c r="A410" s="103">
        <v>4763</v>
      </c>
      <c r="B410" s="104" t="s">
        <v>7</v>
      </c>
      <c r="C410" s="104" t="s">
        <v>175</v>
      </c>
      <c r="D410" s="104" t="s">
        <v>79</v>
      </c>
      <c r="E410" s="104" t="s">
        <v>168</v>
      </c>
      <c r="F410" s="104">
        <v>2016</v>
      </c>
      <c r="G410" s="105">
        <v>42726.375</v>
      </c>
      <c r="H410" s="105">
        <v>42732.75</v>
      </c>
      <c r="I410" s="106">
        <v>42726</v>
      </c>
      <c r="J410" s="106">
        <v>42732</v>
      </c>
      <c r="K410" s="107" t="s">
        <v>525</v>
      </c>
      <c r="L410" s="107">
        <v>0.75</v>
      </c>
      <c r="M410" s="107" t="s">
        <v>540</v>
      </c>
      <c r="N410" s="107" t="s">
        <v>538</v>
      </c>
      <c r="O410" s="107" t="s">
        <v>524</v>
      </c>
      <c r="P410" s="104" t="s">
        <v>23</v>
      </c>
      <c r="Q410" s="104" t="s">
        <v>31</v>
      </c>
      <c r="R410" s="104" t="s">
        <v>113</v>
      </c>
      <c r="S410" s="104">
        <v>5</v>
      </c>
      <c r="T410" s="104">
        <v>8</v>
      </c>
      <c r="U410" s="137">
        <v>48</v>
      </c>
      <c r="V410" s="138">
        <v>384</v>
      </c>
    </row>
    <row r="411" spans="1:22" x14ac:dyDescent="0.25">
      <c r="A411" s="108">
        <v>4764</v>
      </c>
      <c r="B411" s="109" t="s">
        <v>14</v>
      </c>
      <c r="C411" s="109" t="s">
        <v>175</v>
      </c>
      <c r="D411" s="109" t="s">
        <v>85</v>
      </c>
      <c r="E411" s="109" t="s">
        <v>170</v>
      </c>
      <c r="F411" s="109">
        <v>2016</v>
      </c>
      <c r="G411" s="110">
        <v>42727.333333333336</v>
      </c>
      <c r="H411" s="110">
        <v>42740.5</v>
      </c>
      <c r="I411" s="111">
        <v>42727</v>
      </c>
      <c r="J411" s="111">
        <v>42740</v>
      </c>
      <c r="K411" s="112" t="s">
        <v>522</v>
      </c>
      <c r="L411" s="112">
        <v>0.5</v>
      </c>
      <c r="M411" s="112" t="s">
        <v>539</v>
      </c>
      <c r="N411" s="112" t="s">
        <v>538</v>
      </c>
      <c r="O411" s="112" t="s">
        <v>524</v>
      </c>
      <c r="P411" s="109" t="s">
        <v>9</v>
      </c>
      <c r="Q411" s="109" t="s">
        <v>21</v>
      </c>
      <c r="R411" s="109" t="s">
        <v>113</v>
      </c>
      <c r="S411" s="109">
        <v>5</v>
      </c>
      <c r="T411" s="109">
        <v>12</v>
      </c>
      <c r="U411" s="139">
        <v>48</v>
      </c>
      <c r="V411" s="140">
        <v>576</v>
      </c>
    </row>
    <row r="412" spans="1:22" x14ac:dyDescent="0.25">
      <c r="A412" s="103">
        <v>4765</v>
      </c>
      <c r="B412" s="104" t="s">
        <v>29</v>
      </c>
      <c r="C412" s="104" t="s">
        <v>177</v>
      </c>
      <c r="D412" s="104" t="s">
        <v>86</v>
      </c>
      <c r="E412" s="104" t="s">
        <v>169</v>
      </c>
      <c r="F412" s="104">
        <v>2016</v>
      </c>
      <c r="G412" s="105">
        <v>42728.375</v>
      </c>
      <c r="H412" s="105">
        <v>42733.75</v>
      </c>
      <c r="I412" s="106">
        <v>42728</v>
      </c>
      <c r="J412" s="106">
        <v>42733</v>
      </c>
      <c r="K412" s="107" t="s">
        <v>525</v>
      </c>
      <c r="L412" s="107">
        <v>0.75</v>
      </c>
      <c r="M412" s="107" t="s">
        <v>540</v>
      </c>
      <c r="N412" s="107" t="s">
        <v>538</v>
      </c>
      <c r="O412" s="107" t="s">
        <v>524</v>
      </c>
      <c r="P412" s="104" t="s">
        <v>23</v>
      </c>
      <c r="Q412" s="104" t="s">
        <v>16</v>
      </c>
      <c r="R412" s="104" t="s">
        <v>109</v>
      </c>
      <c r="S412" s="104">
        <v>4</v>
      </c>
      <c r="T412" s="104">
        <v>10</v>
      </c>
      <c r="U412" s="137">
        <v>48</v>
      </c>
      <c r="V412" s="138">
        <v>480</v>
      </c>
    </row>
    <row r="413" spans="1:22" x14ac:dyDescent="0.25">
      <c r="A413" s="108">
        <v>4766</v>
      </c>
      <c r="B413" s="109" t="s">
        <v>7</v>
      </c>
      <c r="C413" s="109" t="s">
        <v>175</v>
      </c>
      <c r="D413" s="109" t="s">
        <v>82</v>
      </c>
      <c r="E413" s="109" t="s">
        <v>172</v>
      </c>
      <c r="F413" s="109">
        <v>2016</v>
      </c>
      <c r="G413" s="110">
        <v>42730.791666666664</v>
      </c>
      <c r="H413" s="110">
        <v>42741.958333333336</v>
      </c>
      <c r="I413" s="111">
        <v>42730</v>
      </c>
      <c r="J413" s="111">
        <v>42741</v>
      </c>
      <c r="K413" s="112" t="s">
        <v>526</v>
      </c>
      <c r="L413" s="112">
        <v>0.95833333333333337</v>
      </c>
      <c r="M413" s="112" t="s">
        <v>541</v>
      </c>
      <c r="N413" s="112" t="s">
        <v>538</v>
      </c>
      <c r="O413" s="112" t="s">
        <v>524</v>
      </c>
      <c r="P413" s="109" t="s">
        <v>23</v>
      </c>
      <c r="Q413" s="109" t="s">
        <v>24</v>
      </c>
      <c r="R413" s="109" t="s">
        <v>113</v>
      </c>
      <c r="S413" s="109">
        <v>2</v>
      </c>
      <c r="T413" s="109">
        <v>8</v>
      </c>
      <c r="U413" s="139">
        <v>75</v>
      </c>
      <c r="V413" s="140">
        <v>600</v>
      </c>
    </row>
    <row r="414" spans="1:22" x14ac:dyDescent="0.25">
      <c r="A414" s="103">
        <v>4767</v>
      </c>
      <c r="B414" s="104" t="s">
        <v>45</v>
      </c>
      <c r="C414" s="104" t="s">
        <v>177</v>
      </c>
      <c r="D414" s="104" t="s">
        <v>79</v>
      </c>
      <c r="E414" s="104" t="s">
        <v>168</v>
      </c>
      <c r="F414" s="104">
        <v>2016</v>
      </c>
      <c r="G414" s="105">
        <v>42730.791666666664</v>
      </c>
      <c r="H414" s="105">
        <v>42741.958333333336</v>
      </c>
      <c r="I414" s="106">
        <v>42730</v>
      </c>
      <c r="J414" s="106">
        <v>42741</v>
      </c>
      <c r="K414" s="107" t="s">
        <v>526</v>
      </c>
      <c r="L414" s="107">
        <v>0.95833333333333337</v>
      </c>
      <c r="M414" s="107" t="s">
        <v>541</v>
      </c>
      <c r="N414" s="107" t="s">
        <v>538</v>
      </c>
      <c r="O414" s="107" t="s">
        <v>524</v>
      </c>
      <c r="P414" s="104" t="s">
        <v>23</v>
      </c>
      <c r="Q414" s="104" t="s">
        <v>33</v>
      </c>
      <c r="R414" s="104" t="s">
        <v>113</v>
      </c>
      <c r="S414" s="104">
        <v>3</v>
      </c>
      <c r="T414" s="104">
        <v>10</v>
      </c>
      <c r="U414" s="137">
        <v>48</v>
      </c>
      <c r="V414" s="138">
        <v>480</v>
      </c>
    </row>
    <row r="415" spans="1:22" x14ac:dyDescent="0.25">
      <c r="A415" s="108">
        <v>4768</v>
      </c>
      <c r="B415" s="109" t="s">
        <v>19</v>
      </c>
      <c r="C415" s="109" t="s">
        <v>176</v>
      </c>
      <c r="D415" s="109" t="s">
        <v>76</v>
      </c>
      <c r="E415" s="109" t="s">
        <v>174</v>
      </c>
      <c r="F415" s="109">
        <v>2016</v>
      </c>
      <c r="G415" s="110">
        <v>42731.791666666664</v>
      </c>
      <c r="H415" s="110">
        <v>42744.958333333336</v>
      </c>
      <c r="I415" s="111">
        <v>42731</v>
      </c>
      <c r="J415" s="111">
        <v>42744</v>
      </c>
      <c r="K415" s="112" t="s">
        <v>526</v>
      </c>
      <c r="L415" s="112">
        <v>0.95833333333333337</v>
      </c>
      <c r="M415" s="112" t="s">
        <v>541</v>
      </c>
      <c r="N415" s="112" t="s">
        <v>538</v>
      </c>
      <c r="O415" s="112" t="s">
        <v>524</v>
      </c>
      <c r="P415" s="109" t="s">
        <v>23</v>
      </c>
      <c r="Q415" s="109" t="s">
        <v>35</v>
      </c>
      <c r="R415" s="109" t="s">
        <v>109</v>
      </c>
      <c r="S415" s="109">
        <v>3</v>
      </c>
      <c r="T415" s="109">
        <v>9</v>
      </c>
      <c r="U415" s="139">
        <v>53</v>
      </c>
      <c r="V415" s="140">
        <v>477</v>
      </c>
    </row>
    <row r="416" spans="1:22" x14ac:dyDescent="0.25">
      <c r="A416" s="103">
        <v>4769</v>
      </c>
      <c r="B416" s="104" t="s">
        <v>29</v>
      </c>
      <c r="C416" s="104" t="s">
        <v>177</v>
      </c>
      <c r="D416" s="104" t="s">
        <v>81</v>
      </c>
      <c r="E416" s="104" t="s">
        <v>172</v>
      </c>
      <c r="F416" s="104">
        <v>2016</v>
      </c>
      <c r="G416" s="105">
        <v>42732.583333333336</v>
      </c>
      <c r="H416" s="105">
        <v>42745.75</v>
      </c>
      <c r="I416" s="106">
        <v>42732</v>
      </c>
      <c r="J416" s="106">
        <v>42745</v>
      </c>
      <c r="K416" s="107" t="s">
        <v>527</v>
      </c>
      <c r="L416" s="107">
        <v>0.75</v>
      </c>
      <c r="M416" s="107" t="s">
        <v>542</v>
      </c>
      <c r="N416" s="107" t="s">
        <v>538</v>
      </c>
      <c r="O416" s="107" t="s">
        <v>524</v>
      </c>
      <c r="P416" s="104" t="s">
        <v>23</v>
      </c>
      <c r="Q416" s="104" t="s">
        <v>28</v>
      </c>
      <c r="R416" s="104" t="s">
        <v>109</v>
      </c>
      <c r="S416" s="104">
        <v>5</v>
      </c>
      <c r="T416" s="104">
        <v>12</v>
      </c>
      <c r="U416" s="137">
        <v>43</v>
      </c>
      <c r="V416" s="138">
        <v>516</v>
      </c>
    </row>
    <row r="417" spans="1:22" x14ac:dyDescent="0.25">
      <c r="A417" s="108">
        <v>4770</v>
      </c>
      <c r="B417" s="109" t="s">
        <v>29</v>
      </c>
      <c r="C417" s="109" t="s">
        <v>177</v>
      </c>
      <c r="D417" s="109" t="s">
        <v>77</v>
      </c>
      <c r="E417" s="109" t="s">
        <v>172</v>
      </c>
      <c r="F417" s="109">
        <v>2016</v>
      </c>
      <c r="G417" s="110">
        <v>42733.375</v>
      </c>
      <c r="H417" s="110">
        <v>42739.75</v>
      </c>
      <c r="I417" s="111">
        <v>42733</v>
      </c>
      <c r="J417" s="111">
        <v>42739</v>
      </c>
      <c r="K417" s="112" t="s">
        <v>525</v>
      </c>
      <c r="L417" s="112">
        <v>0.75</v>
      </c>
      <c r="M417" s="112" t="s">
        <v>540</v>
      </c>
      <c r="N417" s="112" t="s">
        <v>538</v>
      </c>
      <c r="O417" s="112" t="s">
        <v>524</v>
      </c>
      <c r="P417" s="109" t="s">
        <v>23</v>
      </c>
      <c r="Q417" s="109" t="s">
        <v>33</v>
      </c>
      <c r="R417" s="109" t="s">
        <v>113</v>
      </c>
      <c r="S417" s="109">
        <v>2</v>
      </c>
      <c r="T417" s="109">
        <v>11</v>
      </c>
      <c r="U417" s="139">
        <v>35</v>
      </c>
      <c r="V417" s="140">
        <v>385</v>
      </c>
    </row>
    <row r="418" spans="1:22" x14ac:dyDescent="0.25">
      <c r="A418" s="103">
        <v>4771</v>
      </c>
      <c r="B418" s="104" t="s">
        <v>39</v>
      </c>
      <c r="C418" s="104" t="s">
        <v>177</v>
      </c>
      <c r="D418" s="104" t="s">
        <v>79</v>
      </c>
      <c r="E418" s="104" t="s">
        <v>168</v>
      </c>
      <c r="F418" s="104">
        <v>2016</v>
      </c>
      <c r="G418" s="105">
        <v>42734.333333333336</v>
      </c>
      <c r="H418" s="105">
        <v>42747.5</v>
      </c>
      <c r="I418" s="106">
        <v>42734</v>
      </c>
      <c r="J418" s="106">
        <v>42747</v>
      </c>
      <c r="K418" s="107" t="s">
        <v>522</v>
      </c>
      <c r="L418" s="107">
        <v>0.5</v>
      </c>
      <c r="M418" s="107" t="s">
        <v>539</v>
      </c>
      <c r="N418" s="107" t="s">
        <v>538</v>
      </c>
      <c r="O418" s="107" t="s">
        <v>524</v>
      </c>
      <c r="P418" s="104" t="s">
        <v>9</v>
      </c>
      <c r="Q418" s="104" t="s">
        <v>12</v>
      </c>
      <c r="R418" s="104" t="s">
        <v>113</v>
      </c>
      <c r="S418" s="104" t="s">
        <v>191</v>
      </c>
      <c r="T418" s="104">
        <v>10</v>
      </c>
      <c r="U418" s="137">
        <v>48</v>
      </c>
      <c r="V418" s="138">
        <v>480</v>
      </c>
    </row>
    <row r="419" spans="1:22" x14ac:dyDescent="0.25">
      <c r="A419" s="108">
        <v>4772</v>
      </c>
      <c r="B419" s="109" t="s">
        <v>19</v>
      </c>
      <c r="C419" s="109" t="s">
        <v>176</v>
      </c>
      <c r="D419" s="109" t="s">
        <v>88</v>
      </c>
      <c r="E419" s="109" t="s">
        <v>170</v>
      </c>
      <c r="F419" s="109">
        <v>2016</v>
      </c>
      <c r="G419" s="110">
        <v>42735.375</v>
      </c>
      <c r="H419" s="110">
        <v>42740.75</v>
      </c>
      <c r="I419" s="111">
        <v>42735</v>
      </c>
      <c r="J419" s="111">
        <v>42740</v>
      </c>
      <c r="K419" s="112" t="s">
        <v>525</v>
      </c>
      <c r="L419" s="112">
        <v>0.75</v>
      </c>
      <c r="M419" s="112" t="s">
        <v>540</v>
      </c>
      <c r="N419" s="112" t="s">
        <v>538</v>
      </c>
      <c r="O419" s="112" t="s">
        <v>524</v>
      </c>
      <c r="P419" s="109" t="s">
        <v>9</v>
      </c>
      <c r="Q419" s="109" t="s">
        <v>16</v>
      </c>
      <c r="R419" s="109" t="s">
        <v>109</v>
      </c>
      <c r="S419" s="109">
        <v>2</v>
      </c>
      <c r="T419" s="109">
        <v>9</v>
      </c>
      <c r="U419" s="139">
        <v>42</v>
      </c>
      <c r="V419" s="140">
        <v>378</v>
      </c>
    </row>
    <row r="420" spans="1:22" x14ac:dyDescent="0.25">
      <c r="A420" s="103" t="s">
        <v>192</v>
      </c>
      <c r="B420" s="104" t="s">
        <v>14</v>
      </c>
      <c r="C420" s="104" t="s">
        <v>175</v>
      </c>
      <c r="D420" s="104" t="s">
        <v>81</v>
      </c>
      <c r="E420" s="104" t="s">
        <v>172</v>
      </c>
      <c r="F420" s="104">
        <v>2016</v>
      </c>
      <c r="G420" s="105">
        <v>42737.791666666664</v>
      </c>
      <c r="H420" s="105">
        <v>42748.958333333336</v>
      </c>
      <c r="I420" s="106">
        <v>42737</v>
      </c>
      <c r="J420" s="106">
        <v>42748</v>
      </c>
      <c r="K420" s="107" t="s">
        <v>526</v>
      </c>
      <c r="L420" s="107">
        <v>0.95833333333333337</v>
      </c>
      <c r="M420" s="107" t="s">
        <v>541</v>
      </c>
      <c r="N420" s="107" t="s">
        <v>523</v>
      </c>
      <c r="O420" s="107" t="s">
        <v>543</v>
      </c>
      <c r="P420" s="104" t="s">
        <v>23</v>
      </c>
      <c r="Q420" s="104" t="s">
        <v>16</v>
      </c>
      <c r="R420" s="104" t="s">
        <v>109</v>
      </c>
      <c r="S420" s="104">
        <v>2</v>
      </c>
      <c r="T420" s="104">
        <v>8</v>
      </c>
      <c r="U420" s="137">
        <v>43</v>
      </c>
      <c r="V420" s="138">
        <v>344</v>
      </c>
    </row>
    <row r="421" spans="1:22" x14ac:dyDescent="0.25">
      <c r="A421" s="108" t="s">
        <v>193</v>
      </c>
      <c r="B421" s="109" t="s">
        <v>11</v>
      </c>
      <c r="C421" s="109" t="s">
        <v>175</v>
      </c>
      <c r="D421" s="109" t="s">
        <v>82</v>
      </c>
      <c r="E421" s="109" t="s">
        <v>172</v>
      </c>
      <c r="F421" s="109">
        <v>2016</v>
      </c>
      <c r="G421" s="110">
        <v>42737.791666666664</v>
      </c>
      <c r="H421" s="110">
        <v>42748.958333333336</v>
      </c>
      <c r="I421" s="111">
        <v>42737</v>
      </c>
      <c r="J421" s="111">
        <v>42748</v>
      </c>
      <c r="K421" s="112" t="s">
        <v>526</v>
      </c>
      <c r="L421" s="112">
        <v>0.95833333333333337</v>
      </c>
      <c r="M421" s="112" t="s">
        <v>541</v>
      </c>
      <c r="N421" s="112" t="s">
        <v>523</v>
      </c>
      <c r="O421" s="112" t="s">
        <v>543</v>
      </c>
      <c r="P421" s="109" t="s">
        <v>23</v>
      </c>
      <c r="Q421" s="109" t="s">
        <v>28</v>
      </c>
      <c r="R421" s="109" t="s">
        <v>109</v>
      </c>
      <c r="S421" s="109">
        <v>4</v>
      </c>
      <c r="T421" s="109">
        <v>12</v>
      </c>
      <c r="U421" s="139">
        <v>75</v>
      </c>
      <c r="V421" s="140">
        <v>900</v>
      </c>
    </row>
    <row r="422" spans="1:22" x14ac:dyDescent="0.25">
      <c r="A422" s="103" t="s">
        <v>194</v>
      </c>
      <c r="B422" s="104" t="s">
        <v>11</v>
      </c>
      <c r="C422" s="104" t="s">
        <v>175</v>
      </c>
      <c r="D422" s="104" t="s">
        <v>88</v>
      </c>
      <c r="E422" s="104" t="s">
        <v>170</v>
      </c>
      <c r="F422" s="104">
        <v>2016</v>
      </c>
      <c r="G422" s="105">
        <v>42738.791666666664</v>
      </c>
      <c r="H422" s="105">
        <v>42751.958333333336</v>
      </c>
      <c r="I422" s="106">
        <v>42738</v>
      </c>
      <c r="J422" s="106">
        <v>42751</v>
      </c>
      <c r="K422" s="107" t="s">
        <v>526</v>
      </c>
      <c r="L422" s="107">
        <v>0.95833333333333337</v>
      </c>
      <c r="M422" s="107" t="s">
        <v>541</v>
      </c>
      <c r="N422" s="107" t="s">
        <v>523</v>
      </c>
      <c r="O422" s="107" t="s">
        <v>543</v>
      </c>
      <c r="P422" s="104" t="s">
        <v>9</v>
      </c>
      <c r="Q422" s="104" t="s">
        <v>12</v>
      </c>
      <c r="R422" s="104" t="s">
        <v>113</v>
      </c>
      <c r="S422" s="104">
        <v>2</v>
      </c>
      <c r="T422" s="104">
        <v>9</v>
      </c>
      <c r="U422" s="137">
        <v>42</v>
      </c>
      <c r="V422" s="138">
        <v>378</v>
      </c>
    </row>
    <row r="423" spans="1:22" x14ac:dyDescent="0.25">
      <c r="A423" s="108" t="s">
        <v>195</v>
      </c>
      <c r="B423" s="109" t="s">
        <v>7</v>
      </c>
      <c r="C423" s="109" t="s">
        <v>175</v>
      </c>
      <c r="D423" s="109" t="s">
        <v>77</v>
      </c>
      <c r="E423" s="109" t="s">
        <v>172</v>
      </c>
      <c r="F423" s="109">
        <v>2016</v>
      </c>
      <c r="G423" s="110">
        <v>42739.583333333336</v>
      </c>
      <c r="H423" s="110">
        <v>42752.75</v>
      </c>
      <c r="I423" s="111">
        <v>42739</v>
      </c>
      <c r="J423" s="111">
        <v>42752</v>
      </c>
      <c r="K423" s="112" t="s">
        <v>527</v>
      </c>
      <c r="L423" s="112">
        <v>0.75</v>
      </c>
      <c r="M423" s="112" t="s">
        <v>542</v>
      </c>
      <c r="N423" s="112" t="s">
        <v>523</v>
      </c>
      <c r="O423" s="112" t="s">
        <v>543</v>
      </c>
      <c r="P423" s="109" t="s">
        <v>9</v>
      </c>
      <c r="Q423" s="109" t="s">
        <v>190</v>
      </c>
      <c r="R423" s="109" t="s">
        <v>109</v>
      </c>
      <c r="S423" s="109">
        <v>2</v>
      </c>
      <c r="T423" s="109">
        <v>10</v>
      </c>
      <c r="U423" s="139">
        <v>35</v>
      </c>
      <c r="V423" s="140">
        <v>350</v>
      </c>
    </row>
    <row r="424" spans="1:22" x14ac:dyDescent="0.25">
      <c r="A424" s="103" t="s">
        <v>196</v>
      </c>
      <c r="B424" s="104" t="s">
        <v>22</v>
      </c>
      <c r="C424" s="104" t="s">
        <v>176</v>
      </c>
      <c r="D424" s="104" t="s">
        <v>84</v>
      </c>
      <c r="E424" s="104" t="s">
        <v>172</v>
      </c>
      <c r="F424" s="104">
        <v>2016</v>
      </c>
      <c r="G424" s="105">
        <v>42740.375</v>
      </c>
      <c r="H424" s="105">
        <v>42746.75</v>
      </c>
      <c r="I424" s="106">
        <v>42740</v>
      </c>
      <c r="J424" s="106">
        <v>42746</v>
      </c>
      <c r="K424" s="107" t="s">
        <v>525</v>
      </c>
      <c r="L424" s="107">
        <v>0.75</v>
      </c>
      <c r="M424" s="107" t="s">
        <v>540</v>
      </c>
      <c r="N424" s="107" t="s">
        <v>523</v>
      </c>
      <c r="O424" s="107" t="s">
        <v>543</v>
      </c>
      <c r="P424" s="104" t="s">
        <v>23</v>
      </c>
      <c r="Q424" s="104" t="s">
        <v>28</v>
      </c>
      <c r="R424" s="104" t="s">
        <v>109</v>
      </c>
      <c r="S424" s="104">
        <v>4</v>
      </c>
      <c r="T424" s="104">
        <v>9</v>
      </c>
      <c r="U424" s="137">
        <v>52</v>
      </c>
      <c r="V424" s="138">
        <v>468</v>
      </c>
    </row>
    <row r="425" spans="1:22" x14ac:dyDescent="0.25">
      <c r="A425" s="108" t="s">
        <v>197</v>
      </c>
      <c r="B425" s="109" t="s">
        <v>22</v>
      </c>
      <c r="C425" s="109" t="s">
        <v>176</v>
      </c>
      <c r="D425" s="109" t="s">
        <v>88</v>
      </c>
      <c r="E425" s="109" t="s">
        <v>170</v>
      </c>
      <c r="F425" s="109">
        <v>2016</v>
      </c>
      <c r="G425" s="110">
        <v>42741.333333333336</v>
      </c>
      <c r="H425" s="110">
        <v>42754.5</v>
      </c>
      <c r="I425" s="111">
        <v>42741</v>
      </c>
      <c r="J425" s="111">
        <v>42754</v>
      </c>
      <c r="K425" s="112" t="s">
        <v>522</v>
      </c>
      <c r="L425" s="112">
        <v>0.5</v>
      </c>
      <c r="M425" s="112" t="s">
        <v>539</v>
      </c>
      <c r="N425" s="112" t="s">
        <v>523</v>
      </c>
      <c r="O425" s="112" t="s">
        <v>543</v>
      </c>
      <c r="P425" s="109" t="s">
        <v>9</v>
      </c>
      <c r="Q425" s="109" t="s">
        <v>28</v>
      </c>
      <c r="R425" s="109" t="s">
        <v>109</v>
      </c>
      <c r="S425" s="109">
        <v>2</v>
      </c>
      <c r="T425" s="109">
        <v>10</v>
      </c>
      <c r="U425" s="139">
        <v>42</v>
      </c>
      <c r="V425" s="140">
        <v>420</v>
      </c>
    </row>
    <row r="426" spans="1:22" x14ac:dyDescent="0.25">
      <c r="A426" s="103" t="s">
        <v>198</v>
      </c>
      <c r="B426" s="104" t="s">
        <v>19</v>
      </c>
      <c r="C426" s="104" t="s">
        <v>176</v>
      </c>
      <c r="D426" s="104" t="s">
        <v>88</v>
      </c>
      <c r="E426" s="104" t="s">
        <v>170</v>
      </c>
      <c r="F426" s="104">
        <v>2016</v>
      </c>
      <c r="G426" s="105">
        <v>42742.375</v>
      </c>
      <c r="H426" s="105">
        <v>42747.75</v>
      </c>
      <c r="I426" s="106">
        <v>42742</v>
      </c>
      <c r="J426" s="106">
        <v>42747</v>
      </c>
      <c r="K426" s="107" t="s">
        <v>525</v>
      </c>
      <c r="L426" s="107">
        <v>0.75</v>
      </c>
      <c r="M426" s="107" t="s">
        <v>540</v>
      </c>
      <c r="N426" s="107" t="s">
        <v>523</v>
      </c>
      <c r="O426" s="107" t="s">
        <v>543</v>
      </c>
      <c r="P426" s="104" t="s">
        <v>9</v>
      </c>
      <c r="Q426" s="104" t="s">
        <v>37</v>
      </c>
      <c r="R426" s="104" t="s">
        <v>113</v>
      </c>
      <c r="S426" s="104">
        <v>4</v>
      </c>
      <c r="T426" s="104">
        <v>9</v>
      </c>
      <c r="U426" s="137">
        <v>42</v>
      </c>
      <c r="V426" s="138">
        <v>378</v>
      </c>
    </row>
    <row r="427" spans="1:22" x14ac:dyDescent="0.25">
      <c r="A427" s="108" t="s">
        <v>199</v>
      </c>
      <c r="B427" s="109" t="s">
        <v>29</v>
      </c>
      <c r="C427" s="109" t="s">
        <v>177</v>
      </c>
      <c r="D427" s="109" t="s">
        <v>85</v>
      </c>
      <c r="E427" s="109" t="s">
        <v>170</v>
      </c>
      <c r="F427" s="109">
        <v>2016</v>
      </c>
      <c r="G427" s="110">
        <v>42744.791666666664</v>
      </c>
      <c r="H427" s="110">
        <v>42755.958333333336</v>
      </c>
      <c r="I427" s="111">
        <v>42744</v>
      </c>
      <c r="J427" s="111">
        <v>42755</v>
      </c>
      <c r="K427" s="112" t="s">
        <v>526</v>
      </c>
      <c r="L427" s="112">
        <v>0.95833333333333337</v>
      </c>
      <c r="M427" s="112" t="s">
        <v>541</v>
      </c>
      <c r="N427" s="112" t="s">
        <v>523</v>
      </c>
      <c r="O427" s="112" t="s">
        <v>543</v>
      </c>
      <c r="P427" s="109" t="s">
        <v>23</v>
      </c>
      <c r="Q427" s="109" t="s">
        <v>21</v>
      </c>
      <c r="R427" s="109" t="s">
        <v>113</v>
      </c>
      <c r="S427" s="109">
        <v>4</v>
      </c>
      <c r="T427" s="109">
        <v>12</v>
      </c>
      <c r="U427" s="139">
        <v>48</v>
      </c>
      <c r="V427" s="140">
        <v>576</v>
      </c>
    </row>
    <row r="428" spans="1:22" x14ac:dyDescent="0.25">
      <c r="A428" s="103" t="s">
        <v>200</v>
      </c>
      <c r="B428" s="104" t="s">
        <v>14</v>
      </c>
      <c r="C428" s="104" t="s">
        <v>175</v>
      </c>
      <c r="D428" s="104" t="s">
        <v>80</v>
      </c>
      <c r="E428" s="104" t="s">
        <v>173</v>
      </c>
      <c r="F428" s="104">
        <v>2016</v>
      </c>
      <c r="G428" s="105">
        <v>42744.791666666664</v>
      </c>
      <c r="H428" s="105">
        <v>42755.958333333336</v>
      </c>
      <c r="I428" s="106">
        <v>42744</v>
      </c>
      <c r="J428" s="106">
        <v>42755</v>
      </c>
      <c r="K428" s="107" t="s">
        <v>526</v>
      </c>
      <c r="L428" s="107">
        <v>0.95833333333333337</v>
      </c>
      <c r="M428" s="107" t="s">
        <v>541</v>
      </c>
      <c r="N428" s="107" t="s">
        <v>523</v>
      </c>
      <c r="O428" s="107" t="s">
        <v>543</v>
      </c>
      <c r="P428" s="104" t="s">
        <v>9</v>
      </c>
      <c r="Q428" s="104" t="s">
        <v>28</v>
      </c>
      <c r="R428" s="104" t="s">
        <v>109</v>
      </c>
      <c r="S428" s="104">
        <v>4</v>
      </c>
      <c r="T428" s="104">
        <v>9</v>
      </c>
      <c r="U428" s="137">
        <v>32</v>
      </c>
      <c r="V428" s="138">
        <v>288</v>
      </c>
    </row>
    <row r="429" spans="1:22" x14ac:dyDescent="0.25">
      <c r="A429" s="108" t="s">
        <v>201</v>
      </c>
      <c r="B429" s="109" t="s">
        <v>11</v>
      </c>
      <c r="C429" s="109" t="s">
        <v>175</v>
      </c>
      <c r="D429" s="109" t="s">
        <v>76</v>
      </c>
      <c r="E429" s="109" t="s">
        <v>174</v>
      </c>
      <c r="F429" s="109">
        <v>2016</v>
      </c>
      <c r="G429" s="110">
        <v>42745.791666666664</v>
      </c>
      <c r="H429" s="110">
        <v>42758.958333333336</v>
      </c>
      <c r="I429" s="111">
        <v>42745</v>
      </c>
      <c r="J429" s="111">
        <v>42758</v>
      </c>
      <c r="K429" s="112" t="s">
        <v>526</v>
      </c>
      <c r="L429" s="112">
        <v>0.95833333333333337</v>
      </c>
      <c r="M429" s="112" t="s">
        <v>541</v>
      </c>
      <c r="N429" s="112" t="s">
        <v>523</v>
      </c>
      <c r="O429" s="112" t="s">
        <v>543</v>
      </c>
      <c r="P429" s="109" t="s">
        <v>23</v>
      </c>
      <c r="Q429" s="109" t="s">
        <v>16</v>
      </c>
      <c r="R429" s="109" t="s">
        <v>109</v>
      </c>
      <c r="S429" s="109">
        <v>5</v>
      </c>
      <c r="T429" s="109">
        <v>9</v>
      </c>
      <c r="U429" s="139">
        <v>53</v>
      </c>
      <c r="V429" s="140">
        <v>477</v>
      </c>
    </row>
    <row r="430" spans="1:22" x14ac:dyDescent="0.25">
      <c r="A430" s="103" t="s">
        <v>202</v>
      </c>
      <c r="B430" s="104" t="s">
        <v>7</v>
      </c>
      <c r="C430" s="104" t="s">
        <v>175</v>
      </c>
      <c r="D430" s="104" t="s">
        <v>80</v>
      </c>
      <c r="E430" s="104" t="s">
        <v>173</v>
      </c>
      <c r="F430" s="104">
        <v>2016</v>
      </c>
      <c r="G430" s="105">
        <v>42746.583333333336</v>
      </c>
      <c r="H430" s="105">
        <v>42759.75</v>
      </c>
      <c r="I430" s="106">
        <v>42746</v>
      </c>
      <c r="J430" s="106">
        <v>42759</v>
      </c>
      <c r="K430" s="107" t="s">
        <v>527</v>
      </c>
      <c r="L430" s="107">
        <v>0.75</v>
      </c>
      <c r="M430" s="107" t="s">
        <v>542</v>
      </c>
      <c r="N430" s="107" t="s">
        <v>523</v>
      </c>
      <c r="O430" s="107" t="s">
        <v>543</v>
      </c>
      <c r="P430" s="104" t="s">
        <v>23</v>
      </c>
      <c r="Q430" s="104" t="s">
        <v>190</v>
      </c>
      <c r="R430" s="104" t="s">
        <v>109</v>
      </c>
      <c r="S430" s="104">
        <v>3</v>
      </c>
      <c r="T430" s="104">
        <v>11</v>
      </c>
      <c r="U430" s="137">
        <v>32</v>
      </c>
      <c r="V430" s="138">
        <v>352</v>
      </c>
    </row>
    <row r="431" spans="1:22" x14ac:dyDescent="0.25">
      <c r="A431" s="108" t="s">
        <v>203</v>
      </c>
      <c r="B431" s="109" t="s">
        <v>22</v>
      </c>
      <c r="C431" s="109" t="s">
        <v>176</v>
      </c>
      <c r="D431" s="109" t="s">
        <v>77</v>
      </c>
      <c r="E431" s="109" t="s">
        <v>172</v>
      </c>
      <c r="F431" s="109">
        <v>2016</v>
      </c>
      <c r="G431" s="110">
        <v>42747.375</v>
      </c>
      <c r="H431" s="110">
        <v>42753.75</v>
      </c>
      <c r="I431" s="111">
        <v>42747</v>
      </c>
      <c r="J431" s="111">
        <v>42753</v>
      </c>
      <c r="K431" s="112" t="s">
        <v>525</v>
      </c>
      <c r="L431" s="112">
        <v>0.75</v>
      </c>
      <c r="M431" s="112" t="s">
        <v>540</v>
      </c>
      <c r="N431" s="112" t="s">
        <v>523</v>
      </c>
      <c r="O431" s="112" t="s">
        <v>543</v>
      </c>
      <c r="P431" s="109" t="s">
        <v>9</v>
      </c>
      <c r="Q431" s="109" t="s">
        <v>37</v>
      </c>
      <c r="R431" s="109" t="s">
        <v>113</v>
      </c>
      <c r="S431" s="109">
        <v>5</v>
      </c>
      <c r="T431" s="109">
        <v>12</v>
      </c>
      <c r="U431" s="139">
        <v>35</v>
      </c>
      <c r="V431" s="140">
        <v>420</v>
      </c>
    </row>
    <row r="432" spans="1:22" x14ac:dyDescent="0.25">
      <c r="A432" s="103" t="s">
        <v>204</v>
      </c>
      <c r="B432" s="104" t="s">
        <v>22</v>
      </c>
      <c r="C432" s="104" t="s">
        <v>176</v>
      </c>
      <c r="D432" s="104" t="s">
        <v>80</v>
      </c>
      <c r="E432" s="104" t="s">
        <v>173</v>
      </c>
      <c r="F432" s="104">
        <v>2016</v>
      </c>
      <c r="G432" s="105">
        <v>42748.333333333336</v>
      </c>
      <c r="H432" s="105">
        <v>42762.5</v>
      </c>
      <c r="I432" s="106">
        <v>42748</v>
      </c>
      <c r="J432" s="106">
        <v>42762</v>
      </c>
      <c r="K432" s="107" t="s">
        <v>522</v>
      </c>
      <c r="L432" s="107">
        <v>0.5</v>
      </c>
      <c r="M432" s="107" t="s">
        <v>539</v>
      </c>
      <c r="N432" s="107" t="s">
        <v>523</v>
      </c>
      <c r="O432" s="107" t="s">
        <v>543</v>
      </c>
      <c r="P432" s="104" t="s">
        <v>23</v>
      </c>
      <c r="Q432" s="104" t="s">
        <v>190</v>
      </c>
      <c r="R432" s="104" t="s">
        <v>109</v>
      </c>
      <c r="S432" s="104">
        <v>2</v>
      </c>
      <c r="T432" s="104">
        <v>10</v>
      </c>
      <c r="U432" s="137">
        <v>32</v>
      </c>
      <c r="V432" s="138">
        <v>320</v>
      </c>
    </row>
    <row r="433" spans="1:22" x14ac:dyDescent="0.25">
      <c r="A433" s="108" t="s">
        <v>205</v>
      </c>
      <c r="B433" s="109" t="s">
        <v>22</v>
      </c>
      <c r="C433" s="109" t="s">
        <v>176</v>
      </c>
      <c r="D433" s="109" t="s">
        <v>84</v>
      </c>
      <c r="E433" s="109" t="s">
        <v>172</v>
      </c>
      <c r="F433" s="109">
        <v>2016</v>
      </c>
      <c r="G433" s="110">
        <v>42749.375</v>
      </c>
      <c r="H433" s="110">
        <v>42754.75</v>
      </c>
      <c r="I433" s="111">
        <v>42749</v>
      </c>
      <c r="J433" s="111">
        <v>42754</v>
      </c>
      <c r="K433" s="112" t="s">
        <v>525</v>
      </c>
      <c r="L433" s="112">
        <v>0.75</v>
      </c>
      <c r="M433" s="112" t="s">
        <v>540</v>
      </c>
      <c r="N433" s="112" t="s">
        <v>523</v>
      </c>
      <c r="O433" s="112" t="s">
        <v>543</v>
      </c>
      <c r="P433" s="109" t="s">
        <v>23</v>
      </c>
      <c r="Q433" s="109" t="s">
        <v>24</v>
      </c>
      <c r="R433" s="109" t="s">
        <v>113</v>
      </c>
      <c r="S433" s="109">
        <v>5</v>
      </c>
      <c r="T433" s="109">
        <v>12</v>
      </c>
      <c r="U433" s="139">
        <v>52</v>
      </c>
      <c r="V433" s="140">
        <v>624</v>
      </c>
    </row>
    <row r="434" spans="1:22" x14ac:dyDescent="0.25">
      <c r="A434" s="103" t="s">
        <v>206</v>
      </c>
      <c r="B434" s="104" t="s">
        <v>39</v>
      </c>
      <c r="C434" s="104" t="s">
        <v>177</v>
      </c>
      <c r="D434" s="104" t="s">
        <v>89</v>
      </c>
      <c r="E434" s="104" t="s">
        <v>169</v>
      </c>
      <c r="F434" s="104">
        <v>2016</v>
      </c>
      <c r="G434" s="105">
        <v>42751.791666666664</v>
      </c>
      <c r="H434" s="105">
        <v>42765.958333333336</v>
      </c>
      <c r="I434" s="106">
        <v>42751</v>
      </c>
      <c r="J434" s="106">
        <v>42765</v>
      </c>
      <c r="K434" s="107" t="s">
        <v>526</v>
      </c>
      <c r="L434" s="107">
        <v>0.95833333333333337</v>
      </c>
      <c r="M434" s="107" t="s">
        <v>541</v>
      </c>
      <c r="N434" s="107" t="s">
        <v>523</v>
      </c>
      <c r="O434" s="107" t="s">
        <v>543</v>
      </c>
      <c r="P434" s="104" t="s">
        <v>23</v>
      </c>
      <c r="Q434" s="104" t="s">
        <v>41</v>
      </c>
      <c r="R434" s="104" t="s">
        <v>113</v>
      </c>
      <c r="S434" s="104">
        <v>4</v>
      </c>
      <c r="T434" s="104">
        <v>8</v>
      </c>
      <c r="U434" s="137">
        <v>62</v>
      </c>
      <c r="V434" s="138">
        <v>496</v>
      </c>
    </row>
    <row r="435" spans="1:22" x14ac:dyDescent="0.25">
      <c r="A435" s="108" t="s">
        <v>207</v>
      </c>
      <c r="B435" s="109" t="s">
        <v>19</v>
      </c>
      <c r="C435" s="109" t="s">
        <v>176</v>
      </c>
      <c r="D435" s="109" t="s">
        <v>78</v>
      </c>
      <c r="E435" s="109" t="s">
        <v>172</v>
      </c>
      <c r="F435" s="109">
        <v>2016</v>
      </c>
      <c r="G435" s="110">
        <v>42751.791666666664</v>
      </c>
      <c r="H435" s="110">
        <v>42765.958333333336</v>
      </c>
      <c r="I435" s="111">
        <v>42751</v>
      </c>
      <c r="J435" s="111">
        <v>42765</v>
      </c>
      <c r="K435" s="112" t="s">
        <v>526</v>
      </c>
      <c r="L435" s="112">
        <v>0.95833333333333337</v>
      </c>
      <c r="M435" s="112" t="s">
        <v>541</v>
      </c>
      <c r="N435" s="112" t="s">
        <v>523</v>
      </c>
      <c r="O435" s="112" t="s">
        <v>543</v>
      </c>
      <c r="P435" s="109" t="s">
        <v>9</v>
      </c>
      <c r="Q435" s="109" t="s">
        <v>190</v>
      </c>
      <c r="R435" s="109" t="s">
        <v>109</v>
      </c>
      <c r="S435" s="109">
        <v>4</v>
      </c>
      <c r="T435" s="109">
        <v>10</v>
      </c>
      <c r="U435" s="139">
        <v>62</v>
      </c>
      <c r="V435" s="140">
        <v>620</v>
      </c>
    </row>
    <row r="436" spans="1:22" x14ac:dyDescent="0.25">
      <c r="A436" s="103" t="s">
        <v>208</v>
      </c>
      <c r="B436" s="104" t="s">
        <v>11</v>
      </c>
      <c r="C436" s="104" t="s">
        <v>175</v>
      </c>
      <c r="D436" s="104" t="s">
        <v>77</v>
      </c>
      <c r="E436" s="104" t="s">
        <v>172</v>
      </c>
      <c r="F436" s="104">
        <v>2016</v>
      </c>
      <c r="G436" s="105">
        <v>42752.791666666664</v>
      </c>
      <c r="H436" s="105">
        <v>42766.958333333336</v>
      </c>
      <c r="I436" s="106">
        <v>42752</v>
      </c>
      <c r="J436" s="106">
        <v>42766</v>
      </c>
      <c r="K436" s="107" t="s">
        <v>526</v>
      </c>
      <c r="L436" s="107">
        <v>0.95833333333333337</v>
      </c>
      <c r="M436" s="107" t="s">
        <v>541</v>
      </c>
      <c r="N436" s="107" t="s">
        <v>523</v>
      </c>
      <c r="O436" s="107" t="s">
        <v>543</v>
      </c>
      <c r="P436" s="104" t="s">
        <v>23</v>
      </c>
      <c r="Q436" s="104" t="s">
        <v>24</v>
      </c>
      <c r="R436" s="104" t="s">
        <v>113</v>
      </c>
      <c r="S436" s="104">
        <v>5</v>
      </c>
      <c r="T436" s="104">
        <v>8</v>
      </c>
      <c r="U436" s="137">
        <v>35</v>
      </c>
      <c r="V436" s="138">
        <v>280</v>
      </c>
    </row>
    <row r="437" spans="1:22" x14ac:dyDescent="0.25">
      <c r="A437" s="108" t="s">
        <v>209</v>
      </c>
      <c r="B437" s="109" t="s">
        <v>45</v>
      </c>
      <c r="C437" s="109" t="s">
        <v>177</v>
      </c>
      <c r="D437" s="109" t="s">
        <v>83</v>
      </c>
      <c r="E437" s="109" t="s">
        <v>174</v>
      </c>
      <c r="F437" s="109">
        <v>2016</v>
      </c>
      <c r="G437" s="110">
        <v>42753.583333333336</v>
      </c>
      <c r="H437" s="110">
        <v>42767.75</v>
      </c>
      <c r="I437" s="111">
        <v>42753</v>
      </c>
      <c r="J437" s="111">
        <v>42767</v>
      </c>
      <c r="K437" s="112" t="s">
        <v>527</v>
      </c>
      <c r="L437" s="112">
        <v>0.75</v>
      </c>
      <c r="M437" s="112" t="s">
        <v>542</v>
      </c>
      <c r="N437" s="112" t="s">
        <v>523</v>
      </c>
      <c r="O437" s="112" t="s">
        <v>543</v>
      </c>
      <c r="P437" s="109" t="s">
        <v>9</v>
      </c>
      <c r="Q437" s="109" t="s">
        <v>35</v>
      </c>
      <c r="R437" s="109" t="s">
        <v>109</v>
      </c>
      <c r="S437" s="109">
        <v>4</v>
      </c>
      <c r="T437" s="109">
        <v>9</v>
      </c>
      <c r="U437" s="139">
        <v>63</v>
      </c>
      <c r="V437" s="140">
        <v>567</v>
      </c>
    </row>
    <row r="438" spans="1:22" x14ac:dyDescent="0.25">
      <c r="A438" s="103" t="s">
        <v>210</v>
      </c>
      <c r="B438" s="104" t="s">
        <v>17</v>
      </c>
      <c r="C438" s="104" t="s">
        <v>176</v>
      </c>
      <c r="D438" s="104" t="s">
        <v>76</v>
      </c>
      <c r="E438" s="104" t="s">
        <v>174</v>
      </c>
      <c r="F438" s="104">
        <v>2016</v>
      </c>
      <c r="G438" s="105">
        <v>42754.375</v>
      </c>
      <c r="H438" s="105">
        <v>42761.75</v>
      </c>
      <c r="I438" s="106">
        <v>42754</v>
      </c>
      <c r="J438" s="106">
        <v>42761</v>
      </c>
      <c r="K438" s="107" t="s">
        <v>525</v>
      </c>
      <c r="L438" s="107">
        <v>0.75</v>
      </c>
      <c r="M438" s="107" t="s">
        <v>540</v>
      </c>
      <c r="N438" s="107" t="s">
        <v>523</v>
      </c>
      <c r="O438" s="107" t="s">
        <v>543</v>
      </c>
      <c r="P438" s="104" t="s">
        <v>9</v>
      </c>
      <c r="Q438" s="104" t="s">
        <v>37</v>
      </c>
      <c r="R438" s="104" t="s">
        <v>113</v>
      </c>
      <c r="S438" s="104">
        <v>4</v>
      </c>
      <c r="T438" s="104">
        <v>8</v>
      </c>
      <c r="U438" s="137">
        <v>53</v>
      </c>
      <c r="V438" s="138">
        <v>424</v>
      </c>
    </row>
    <row r="439" spans="1:22" x14ac:dyDescent="0.25">
      <c r="A439" s="108" t="s">
        <v>211</v>
      </c>
      <c r="B439" s="109" t="s">
        <v>19</v>
      </c>
      <c r="C439" s="109" t="s">
        <v>176</v>
      </c>
      <c r="D439" s="109" t="s">
        <v>85</v>
      </c>
      <c r="E439" s="109" t="s">
        <v>170</v>
      </c>
      <c r="F439" s="109">
        <v>2016</v>
      </c>
      <c r="G439" s="110">
        <v>42755.333333333336</v>
      </c>
      <c r="H439" s="110">
        <v>42769.5</v>
      </c>
      <c r="I439" s="111">
        <v>42755</v>
      </c>
      <c r="J439" s="111">
        <v>42769</v>
      </c>
      <c r="K439" s="112" t="s">
        <v>522</v>
      </c>
      <c r="L439" s="112">
        <v>0.5</v>
      </c>
      <c r="M439" s="112" t="s">
        <v>539</v>
      </c>
      <c r="N439" s="112" t="s">
        <v>523</v>
      </c>
      <c r="O439" s="112" t="s">
        <v>543</v>
      </c>
      <c r="P439" s="109" t="s">
        <v>23</v>
      </c>
      <c r="Q439" s="109" t="s">
        <v>22</v>
      </c>
      <c r="R439" s="109" t="s">
        <v>109</v>
      </c>
      <c r="S439" s="109">
        <v>4</v>
      </c>
      <c r="T439" s="109">
        <v>10</v>
      </c>
      <c r="U439" s="139">
        <v>48</v>
      </c>
      <c r="V439" s="140">
        <v>480</v>
      </c>
    </row>
    <row r="440" spans="1:22" x14ac:dyDescent="0.25">
      <c r="A440" s="103" t="s">
        <v>212</v>
      </c>
      <c r="B440" s="104" t="s">
        <v>17</v>
      </c>
      <c r="C440" s="104" t="s">
        <v>176</v>
      </c>
      <c r="D440" s="104" t="s">
        <v>86</v>
      </c>
      <c r="E440" s="104" t="s">
        <v>169</v>
      </c>
      <c r="F440" s="104">
        <v>2016</v>
      </c>
      <c r="G440" s="105">
        <v>42756.375</v>
      </c>
      <c r="H440" s="105">
        <v>42762.75</v>
      </c>
      <c r="I440" s="106">
        <v>42756</v>
      </c>
      <c r="J440" s="106">
        <v>42762</v>
      </c>
      <c r="K440" s="107" t="s">
        <v>525</v>
      </c>
      <c r="L440" s="107">
        <v>0.75</v>
      </c>
      <c r="M440" s="107" t="s">
        <v>540</v>
      </c>
      <c r="N440" s="107" t="s">
        <v>523</v>
      </c>
      <c r="O440" s="107" t="s">
        <v>543</v>
      </c>
      <c r="P440" s="104" t="s">
        <v>9</v>
      </c>
      <c r="Q440" s="104" t="s">
        <v>18</v>
      </c>
      <c r="R440" s="104" t="s">
        <v>113</v>
      </c>
      <c r="S440" s="104">
        <v>5</v>
      </c>
      <c r="T440" s="104">
        <v>12</v>
      </c>
      <c r="U440" s="137">
        <v>48</v>
      </c>
      <c r="V440" s="138">
        <v>576</v>
      </c>
    </row>
    <row r="441" spans="1:22" x14ac:dyDescent="0.25">
      <c r="A441" s="108" t="s">
        <v>213</v>
      </c>
      <c r="B441" s="109" t="s">
        <v>19</v>
      </c>
      <c r="C441" s="109" t="s">
        <v>176</v>
      </c>
      <c r="D441" s="109" t="s">
        <v>88</v>
      </c>
      <c r="E441" s="109" t="s">
        <v>170</v>
      </c>
      <c r="F441" s="109">
        <v>2016</v>
      </c>
      <c r="G441" s="110">
        <v>42758.791666666664</v>
      </c>
      <c r="H441" s="110">
        <v>42772.958333333336</v>
      </c>
      <c r="I441" s="111">
        <v>42758</v>
      </c>
      <c r="J441" s="111">
        <v>42772</v>
      </c>
      <c r="K441" s="112" t="s">
        <v>526</v>
      </c>
      <c r="L441" s="112">
        <v>0.95833333333333337</v>
      </c>
      <c r="M441" s="112" t="s">
        <v>541</v>
      </c>
      <c r="N441" s="112" t="s">
        <v>523</v>
      </c>
      <c r="O441" s="112" t="s">
        <v>543</v>
      </c>
      <c r="P441" s="109" t="s">
        <v>23</v>
      </c>
      <c r="Q441" s="109" t="s">
        <v>12</v>
      </c>
      <c r="R441" s="109" t="s">
        <v>113</v>
      </c>
      <c r="S441" s="109">
        <v>2</v>
      </c>
      <c r="T441" s="109">
        <v>11</v>
      </c>
      <c r="U441" s="139">
        <v>42</v>
      </c>
      <c r="V441" s="140">
        <v>462</v>
      </c>
    </row>
    <row r="442" spans="1:22" x14ac:dyDescent="0.25">
      <c r="A442" s="103" t="s">
        <v>214</v>
      </c>
      <c r="B442" s="104" t="s">
        <v>14</v>
      </c>
      <c r="C442" s="104" t="s">
        <v>175</v>
      </c>
      <c r="D442" s="104" t="s">
        <v>82</v>
      </c>
      <c r="E442" s="104" t="s">
        <v>172</v>
      </c>
      <c r="F442" s="104">
        <v>2016</v>
      </c>
      <c r="G442" s="105">
        <v>42758.791666666664</v>
      </c>
      <c r="H442" s="105">
        <v>42772.958333333336</v>
      </c>
      <c r="I442" s="106">
        <v>42758</v>
      </c>
      <c r="J442" s="106">
        <v>42772</v>
      </c>
      <c r="K442" s="107" t="s">
        <v>526</v>
      </c>
      <c r="L442" s="107">
        <v>0.95833333333333337</v>
      </c>
      <c r="M442" s="107" t="s">
        <v>541</v>
      </c>
      <c r="N442" s="107" t="s">
        <v>523</v>
      </c>
      <c r="O442" s="107" t="s">
        <v>543</v>
      </c>
      <c r="P442" s="104" t="s">
        <v>23</v>
      </c>
      <c r="Q442" s="104" t="s">
        <v>190</v>
      </c>
      <c r="R442" s="104" t="s">
        <v>109</v>
      </c>
      <c r="S442" s="104">
        <v>4</v>
      </c>
      <c r="T442" s="104">
        <v>11</v>
      </c>
      <c r="U442" s="137">
        <v>75</v>
      </c>
      <c r="V442" s="138">
        <v>825</v>
      </c>
    </row>
    <row r="443" spans="1:22" x14ac:dyDescent="0.25">
      <c r="A443" s="108" t="s">
        <v>215</v>
      </c>
      <c r="B443" s="109" t="s">
        <v>17</v>
      </c>
      <c r="C443" s="109" t="s">
        <v>176</v>
      </c>
      <c r="D443" s="109" t="s">
        <v>80</v>
      </c>
      <c r="E443" s="109" t="s">
        <v>173</v>
      </c>
      <c r="F443" s="109">
        <v>2016</v>
      </c>
      <c r="G443" s="110">
        <v>42759.791666666664</v>
      </c>
      <c r="H443" s="110">
        <v>42773.958333333336</v>
      </c>
      <c r="I443" s="111">
        <v>42759</v>
      </c>
      <c r="J443" s="111">
        <v>42773</v>
      </c>
      <c r="K443" s="112" t="s">
        <v>526</v>
      </c>
      <c r="L443" s="112">
        <v>0.95833333333333337</v>
      </c>
      <c r="M443" s="112" t="s">
        <v>541</v>
      </c>
      <c r="N443" s="112" t="s">
        <v>523</v>
      </c>
      <c r="O443" s="112" t="s">
        <v>543</v>
      </c>
      <c r="P443" s="109" t="s">
        <v>23</v>
      </c>
      <c r="Q443" s="109" t="s">
        <v>16</v>
      </c>
      <c r="R443" s="109" t="s">
        <v>109</v>
      </c>
      <c r="S443" s="109">
        <v>3</v>
      </c>
      <c r="T443" s="109">
        <v>8</v>
      </c>
      <c r="U443" s="139">
        <v>32</v>
      </c>
      <c r="V443" s="140">
        <v>256</v>
      </c>
    </row>
    <row r="444" spans="1:22" x14ac:dyDescent="0.25">
      <c r="A444" s="103" t="s">
        <v>216</v>
      </c>
      <c r="B444" s="104" t="s">
        <v>7</v>
      </c>
      <c r="C444" s="104" t="s">
        <v>175</v>
      </c>
      <c r="D444" s="104" t="s">
        <v>83</v>
      </c>
      <c r="E444" s="104" t="s">
        <v>174</v>
      </c>
      <c r="F444" s="104">
        <v>2016</v>
      </c>
      <c r="G444" s="105">
        <v>42760.583333333336</v>
      </c>
      <c r="H444" s="105">
        <v>42773.75</v>
      </c>
      <c r="I444" s="106">
        <v>42760</v>
      </c>
      <c r="J444" s="106">
        <v>42773</v>
      </c>
      <c r="K444" s="107" t="s">
        <v>527</v>
      </c>
      <c r="L444" s="107">
        <v>0.75</v>
      </c>
      <c r="M444" s="107" t="s">
        <v>542</v>
      </c>
      <c r="N444" s="107" t="s">
        <v>523</v>
      </c>
      <c r="O444" s="107" t="s">
        <v>543</v>
      </c>
      <c r="P444" s="104" t="s">
        <v>9</v>
      </c>
      <c r="Q444" s="104" t="s">
        <v>35</v>
      </c>
      <c r="R444" s="104" t="s">
        <v>109</v>
      </c>
      <c r="S444" s="104">
        <v>5</v>
      </c>
      <c r="T444" s="104">
        <v>10</v>
      </c>
      <c r="U444" s="137">
        <v>63</v>
      </c>
      <c r="V444" s="138">
        <v>630</v>
      </c>
    </row>
    <row r="445" spans="1:22" x14ac:dyDescent="0.25">
      <c r="A445" s="108" t="s">
        <v>217</v>
      </c>
      <c r="B445" s="109" t="s">
        <v>7</v>
      </c>
      <c r="C445" s="109" t="s">
        <v>175</v>
      </c>
      <c r="D445" s="109" t="s">
        <v>78</v>
      </c>
      <c r="E445" s="109" t="s">
        <v>172</v>
      </c>
      <c r="F445" s="109">
        <v>2016</v>
      </c>
      <c r="G445" s="110">
        <v>42761.375</v>
      </c>
      <c r="H445" s="110">
        <v>42767.75</v>
      </c>
      <c r="I445" s="111">
        <v>42761</v>
      </c>
      <c r="J445" s="111">
        <v>42767</v>
      </c>
      <c r="K445" s="112" t="s">
        <v>525</v>
      </c>
      <c r="L445" s="112">
        <v>0.75</v>
      </c>
      <c r="M445" s="112" t="s">
        <v>540</v>
      </c>
      <c r="N445" s="112" t="s">
        <v>523</v>
      </c>
      <c r="O445" s="112" t="s">
        <v>543</v>
      </c>
      <c r="P445" s="109" t="s">
        <v>9</v>
      </c>
      <c r="Q445" s="109" t="s">
        <v>12</v>
      </c>
      <c r="R445" s="109" t="s">
        <v>113</v>
      </c>
      <c r="S445" s="109">
        <v>2</v>
      </c>
      <c r="T445" s="109">
        <v>8</v>
      </c>
      <c r="U445" s="139">
        <v>62</v>
      </c>
      <c r="V445" s="140">
        <v>496</v>
      </c>
    </row>
    <row r="446" spans="1:22" x14ac:dyDescent="0.25">
      <c r="A446" s="103" t="s">
        <v>218</v>
      </c>
      <c r="B446" s="104" t="s">
        <v>19</v>
      </c>
      <c r="C446" s="104" t="s">
        <v>176</v>
      </c>
      <c r="D446" s="104" t="s">
        <v>80</v>
      </c>
      <c r="E446" s="104" t="s">
        <v>173</v>
      </c>
      <c r="F446" s="104">
        <v>2016</v>
      </c>
      <c r="G446" s="105">
        <v>42762.333333333336</v>
      </c>
      <c r="H446" s="105">
        <v>42775.5</v>
      </c>
      <c r="I446" s="106">
        <v>42762</v>
      </c>
      <c r="J446" s="106">
        <v>42775</v>
      </c>
      <c r="K446" s="107" t="s">
        <v>522</v>
      </c>
      <c r="L446" s="107">
        <v>0.5</v>
      </c>
      <c r="M446" s="107" t="s">
        <v>539</v>
      </c>
      <c r="N446" s="107" t="s">
        <v>523</v>
      </c>
      <c r="O446" s="107" t="s">
        <v>543</v>
      </c>
      <c r="P446" s="104" t="s">
        <v>23</v>
      </c>
      <c r="Q446" s="104" t="s">
        <v>44</v>
      </c>
      <c r="R446" s="104" t="s">
        <v>113</v>
      </c>
      <c r="S446" s="104">
        <v>2</v>
      </c>
      <c r="T446" s="104">
        <v>9</v>
      </c>
      <c r="U446" s="137">
        <v>32</v>
      </c>
      <c r="V446" s="138">
        <v>288</v>
      </c>
    </row>
    <row r="447" spans="1:22" x14ac:dyDescent="0.25">
      <c r="A447" s="108" t="s">
        <v>219</v>
      </c>
      <c r="B447" s="109" t="s">
        <v>14</v>
      </c>
      <c r="C447" s="109" t="s">
        <v>175</v>
      </c>
      <c r="D447" s="109" t="s">
        <v>84</v>
      </c>
      <c r="E447" s="109" t="s">
        <v>172</v>
      </c>
      <c r="F447" s="109">
        <v>2016</v>
      </c>
      <c r="G447" s="110">
        <v>42763.375</v>
      </c>
      <c r="H447" s="110">
        <v>42768.75</v>
      </c>
      <c r="I447" s="111">
        <v>42763</v>
      </c>
      <c r="J447" s="111">
        <v>42768</v>
      </c>
      <c r="K447" s="112" t="s">
        <v>525</v>
      </c>
      <c r="L447" s="112">
        <v>0.75</v>
      </c>
      <c r="M447" s="112" t="s">
        <v>540</v>
      </c>
      <c r="N447" s="112" t="s">
        <v>523</v>
      </c>
      <c r="O447" s="112" t="s">
        <v>543</v>
      </c>
      <c r="P447" s="109" t="s">
        <v>9</v>
      </c>
      <c r="Q447" s="109" t="s">
        <v>24</v>
      </c>
      <c r="R447" s="109" t="s">
        <v>113</v>
      </c>
      <c r="S447" s="109">
        <v>3</v>
      </c>
      <c r="T447" s="109">
        <v>9</v>
      </c>
      <c r="U447" s="139">
        <v>52</v>
      </c>
      <c r="V447" s="140">
        <v>468</v>
      </c>
    </row>
    <row r="448" spans="1:22" x14ac:dyDescent="0.25">
      <c r="A448" s="103" t="s">
        <v>220</v>
      </c>
      <c r="B448" s="104" t="s">
        <v>7</v>
      </c>
      <c r="C448" s="104" t="s">
        <v>175</v>
      </c>
      <c r="D448" s="104" t="s">
        <v>88</v>
      </c>
      <c r="E448" s="104" t="s">
        <v>170</v>
      </c>
      <c r="F448" s="104">
        <v>2016</v>
      </c>
      <c r="G448" s="105">
        <v>42765.791666666664</v>
      </c>
      <c r="H448" s="105">
        <v>42776.958333333336</v>
      </c>
      <c r="I448" s="106">
        <v>42765</v>
      </c>
      <c r="J448" s="106">
        <v>42776</v>
      </c>
      <c r="K448" s="107" t="s">
        <v>526</v>
      </c>
      <c r="L448" s="107">
        <v>0.95833333333333337</v>
      </c>
      <c r="M448" s="107" t="s">
        <v>541</v>
      </c>
      <c r="N448" s="107" t="s">
        <v>523</v>
      </c>
      <c r="O448" s="107" t="s">
        <v>543</v>
      </c>
      <c r="P448" s="104" t="s">
        <v>9</v>
      </c>
      <c r="Q448" s="104" t="s">
        <v>24</v>
      </c>
      <c r="R448" s="104" t="s">
        <v>113</v>
      </c>
      <c r="S448" s="104">
        <v>5</v>
      </c>
      <c r="T448" s="104">
        <v>8</v>
      </c>
      <c r="U448" s="137">
        <v>42</v>
      </c>
      <c r="V448" s="138">
        <v>336</v>
      </c>
    </row>
    <row r="449" spans="1:22" x14ac:dyDescent="0.25">
      <c r="A449" s="108" t="s">
        <v>221</v>
      </c>
      <c r="B449" s="109" t="s">
        <v>19</v>
      </c>
      <c r="C449" s="109" t="s">
        <v>176</v>
      </c>
      <c r="D449" s="109" t="s">
        <v>81</v>
      </c>
      <c r="E449" s="109" t="s">
        <v>172</v>
      </c>
      <c r="F449" s="109">
        <v>2016</v>
      </c>
      <c r="G449" s="110">
        <v>42765.791666666664</v>
      </c>
      <c r="H449" s="110">
        <v>42776.958333333336</v>
      </c>
      <c r="I449" s="111">
        <v>42765</v>
      </c>
      <c r="J449" s="111">
        <v>42776</v>
      </c>
      <c r="K449" s="112" t="s">
        <v>526</v>
      </c>
      <c r="L449" s="112">
        <v>0.95833333333333337</v>
      </c>
      <c r="M449" s="112" t="s">
        <v>541</v>
      </c>
      <c r="N449" s="112" t="s">
        <v>523</v>
      </c>
      <c r="O449" s="112" t="s">
        <v>543</v>
      </c>
      <c r="P449" s="109" t="s">
        <v>9</v>
      </c>
      <c r="Q449" s="109" t="s">
        <v>21</v>
      </c>
      <c r="R449" s="109" t="s">
        <v>113</v>
      </c>
      <c r="S449" s="109">
        <v>3</v>
      </c>
      <c r="T449" s="109">
        <v>8</v>
      </c>
      <c r="U449" s="139">
        <v>43</v>
      </c>
      <c r="V449" s="140">
        <v>344</v>
      </c>
    </row>
    <row r="450" spans="1:22" x14ac:dyDescent="0.25">
      <c r="A450" s="103" t="s">
        <v>222</v>
      </c>
      <c r="B450" s="104" t="s">
        <v>17</v>
      </c>
      <c r="C450" s="104" t="s">
        <v>176</v>
      </c>
      <c r="D450" s="104" t="s">
        <v>80</v>
      </c>
      <c r="E450" s="104" t="s">
        <v>173</v>
      </c>
      <c r="F450" s="104">
        <v>2016</v>
      </c>
      <c r="G450" s="105">
        <v>42766.791666666664</v>
      </c>
      <c r="H450" s="105">
        <v>42779.958333333336</v>
      </c>
      <c r="I450" s="106">
        <v>42766</v>
      </c>
      <c r="J450" s="106">
        <v>42779</v>
      </c>
      <c r="K450" s="107" t="s">
        <v>526</v>
      </c>
      <c r="L450" s="107">
        <v>0.95833333333333337</v>
      </c>
      <c r="M450" s="107" t="s">
        <v>541</v>
      </c>
      <c r="N450" s="107" t="s">
        <v>523</v>
      </c>
      <c r="O450" s="107" t="s">
        <v>543</v>
      </c>
      <c r="P450" s="104" t="s">
        <v>9</v>
      </c>
      <c r="Q450" s="104" t="s">
        <v>33</v>
      </c>
      <c r="R450" s="104" t="s">
        <v>113</v>
      </c>
      <c r="S450" s="104">
        <v>2</v>
      </c>
      <c r="T450" s="104">
        <v>12</v>
      </c>
      <c r="U450" s="137">
        <v>32</v>
      </c>
      <c r="V450" s="138">
        <v>384</v>
      </c>
    </row>
    <row r="451" spans="1:22" x14ac:dyDescent="0.25">
      <c r="A451" s="108" t="s">
        <v>223</v>
      </c>
      <c r="B451" s="109" t="s">
        <v>39</v>
      </c>
      <c r="C451" s="109" t="s">
        <v>177</v>
      </c>
      <c r="D451" s="109" t="s">
        <v>86</v>
      </c>
      <c r="E451" s="109" t="s">
        <v>169</v>
      </c>
      <c r="F451" s="109">
        <v>2016</v>
      </c>
      <c r="G451" s="110">
        <v>42767.583333333336</v>
      </c>
      <c r="H451" s="110">
        <v>42780.75</v>
      </c>
      <c r="I451" s="111">
        <v>42767</v>
      </c>
      <c r="J451" s="111">
        <v>42780</v>
      </c>
      <c r="K451" s="112" t="s">
        <v>527</v>
      </c>
      <c r="L451" s="112">
        <v>0.75</v>
      </c>
      <c r="M451" s="112" t="s">
        <v>542</v>
      </c>
      <c r="N451" s="112" t="s">
        <v>528</v>
      </c>
      <c r="O451" s="112" t="s">
        <v>543</v>
      </c>
      <c r="P451" s="109" t="s">
        <v>9</v>
      </c>
      <c r="Q451" s="109" t="s">
        <v>16</v>
      </c>
      <c r="R451" s="109" t="s">
        <v>109</v>
      </c>
      <c r="S451" s="109">
        <v>5</v>
      </c>
      <c r="T451" s="109">
        <v>9</v>
      </c>
      <c r="U451" s="139">
        <v>48</v>
      </c>
      <c r="V451" s="140">
        <v>432</v>
      </c>
    </row>
    <row r="452" spans="1:22" x14ac:dyDescent="0.25">
      <c r="A452" s="103" t="s">
        <v>224</v>
      </c>
      <c r="B452" s="104" t="s">
        <v>7</v>
      </c>
      <c r="C452" s="104" t="s">
        <v>175</v>
      </c>
      <c r="D452" s="104" t="s">
        <v>88</v>
      </c>
      <c r="E452" s="104" t="s">
        <v>170</v>
      </c>
      <c r="F452" s="104">
        <v>2016</v>
      </c>
      <c r="G452" s="105">
        <v>42768.375</v>
      </c>
      <c r="H452" s="105">
        <v>42774.75</v>
      </c>
      <c r="I452" s="106">
        <v>42768</v>
      </c>
      <c r="J452" s="106">
        <v>42774</v>
      </c>
      <c r="K452" s="107" t="s">
        <v>525</v>
      </c>
      <c r="L452" s="107">
        <v>0.75</v>
      </c>
      <c r="M452" s="107" t="s">
        <v>540</v>
      </c>
      <c r="N452" s="107" t="s">
        <v>528</v>
      </c>
      <c r="O452" s="107" t="s">
        <v>543</v>
      </c>
      <c r="P452" s="104" t="s">
        <v>23</v>
      </c>
      <c r="Q452" s="104" t="s">
        <v>41</v>
      </c>
      <c r="R452" s="104" t="s">
        <v>113</v>
      </c>
      <c r="S452" s="104">
        <v>2</v>
      </c>
      <c r="T452" s="104">
        <v>10</v>
      </c>
      <c r="U452" s="137">
        <v>42</v>
      </c>
      <c r="V452" s="138">
        <v>420</v>
      </c>
    </row>
    <row r="453" spans="1:22" x14ac:dyDescent="0.25">
      <c r="A453" s="108" t="s">
        <v>225</v>
      </c>
      <c r="B453" s="109" t="s">
        <v>11</v>
      </c>
      <c r="C453" s="109" t="s">
        <v>175</v>
      </c>
      <c r="D453" s="109" t="s">
        <v>82</v>
      </c>
      <c r="E453" s="109" t="s">
        <v>172</v>
      </c>
      <c r="F453" s="109">
        <v>2016</v>
      </c>
      <c r="G453" s="110">
        <v>42769.333333333336</v>
      </c>
      <c r="H453" s="110">
        <v>42782.5</v>
      </c>
      <c r="I453" s="111">
        <v>42769</v>
      </c>
      <c r="J453" s="111">
        <v>42782</v>
      </c>
      <c r="K453" s="112" t="s">
        <v>522</v>
      </c>
      <c r="L453" s="112">
        <v>0.5</v>
      </c>
      <c r="M453" s="112" t="s">
        <v>539</v>
      </c>
      <c r="N453" s="112" t="s">
        <v>528</v>
      </c>
      <c r="O453" s="112" t="s">
        <v>543</v>
      </c>
      <c r="P453" s="109" t="s">
        <v>23</v>
      </c>
      <c r="Q453" s="109" t="s">
        <v>190</v>
      </c>
      <c r="R453" s="109" t="s">
        <v>109</v>
      </c>
      <c r="S453" s="109">
        <v>5</v>
      </c>
      <c r="T453" s="109">
        <v>11</v>
      </c>
      <c r="U453" s="139">
        <v>75</v>
      </c>
      <c r="V453" s="140">
        <v>825</v>
      </c>
    </row>
    <row r="454" spans="1:22" x14ac:dyDescent="0.25">
      <c r="A454" s="103" t="s">
        <v>226</v>
      </c>
      <c r="B454" s="104" t="s">
        <v>22</v>
      </c>
      <c r="C454" s="104" t="s">
        <v>176</v>
      </c>
      <c r="D454" s="104" t="s">
        <v>88</v>
      </c>
      <c r="E454" s="104" t="s">
        <v>170</v>
      </c>
      <c r="F454" s="104">
        <v>2016</v>
      </c>
      <c r="G454" s="105">
        <v>42770.375</v>
      </c>
      <c r="H454" s="105">
        <v>42775.75</v>
      </c>
      <c r="I454" s="106">
        <v>42770</v>
      </c>
      <c r="J454" s="106">
        <v>42775</v>
      </c>
      <c r="K454" s="107" t="s">
        <v>525</v>
      </c>
      <c r="L454" s="107">
        <v>0.75</v>
      </c>
      <c r="M454" s="107" t="s">
        <v>540</v>
      </c>
      <c r="N454" s="107" t="s">
        <v>528</v>
      </c>
      <c r="O454" s="107" t="s">
        <v>543</v>
      </c>
      <c r="P454" s="104" t="s">
        <v>9</v>
      </c>
      <c r="Q454" s="104" t="s">
        <v>24</v>
      </c>
      <c r="R454" s="104" t="s">
        <v>113</v>
      </c>
      <c r="S454" s="104">
        <v>3</v>
      </c>
      <c r="T454" s="104">
        <v>8</v>
      </c>
      <c r="U454" s="137">
        <v>42</v>
      </c>
      <c r="V454" s="138">
        <v>336</v>
      </c>
    </row>
    <row r="455" spans="1:22" x14ac:dyDescent="0.25">
      <c r="A455" s="108" t="s">
        <v>227</v>
      </c>
      <c r="B455" s="109" t="s">
        <v>7</v>
      </c>
      <c r="C455" s="109" t="s">
        <v>175</v>
      </c>
      <c r="D455" s="109" t="s">
        <v>80</v>
      </c>
      <c r="E455" s="109" t="s">
        <v>173</v>
      </c>
      <c r="F455" s="109">
        <v>2016</v>
      </c>
      <c r="G455" s="110">
        <v>42772.791666666664</v>
      </c>
      <c r="H455" s="110">
        <v>42783.958333333336</v>
      </c>
      <c r="I455" s="111">
        <v>42772</v>
      </c>
      <c r="J455" s="111">
        <v>42783</v>
      </c>
      <c r="K455" s="112" t="s">
        <v>526</v>
      </c>
      <c r="L455" s="112">
        <v>0.95833333333333337</v>
      </c>
      <c r="M455" s="112" t="s">
        <v>541</v>
      </c>
      <c r="N455" s="112" t="s">
        <v>528</v>
      </c>
      <c r="O455" s="112" t="s">
        <v>543</v>
      </c>
      <c r="P455" s="109" t="s">
        <v>23</v>
      </c>
      <c r="Q455" s="109" t="s">
        <v>12</v>
      </c>
      <c r="R455" s="109" t="s">
        <v>113</v>
      </c>
      <c r="S455" s="109">
        <v>5</v>
      </c>
      <c r="T455" s="109">
        <v>10</v>
      </c>
      <c r="U455" s="139">
        <v>32</v>
      </c>
      <c r="V455" s="140">
        <v>320</v>
      </c>
    </row>
    <row r="456" spans="1:22" x14ac:dyDescent="0.25">
      <c r="A456" s="103" t="s">
        <v>228</v>
      </c>
      <c r="B456" s="104" t="s">
        <v>14</v>
      </c>
      <c r="C456" s="104" t="s">
        <v>175</v>
      </c>
      <c r="D456" s="104" t="s">
        <v>83</v>
      </c>
      <c r="E456" s="104" t="s">
        <v>174</v>
      </c>
      <c r="F456" s="104">
        <v>2016</v>
      </c>
      <c r="G456" s="105">
        <v>42772.791666666664</v>
      </c>
      <c r="H456" s="105">
        <v>42783.958333333336</v>
      </c>
      <c r="I456" s="106">
        <v>42772</v>
      </c>
      <c r="J456" s="106">
        <v>42783</v>
      </c>
      <c r="K456" s="107" t="s">
        <v>526</v>
      </c>
      <c r="L456" s="107">
        <v>0.95833333333333337</v>
      </c>
      <c r="M456" s="107" t="s">
        <v>541</v>
      </c>
      <c r="N456" s="107" t="s">
        <v>528</v>
      </c>
      <c r="O456" s="107" t="s">
        <v>543</v>
      </c>
      <c r="P456" s="104" t="s">
        <v>9</v>
      </c>
      <c r="Q456" s="104" t="s">
        <v>33</v>
      </c>
      <c r="R456" s="104" t="s">
        <v>113</v>
      </c>
      <c r="S456" s="104">
        <v>5</v>
      </c>
      <c r="T456" s="104">
        <v>11</v>
      </c>
      <c r="U456" s="137">
        <v>63</v>
      </c>
      <c r="V456" s="138">
        <v>693</v>
      </c>
    </row>
    <row r="457" spans="1:22" x14ac:dyDescent="0.25">
      <c r="A457" s="108" t="s">
        <v>229</v>
      </c>
      <c r="B457" s="109" t="s">
        <v>17</v>
      </c>
      <c r="C457" s="109" t="s">
        <v>176</v>
      </c>
      <c r="D457" s="109" t="s">
        <v>80</v>
      </c>
      <c r="E457" s="109" t="s">
        <v>173</v>
      </c>
      <c r="F457" s="109">
        <v>2016</v>
      </c>
      <c r="G457" s="110">
        <v>42773.791666666664</v>
      </c>
      <c r="H457" s="110">
        <v>42786.958333333336</v>
      </c>
      <c r="I457" s="111">
        <v>42773</v>
      </c>
      <c r="J457" s="111">
        <v>42786</v>
      </c>
      <c r="K457" s="112" t="s">
        <v>526</v>
      </c>
      <c r="L457" s="112">
        <v>0.95833333333333337</v>
      </c>
      <c r="M457" s="112" t="s">
        <v>541</v>
      </c>
      <c r="N457" s="112" t="s">
        <v>528</v>
      </c>
      <c r="O457" s="112" t="s">
        <v>543</v>
      </c>
      <c r="P457" s="109" t="s">
        <v>23</v>
      </c>
      <c r="Q457" s="109" t="s">
        <v>190</v>
      </c>
      <c r="R457" s="109" t="s">
        <v>109</v>
      </c>
      <c r="S457" s="109">
        <v>2</v>
      </c>
      <c r="T457" s="109">
        <v>10</v>
      </c>
      <c r="U457" s="139">
        <v>32</v>
      </c>
      <c r="V457" s="140">
        <v>320</v>
      </c>
    </row>
    <row r="458" spans="1:22" x14ac:dyDescent="0.25">
      <c r="A458" s="103" t="s">
        <v>230</v>
      </c>
      <c r="B458" s="104" t="s">
        <v>17</v>
      </c>
      <c r="C458" s="104" t="s">
        <v>176</v>
      </c>
      <c r="D458" s="104" t="s">
        <v>89</v>
      </c>
      <c r="E458" s="104" t="s">
        <v>169</v>
      </c>
      <c r="F458" s="104">
        <v>2016</v>
      </c>
      <c r="G458" s="105">
        <v>42774.583333333336</v>
      </c>
      <c r="H458" s="105">
        <v>42787.75</v>
      </c>
      <c r="I458" s="106">
        <v>42774</v>
      </c>
      <c r="J458" s="106">
        <v>42787</v>
      </c>
      <c r="K458" s="107" t="s">
        <v>527</v>
      </c>
      <c r="L458" s="107">
        <v>0.75</v>
      </c>
      <c r="M458" s="107" t="s">
        <v>542</v>
      </c>
      <c r="N458" s="107" t="s">
        <v>528</v>
      </c>
      <c r="O458" s="107" t="s">
        <v>543</v>
      </c>
      <c r="P458" s="104" t="s">
        <v>23</v>
      </c>
      <c r="Q458" s="104" t="s">
        <v>190</v>
      </c>
      <c r="R458" s="104" t="s">
        <v>109</v>
      </c>
      <c r="S458" s="104">
        <v>4</v>
      </c>
      <c r="T458" s="104">
        <v>11</v>
      </c>
      <c r="U458" s="137">
        <v>62</v>
      </c>
      <c r="V458" s="138">
        <v>682</v>
      </c>
    </row>
    <row r="459" spans="1:22" x14ac:dyDescent="0.25">
      <c r="A459" s="108" t="s">
        <v>231</v>
      </c>
      <c r="B459" s="109" t="s">
        <v>29</v>
      </c>
      <c r="C459" s="109" t="s">
        <v>177</v>
      </c>
      <c r="D459" s="109" t="s">
        <v>82</v>
      </c>
      <c r="E459" s="109" t="s">
        <v>172</v>
      </c>
      <c r="F459" s="109">
        <v>2016</v>
      </c>
      <c r="G459" s="110">
        <v>42775.375</v>
      </c>
      <c r="H459" s="110">
        <v>42781.75</v>
      </c>
      <c r="I459" s="111">
        <v>42775</v>
      </c>
      <c r="J459" s="111">
        <v>42781</v>
      </c>
      <c r="K459" s="112" t="s">
        <v>525</v>
      </c>
      <c r="L459" s="112">
        <v>0.75</v>
      </c>
      <c r="M459" s="112" t="s">
        <v>540</v>
      </c>
      <c r="N459" s="112" t="s">
        <v>528</v>
      </c>
      <c r="O459" s="112" t="s">
        <v>543</v>
      </c>
      <c r="P459" s="109" t="s">
        <v>9</v>
      </c>
      <c r="Q459" s="109" t="s">
        <v>38</v>
      </c>
      <c r="R459" s="109" t="s">
        <v>113</v>
      </c>
      <c r="S459" s="109">
        <v>3</v>
      </c>
      <c r="T459" s="109">
        <v>10</v>
      </c>
      <c r="U459" s="139">
        <v>75</v>
      </c>
      <c r="V459" s="140">
        <v>750</v>
      </c>
    </row>
    <row r="460" spans="1:22" x14ac:dyDescent="0.25">
      <c r="A460" s="103" t="s">
        <v>232</v>
      </c>
      <c r="B460" s="104" t="s">
        <v>39</v>
      </c>
      <c r="C460" s="104" t="s">
        <v>177</v>
      </c>
      <c r="D460" s="104" t="s">
        <v>78</v>
      </c>
      <c r="E460" s="104" t="s">
        <v>172</v>
      </c>
      <c r="F460" s="104">
        <v>2016</v>
      </c>
      <c r="G460" s="105">
        <v>42776.333333333336</v>
      </c>
      <c r="H460" s="105">
        <v>42789.5</v>
      </c>
      <c r="I460" s="106">
        <v>42776</v>
      </c>
      <c r="J460" s="106">
        <v>42789</v>
      </c>
      <c r="K460" s="107" t="s">
        <v>522</v>
      </c>
      <c r="L460" s="107">
        <v>0.5</v>
      </c>
      <c r="M460" s="107" t="s">
        <v>539</v>
      </c>
      <c r="N460" s="107" t="s">
        <v>528</v>
      </c>
      <c r="O460" s="107" t="s">
        <v>543</v>
      </c>
      <c r="P460" s="104" t="s">
        <v>23</v>
      </c>
      <c r="Q460" s="104" t="s">
        <v>41</v>
      </c>
      <c r="R460" s="104" t="s">
        <v>113</v>
      </c>
      <c r="S460" s="104">
        <v>5</v>
      </c>
      <c r="T460" s="104">
        <v>9</v>
      </c>
      <c r="U460" s="137">
        <v>62</v>
      </c>
      <c r="V460" s="138">
        <v>558</v>
      </c>
    </row>
    <row r="461" spans="1:22" x14ac:dyDescent="0.25">
      <c r="A461" s="108" t="s">
        <v>233</v>
      </c>
      <c r="B461" s="109" t="s">
        <v>45</v>
      </c>
      <c r="C461" s="109" t="s">
        <v>177</v>
      </c>
      <c r="D461" s="109" t="s">
        <v>80</v>
      </c>
      <c r="E461" s="109" t="s">
        <v>173</v>
      </c>
      <c r="F461" s="109">
        <v>2016</v>
      </c>
      <c r="G461" s="110">
        <v>42777.375</v>
      </c>
      <c r="H461" s="110">
        <v>42782.75</v>
      </c>
      <c r="I461" s="111">
        <v>42777</v>
      </c>
      <c r="J461" s="111">
        <v>42782</v>
      </c>
      <c r="K461" s="112" t="s">
        <v>525</v>
      </c>
      <c r="L461" s="112">
        <v>0.75</v>
      </c>
      <c r="M461" s="112" t="s">
        <v>540</v>
      </c>
      <c r="N461" s="112" t="s">
        <v>528</v>
      </c>
      <c r="O461" s="112" t="s">
        <v>543</v>
      </c>
      <c r="P461" s="109" t="s">
        <v>23</v>
      </c>
      <c r="Q461" s="109" t="s">
        <v>31</v>
      </c>
      <c r="R461" s="109" t="s">
        <v>113</v>
      </c>
      <c r="S461" s="109">
        <v>2</v>
      </c>
      <c r="T461" s="109">
        <v>10</v>
      </c>
      <c r="U461" s="139">
        <v>32</v>
      </c>
      <c r="V461" s="140">
        <v>320</v>
      </c>
    </row>
    <row r="462" spans="1:22" x14ac:dyDescent="0.25">
      <c r="A462" s="103" t="s">
        <v>234</v>
      </c>
      <c r="B462" s="104" t="s">
        <v>17</v>
      </c>
      <c r="C462" s="104" t="s">
        <v>176</v>
      </c>
      <c r="D462" s="104" t="s">
        <v>82</v>
      </c>
      <c r="E462" s="104" t="s">
        <v>172</v>
      </c>
      <c r="F462" s="104">
        <v>2016</v>
      </c>
      <c r="G462" s="105">
        <v>42779.791666666664</v>
      </c>
      <c r="H462" s="105">
        <v>42790.958333333336</v>
      </c>
      <c r="I462" s="106">
        <v>42779</v>
      </c>
      <c r="J462" s="106">
        <v>42790</v>
      </c>
      <c r="K462" s="107" t="s">
        <v>526</v>
      </c>
      <c r="L462" s="107">
        <v>0.95833333333333337</v>
      </c>
      <c r="M462" s="107" t="s">
        <v>541</v>
      </c>
      <c r="N462" s="107" t="s">
        <v>528</v>
      </c>
      <c r="O462" s="107" t="s">
        <v>543</v>
      </c>
      <c r="P462" s="104" t="s">
        <v>23</v>
      </c>
      <c r="Q462" s="104" t="s">
        <v>38</v>
      </c>
      <c r="R462" s="104" t="s">
        <v>113</v>
      </c>
      <c r="S462" s="104">
        <v>5</v>
      </c>
      <c r="T462" s="104">
        <v>9</v>
      </c>
      <c r="U462" s="137">
        <v>75</v>
      </c>
      <c r="V462" s="138">
        <v>675</v>
      </c>
    </row>
    <row r="463" spans="1:22" x14ac:dyDescent="0.25">
      <c r="A463" s="108" t="s">
        <v>235</v>
      </c>
      <c r="B463" s="109" t="s">
        <v>39</v>
      </c>
      <c r="C463" s="109" t="s">
        <v>177</v>
      </c>
      <c r="D463" s="109" t="s">
        <v>76</v>
      </c>
      <c r="E463" s="109" t="s">
        <v>174</v>
      </c>
      <c r="F463" s="109">
        <v>2016</v>
      </c>
      <c r="G463" s="110">
        <v>42779.791666666664</v>
      </c>
      <c r="H463" s="110">
        <v>42790.958333333336</v>
      </c>
      <c r="I463" s="111">
        <v>42779</v>
      </c>
      <c r="J463" s="111">
        <v>42790</v>
      </c>
      <c r="K463" s="112" t="s">
        <v>526</v>
      </c>
      <c r="L463" s="112">
        <v>0.95833333333333337</v>
      </c>
      <c r="M463" s="112" t="s">
        <v>541</v>
      </c>
      <c r="N463" s="112" t="s">
        <v>528</v>
      </c>
      <c r="O463" s="112" t="s">
        <v>543</v>
      </c>
      <c r="P463" s="109" t="s">
        <v>9</v>
      </c>
      <c r="Q463" s="109" t="s">
        <v>12</v>
      </c>
      <c r="R463" s="109" t="s">
        <v>113</v>
      </c>
      <c r="S463" s="109">
        <v>4</v>
      </c>
      <c r="T463" s="109">
        <v>9</v>
      </c>
      <c r="U463" s="139">
        <v>53</v>
      </c>
      <c r="V463" s="140">
        <v>477</v>
      </c>
    </row>
    <row r="464" spans="1:22" x14ac:dyDescent="0.25">
      <c r="A464" s="103" t="s">
        <v>236</v>
      </c>
      <c r="B464" s="104" t="s">
        <v>19</v>
      </c>
      <c r="C464" s="104" t="s">
        <v>176</v>
      </c>
      <c r="D464" s="104" t="s">
        <v>89</v>
      </c>
      <c r="E464" s="104" t="s">
        <v>169</v>
      </c>
      <c r="F464" s="104">
        <v>2016</v>
      </c>
      <c r="G464" s="105">
        <v>42780.791666666664</v>
      </c>
      <c r="H464" s="105">
        <v>42795.958333333336</v>
      </c>
      <c r="I464" s="106">
        <v>42780</v>
      </c>
      <c r="J464" s="106">
        <v>42795</v>
      </c>
      <c r="K464" s="107" t="s">
        <v>526</v>
      </c>
      <c r="L464" s="107">
        <v>0.95833333333333337</v>
      </c>
      <c r="M464" s="107" t="s">
        <v>541</v>
      </c>
      <c r="N464" s="107" t="s">
        <v>528</v>
      </c>
      <c r="O464" s="107" t="s">
        <v>543</v>
      </c>
      <c r="P464" s="104" t="s">
        <v>23</v>
      </c>
      <c r="Q464" s="104" t="s">
        <v>12</v>
      </c>
      <c r="R464" s="104" t="s">
        <v>113</v>
      </c>
      <c r="S464" s="104">
        <v>3</v>
      </c>
      <c r="T464" s="104">
        <v>8</v>
      </c>
      <c r="U464" s="137">
        <v>62</v>
      </c>
      <c r="V464" s="138">
        <v>496</v>
      </c>
    </row>
    <row r="465" spans="1:22" x14ac:dyDescent="0.25">
      <c r="A465" s="108" t="s">
        <v>237</v>
      </c>
      <c r="B465" s="109" t="s">
        <v>22</v>
      </c>
      <c r="C465" s="109" t="s">
        <v>176</v>
      </c>
      <c r="D465" s="109" t="s">
        <v>76</v>
      </c>
      <c r="E465" s="109" t="s">
        <v>174</v>
      </c>
      <c r="F465" s="109">
        <v>2016</v>
      </c>
      <c r="G465" s="110">
        <v>42781.583333333336</v>
      </c>
      <c r="H465" s="110">
        <v>42796.75</v>
      </c>
      <c r="I465" s="111">
        <v>42781</v>
      </c>
      <c r="J465" s="111">
        <v>42796</v>
      </c>
      <c r="K465" s="112" t="s">
        <v>527</v>
      </c>
      <c r="L465" s="112">
        <v>0.75</v>
      </c>
      <c r="M465" s="112" t="s">
        <v>542</v>
      </c>
      <c r="N465" s="112" t="s">
        <v>528</v>
      </c>
      <c r="O465" s="112" t="s">
        <v>543</v>
      </c>
      <c r="P465" s="109" t="s">
        <v>9</v>
      </c>
      <c r="Q465" s="109" t="s">
        <v>31</v>
      </c>
      <c r="R465" s="109" t="s">
        <v>113</v>
      </c>
      <c r="S465" s="109">
        <v>3</v>
      </c>
      <c r="T465" s="109">
        <v>9</v>
      </c>
      <c r="U465" s="139">
        <v>53</v>
      </c>
      <c r="V465" s="140">
        <v>477</v>
      </c>
    </row>
    <row r="466" spans="1:22" x14ac:dyDescent="0.25">
      <c r="A466" s="103" t="s">
        <v>238</v>
      </c>
      <c r="B466" s="104" t="s">
        <v>17</v>
      </c>
      <c r="C466" s="104" t="s">
        <v>176</v>
      </c>
      <c r="D466" s="104" t="s">
        <v>84</v>
      </c>
      <c r="E466" s="104" t="s">
        <v>172</v>
      </c>
      <c r="F466" s="104">
        <v>2016</v>
      </c>
      <c r="G466" s="105">
        <v>42782.375</v>
      </c>
      <c r="H466" s="105">
        <v>42788.75</v>
      </c>
      <c r="I466" s="106">
        <v>42782</v>
      </c>
      <c r="J466" s="106">
        <v>42788</v>
      </c>
      <c r="K466" s="107" t="s">
        <v>525</v>
      </c>
      <c r="L466" s="107">
        <v>0.75</v>
      </c>
      <c r="M466" s="107" t="s">
        <v>540</v>
      </c>
      <c r="N466" s="107" t="s">
        <v>528</v>
      </c>
      <c r="O466" s="107" t="s">
        <v>543</v>
      </c>
      <c r="P466" s="104" t="s">
        <v>9</v>
      </c>
      <c r="Q466" s="104" t="s">
        <v>16</v>
      </c>
      <c r="R466" s="104" t="s">
        <v>109</v>
      </c>
      <c r="S466" s="104">
        <v>3</v>
      </c>
      <c r="T466" s="104">
        <v>10</v>
      </c>
      <c r="U466" s="137">
        <v>52</v>
      </c>
      <c r="V466" s="138">
        <v>520</v>
      </c>
    </row>
    <row r="467" spans="1:22" x14ac:dyDescent="0.25">
      <c r="A467" s="108" t="s">
        <v>239</v>
      </c>
      <c r="B467" s="109" t="s">
        <v>39</v>
      </c>
      <c r="C467" s="109" t="s">
        <v>177</v>
      </c>
      <c r="D467" s="109" t="s">
        <v>80</v>
      </c>
      <c r="E467" s="109" t="s">
        <v>173</v>
      </c>
      <c r="F467" s="109">
        <v>2016</v>
      </c>
      <c r="G467" s="110">
        <v>42783.333333333336</v>
      </c>
      <c r="H467" s="110">
        <v>42800.5</v>
      </c>
      <c r="I467" s="111">
        <v>42783</v>
      </c>
      <c r="J467" s="111">
        <v>42800</v>
      </c>
      <c r="K467" s="112" t="s">
        <v>522</v>
      </c>
      <c r="L467" s="112">
        <v>0.5</v>
      </c>
      <c r="M467" s="112" t="s">
        <v>539</v>
      </c>
      <c r="N467" s="112" t="s">
        <v>528</v>
      </c>
      <c r="O467" s="112" t="s">
        <v>543</v>
      </c>
      <c r="P467" s="109" t="s">
        <v>9</v>
      </c>
      <c r="Q467" s="109" t="s">
        <v>18</v>
      </c>
      <c r="R467" s="109" t="s">
        <v>113</v>
      </c>
      <c r="S467" s="109">
        <v>3</v>
      </c>
      <c r="T467" s="109">
        <v>10</v>
      </c>
      <c r="U467" s="139">
        <v>32</v>
      </c>
      <c r="V467" s="140">
        <v>320</v>
      </c>
    </row>
    <row r="468" spans="1:22" x14ac:dyDescent="0.25">
      <c r="A468" s="103" t="s">
        <v>240</v>
      </c>
      <c r="B468" s="104" t="s">
        <v>45</v>
      </c>
      <c r="C468" s="104" t="s">
        <v>177</v>
      </c>
      <c r="D468" s="104" t="s">
        <v>88</v>
      </c>
      <c r="E468" s="104" t="s">
        <v>170</v>
      </c>
      <c r="F468" s="104">
        <v>2016</v>
      </c>
      <c r="G468" s="105">
        <v>42784.375</v>
      </c>
      <c r="H468" s="105">
        <v>42789.75</v>
      </c>
      <c r="I468" s="106">
        <v>42784</v>
      </c>
      <c r="J468" s="106">
        <v>42789</v>
      </c>
      <c r="K468" s="107" t="s">
        <v>525</v>
      </c>
      <c r="L468" s="107">
        <v>0.75</v>
      </c>
      <c r="M468" s="107" t="s">
        <v>540</v>
      </c>
      <c r="N468" s="107" t="s">
        <v>528</v>
      </c>
      <c r="O468" s="107" t="s">
        <v>543</v>
      </c>
      <c r="P468" s="104" t="s">
        <v>9</v>
      </c>
      <c r="Q468" s="104" t="s">
        <v>16</v>
      </c>
      <c r="R468" s="104" t="s">
        <v>109</v>
      </c>
      <c r="S468" s="104">
        <v>5</v>
      </c>
      <c r="T468" s="104">
        <v>10</v>
      </c>
      <c r="U468" s="137">
        <v>42</v>
      </c>
      <c r="V468" s="138">
        <v>420</v>
      </c>
    </row>
    <row r="469" spans="1:22" x14ac:dyDescent="0.25">
      <c r="A469" s="108" t="s">
        <v>241</v>
      </c>
      <c r="B469" s="109" t="s">
        <v>17</v>
      </c>
      <c r="C469" s="109" t="s">
        <v>176</v>
      </c>
      <c r="D469" s="109" t="s">
        <v>89</v>
      </c>
      <c r="E469" s="109" t="s">
        <v>169</v>
      </c>
      <c r="F469" s="109">
        <v>2016</v>
      </c>
      <c r="G469" s="110">
        <v>42786.791666666664</v>
      </c>
      <c r="H469" s="110">
        <v>42801.958333333336</v>
      </c>
      <c r="I469" s="111">
        <v>42786</v>
      </c>
      <c r="J469" s="111">
        <v>42801</v>
      </c>
      <c r="K469" s="112" t="s">
        <v>526</v>
      </c>
      <c r="L469" s="112">
        <v>0.95833333333333337</v>
      </c>
      <c r="M469" s="112" t="s">
        <v>541</v>
      </c>
      <c r="N469" s="112" t="s">
        <v>528</v>
      </c>
      <c r="O469" s="112" t="s">
        <v>543</v>
      </c>
      <c r="P469" s="109" t="s">
        <v>23</v>
      </c>
      <c r="Q469" s="109" t="s">
        <v>38</v>
      </c>
      <c r="R469" s="109" t="s">
        <v>113</v>
      </c>
      <c r="S469" s="109">
        <v>2</v>
      </c>
      <c r="T469" s="109">
        <v>10</v>
      </c>
      <c r="U469" s="139">
        <v>62</v>
      </c>
      <c r="V469" s="140">
        <v>620</v>
      </c>
    </row>
    <row r="470" spans="1:22" x14ac:dyDescent="0.25">
      <c r="A470" s="103" t="s">
        <v>242</v>
      </c>
      <c r="B470" s="104" t="s">
        <v>17</v>
      </c>
      <c r="C470" s="104" t="s">
        <v>176</v>
      </c>
      <c r="D470" s="104" t="s">
        <v>85</v>
      </c>
      <c r="E470" s="104" t="s">
        <v>170</v>
      </c>
      <c r="F470" s="104">
        <v>2016</v>
      </c>
      <c r="G470" s="105">
        <v>42786.791666666664</v>
      </c>
      <c r="H470" s="105">
        <v>42801.958333333336</v>
      </c>
      <c r="I470" s="106">
        <v>42786</v>
      </c>
      <c r="J470" s="106">
        <v>42801</v>
      </c>
      <c r="K470" s="107" t="s">
        <v>526</v>
      </c>
      <c r="L470" s="107">
        <v>0.95833333333333337</v>
      </c>
      <c r="M470" s="107" t="s">
        <v>541</v>
      </c>
      <c r="N470" s="107" t="s">
        <v>528</v>
      </c>
      <c r="O470" s="107" t="s">
        <v>543</v>
      </c>
      <c r="P470" s="104" t="s">
        <v>9</v>
      </c>
      <c r="Q470" s="104" t="s">
        <v>18</v>
      </c>
      <c r="R470" s="104" t="s">
        <v>113</v>
      </c>
      <c r="S470" s="104">
        <v>3</v>
      </c>
      <c r="T470" s="104">
        <v>8</v>
      </c>
      <c r="U470" s="137">
        <v>48</v>
      </c>
      <c r="V470" s="138">
        <v>384</v>
      </c>
    </row>
    <row r="471" spans="1:22" x14ac:dyDescent="0.25">
      <c r="A471" s="108" t="s">
        <v>243</v>
      </c>
      <c r="B471" s="109" t="s">
        <v>39</v>
      </c>
      <c r="C471" s="109" t="s">
        <v>177</v>
      </c>
      <c r="D471" s="109" t="s">
        <v>78</v>
      </c>
      <c r="E471" s="109" t="s">
        <v>172</v>
      </c>
      <c r="F471" s="109">
        <v>2016</v>
      </c>
      <c r="G471" s="110">
        <v>42787.791666666664</v>
      </c>
      <c r="H471" s="110">
        <v>42802.958333333336</v>
      </c>
      <c r="I471" s="111">
        <v>42787</v>
      </c>
      <c r="J471" s="111">
        <v>42802</v>
      </c>
      <c r="K471" s="112" t="s">
        <v>526</v>
      </c>
      <c r="L471" s="112">
        <v>0.95833333333333337</v>
      </c>
      <c r="M471" s="112" t="s">
        <v>541</v>
      </c>
      <c r="N471" s="112" t="s">
        <v>528</v>
      </c>
      <c r="O471" s="112" t="s">
        <v>543</v>
      </c>
      <c r="P471" s="109" t="s">
        <v>23</v>
      </c>
      <c r="Q471" s="109" t="s">
        <v>31</v>
      </c>
      <c r="R471" s="109" t="s">
        <v>113</v>
      </c>
      <c r="S471" s="109">
        <v>5</v>
      </c>
      <c r="T471" s="109">
        <v>8</v>
      </c>
      <c r="U471" s="139">
        <v>62</v>
      </c>
      <c r="V471" s="140">
        <v>496</v>
      </c>
    </row>
    <row r="472" spans="1:22" x14ac:dyDescent="0.25">
      <c r="A472" s="103" t="s">
        <v>244</v>
      </c>
      <c r="B472" s="104" t="s">
        <v>29</v>
      </c>
      <c r="C472" s="104" t="s">
        <v>177</v>
      </c>
      <c r="D472" s="104" t="s">
        <v>83</v>
      </c>
      <c r="E472" s="104" t="s">
        <v>174</v>
      </c>
      <c r="F472" s="104">
        <v>2016</v>
      </c>
      <c r="G472" s="105">
        <v>42788.583333333336</v>
      </c>
      <c r="H472" s="105">
        <v>42803.75</v>
      </c>
      <c r="I472" s="106">
        <v>42788</v>
      </c>
      <c r="J472" s="106">
        <v>42803</v>
      </c>
      <c r="K472" s="107" t="s">
        <v>527</v>
      </c>
      <c r="L472" s="107">
        <v>0.75</v>
      </c>
      <c r="M472" s="107" t="s">
        <v>542</v>
      </c>
      <c r="N472" s="107" t="s">
        <v>528</v>
      </c>
      <c r="O472" s="107" t="s">
        <v>543</v>
      </c>
      <c r="P472" s="104" t="s">
        <v>9</v>
      </c>
      <c r="Q472" s="104" t="s">
        <v>35</v>
      </c>
      <c r="R472" s="104" t="s">
        <v>109</v>
      </c>
      <c r="S472" s="104">
        <v>5</v>
      </c>
      <c r="T472" s="104">
        <v>11</v>
      </c>
      <c r="U472" s="137">
        <v>63</v>
      </c>
      <c r="V472" s="138">
        <v>693</v>
      </c>
    </row>
    <row r="473" spans="1:22" x14ac:dyDescent="0.25">
      <c r="A473" s="108" t="s">
        <v>245</v>
      </c>
      <c r="B473" s="109" t="s">
        <v>11</v>
      </c>
      <c r="C473" s="109" t="s">
        <v>175</v>
      </c>
      <c r="D473" s="109" t="s">
        <v>77</v>
      </c>
      <c r="E473" s="109" t="s">
        <v>172</v>
      </c>
      <c r="F473" s="109">
        <v>2016</v>
      </c>
      <c r="G473" s="110">
        <v>42789.375</v>
      </c>
      <c r="H473" s="110">
        <v>42797.75</v>
      </c>
      <c r="I473" s="111">
        <v>42789</v>
      </c>
      <c r="J473" s="111">
        <v>42797</v>
      </c>
      <c r="K473" s="112" t="s">
        <v>525</v>
      </c>
      <c r="L473" s="112">
        <v>0.75</v>
      </c>
      <c r="M473" s="112" t="s">
        <v>540</v>
      </c>
      <c r="N473" s="112" t="s">
        <v>528</v>
      </c>
      <c r="O473" s="112" t="s">
        <v>543</v>
      </c>
      <c r="P473" s="109" t="s">
        <v>9</v>
      </c>
      <c r="Q473" s="109" t="s">
        <v>26</v>
      </c>
      <c r="R473" s="109" t="s">
        <v>113</v>
      </c>
      <c r="S473" s="109">
        <v>5</v>
      </c>
      <c r="T473" s="109">
        <v>11</v>
      </c>
      <c r="U473" s="139">
        <v>35</v>
      </c>
      <c r="V473" s="140">
        <v>385</v>
      </c>
    </row>
    <row r="474" spans="1:22" x14ac:dyDescent="0.25">
      <c r="A474" s="103" t="s">
        <v>246</v>
      </c>
      <c r="B474" s="104" t="s">
        <v>19</v>
      </c>
      <c r="C474" s="104" t="s">
        <v>176</v>
      </c>
      <c r="D474" s="104" t="s">
        <v>82</v>
      </c>
      <c r="E474" s="104" t="s">
        <v>172</v>
      </c>
      <c r="F474" s="104">
        <v>2016</v>
      </c>
      <c r="G474" s="105">
        <v>42790.333333333336</v>
      </c>
      <c r="H474" s="105">
        <v>42807.5</v>
      </c>
      <c r="I474" s="106">
        <v>42790</v>
      </c>
      <c r="J474" s="106">
        <v>42807</v>
      </c>
      <c r="K474" s="107" t="s">
        <v>522</v>
      </c>
      <c r="L474" s="107">
        <v>0.5</v>
      </c>
      <c r="M474" s="107" t="s">
        <v>539</v>
      </c>
      <c r="N474" s="107" t="s">
        <v>528</v>
      </c>
      <c r="O474" s="107" t="s">
        <v>543</v>
      </c>
      <c r="P474" s="104" t="s">
        <v>23</v>
      </c>
      <c r="Q474" s="104" t="s">
        <v>41</v>
      </c>
      <c r="R474" s="104" t="s">
        <v>113</v>
      </c>
      <c r="S474" s="104">
        <v>4</v>
      </c>
      <c r="T474" s="104">
        <v>8</v>
      </c>
      <c r="U474" s="137">
        <v>75</v>
      </c>
      <c r="V474" s="138">
        <v>600</v>
      </c>
    </row>
    <row r="475" spans="1:22" x14ac:dyDescent="0.25">
      <c r="A475" s="108" t="s">
        <v>247</v>
      </c>
      <c r="B475" s="109" t="s">
        <v>17</v>
      </c>
      <c r="C475" s="109" t="s">
        <v>176</v>
      </c>
      <c r="D475" s="109" t="s">
        <v>79</v>
      </c>
      <c r="E475" s="109" t="s">
        <v>168</v>
      </c>
      <c r="F475" s="109">
        <v>2016</v>
      </c>
      <c r="G475" s="110">
        <v>42791.375</v>
      </c>
      <c r="H475" s="110">
        <v>42800.75</v>
      </c>
      <c r="I475" s="111">
        <v>42791</v>
      </c>
      <c r="J475" s="111">
        <v>42800</v>
      </c>
      <c r="K475" s="112" t="s">
        <v>525</v>
      </c>
      <c r="L475" s="112">
        <v>0.75</v>
      </c>
      <c r="M475" s="112" t="s">
        <v>540</v>
      </c>
      <c r="N475" s="112" t="s">
        <v>528</v>
      </c>
      <c r="O475" s="112" t="s">
        <v>543</v>
      </c>
      <c r="P475" s="109" t="s">
        <v>9</v>
      </c>
      <c r="Q475" s="109" t="s">
        <v>21</v>
      </c>
      <c r="R475" s="109" t="s">
        <v>113</v>
      </c>
      <c r="S475" s="109">
        <v>3</v>
      </c>
      <c r="T475" s="109">
        <v>10</v>
      </c>
      <c r="U475" s="139">
        <v>48</v>
      </c>
      <c r="V475" s="140">
        <v>480</v>
      </c>
    </row>
    <row r="476" spans="1:22" x14ac:dyDescent="0.25">
      <c r="A476" s="103" t="s">
        <v>248</v>
      </c>
      <c r="B476" s="104" t="s">
        <v>29</v>
      </c>
      <c r="C476" s="104" t="s">
        <v>177</v>
      </c>
      <c r="D476" s="104" t="s">
        <v>83</v>
      </c>
      <c r="E476" s="104" t="s">
        <v>174</v>
      </c>
      <c r="F476" s="104">
        <v>2016</v>
      </c>
      <c r="G476" s="105">
        <v>42793.791666666664</v>
      </c>
      <c r="H476" s="105">
        <v>42807.958333333336</v>
      </c>
      <c r="I476" s="106">
        <v>42793</v>
      </c>
      <c r="J476" s="106">
        <v>42807</v>
      </c>
      <c r="K476" s="107" t="s">
        <v>526</v>
      </c>
      <c r="L476" s="107">
        <v>0.95833333333333337</v>
      </c>
      <c r="M476" s="107" t="s">
        <v>541</v>
      </c>
      <c r="N476" s="107" t="s">
        <v>528</v>
      </c>
      <c r="O476" s="107" t="s">
        <v>543</v>
      </c>
      <c r="P476" s="104" t="s">
        <v>9</v>
      </c>
      <c r="Q476" s="104" t="s">
        <v>24</v>
      </c>
      <c r="R476" s="104" t="s">
        <v>113</v>
      </c>
      <c r="S476" s="104">
        <v>5</v>
      </c>
      <c r="T476" s="104">
        <v>11</v>
      </c>
      <c r="U476" s="137">
        <v>63</v>
      </c>
      <c r="V476" s="138">
        <v>693</v>
      </c>
    </row>
    <row r="477" spans="1:22" x14ac:dyDescent="0.25">
      <c r="A477" s="108" t="s">
        <v>249</v>
      </c>
      <c r="B477" s="109" t="s">
        <v>29</v>
      </c>
      <c r="C477" s="109" t="s">
        <v>177</v>
      </c>
      <c r="D477" s="109" t="s">
        <v>78</v>
      </c>
      <c r="E477" s="109" t="s">
        <v>172</v>
      </c>
      <c r="F477" s="109">
        <v>2016</v>
      </c>
      <c r="G477" s="110">
        <v>42793.791666666664</v>
      </c>
      <c r="H477" s="110">
        <v>42807.958333333336</v>
      </c>
      <c r="I477" s="111">
        <v>42793</v>
      </c>
      <c r="J477" s="111">
        <v>42807</v>
      </c>
      <c r="K477" s="112" t="s">
        <v>526</v>
      </c>
      <c r="L477" s="112">
        <v>0.95833333333333337</v>
      </c>
      <c r="M477" s="112" t="s">
        <v>541</v>
      </c>
      <c r="N477" s="112" t="s">
        <v>528</v>
      </c>
      <c r="O477" s="112" t="s">
        <v>543</v>
      </c>
      <c r="P477" s="109" t="s">
        <v>9</v>
      </c>
      <c r="Q477" s="109" t="s">
        <v>22</v>
      </c>
      <c r="R477" s="109" t="s">
        <v>109</v>
      </c>
      <c r="S477" s="109">
        <v>2</v>
      </c>
      <c r="T477" s="109">
        <v>10</v>
      </c>
      <c r="U477" s="139">
        <v>62</v>
      </c>
      <c r="V477" s="140">
        <v>620</v>
      </c>
    </row>
    <row r="478" spans="1:22" x14ac:dyDescent="0.25">
      <c r="A478" s="103" t="s">
        <v>250</v>
      </c>
      <c r="B478" s="104" t="s">
        <v>17</v>
      </c>
      <c r="C478" s="104" t="s">
        <v>176</v>
      </c>
      <c r="D478" s="104" t="s">
        <v>79</v>
      </c>
      <c r="E478" s="104" t="s">
        <v>168</v>
      </c>
      <c r="F478" s="104">
        <v>2016</v>
      </c>
      <c r="G478" s="105">
        <v>42794.791666666664</v>
      </c>
      <c r="H478" s="105">
        <v>42807.958333333336</v>
      </c>
      <c r="I478" s="106">
        <v>42794</v>
      </c>
      <c r="J478" s="106">
        <v>42807</v>
      </c>
      <c r="K478" s="107" t="s">
        <v>526</v>
      </c>
      <c r="L478" s="107">
        <v>0.95833333333333337</v>
      </c>
      <c r="M478" s="107" t="s">
        <v>541</v>
      </c>
      <c r="N478" s="107" t="s">
        <v>528</v>
      </c>
      <c r="O478" s="107" t="s">
        <v>543</v>
      </c>
      <c r="P478" s="104" t="s">
        <v>23</v>
      </c>
      <c r="Q478" s="104" t="s">
        <v>16</v>
      </c>
      <c r="R478" s="104" t="s">
        <v>109</v>
      </c>
      <c r="S478" s="104">
        <v>2</v>
      </c>
      <c r="T478" s="104">
        <v>11</v>
      </c>
      <c r="U478" s="137">
        <v>48</v>
      </c>
      <c r="V478" s="138">
        <v>528</v>
      </c>
    </row>
    <row r="479" spans="1:22" x14ac:dyDescent="0.25">
      <c r="A479" s="108" t="s">
        <v>251</v>
      </c>
      <c r="B479" s="109" t="s">
        <v>7</v>
      </c>
      <c r="C479" s="109" t="s">
        <v>175</v>
      </c>
      <c r="D479" s="109" t="s">
        <v>81</v>
      </c>
      <c r="E479" s="109" t="s">
        <v>172</v>
      </c>
      <c r="F479" s="109">
        <v>2016</v>
      </c>
      <c r="G479" s="110">
        <v>42795.583333333336</v>
      </c>
      <c r="H479" s="110">
        <v>42808.75</v>
      </c>
      <c r="I479" s="111">
        <v>42795</v>
      </c>
      <c r="J479" s="111">
        <v>42808</v>
      </c>
      <c r="K479" s="112" t="s">
        <v>527</v>
      </c>
      <c r="L479" s="112">
        <v>0.75</v>
      </c>
      <c r="M479" s="112" t="s">
        <v>542</v>
      </c>
      <c r="N479" s="112" t="s">
        <v>529</v>
      </c>
      <c r="O479" s="112" t="s">
        <v>543</v>
      </c>
      <c r="P479" s="109" t="s">
        <v>9</v>
      </c>
      <c r="Q479" s="109" t="s">
        <v>37</v>
      </c>
      <c r="R479" s="109" t="s">
        <v>113</v>
      </c>
      <c r="S479" s="109">
        <v>4</v>
      </c>
      <c r="T479" s="109">
        <v>8</v>
      </c>
      <c r="U479" s="139">
        <v>43</v>
      </c>
      <c r="V479" s="140">
        <v>344</v>
      </c>
    </row>
    <row r="480" spans="1:22" x14ac:dyDescent="0.25">
      <c r="A480" s="103" t="s">
        <v>252</v>
      </c>
      <c r="B480" s="104" t="s">
        <v>22</v>
      </c>
      <c r="C480" s="104" t="s">
        <v>176</v>
      </c>
      <c r="D480" s="104" t="s">
        <v>88</v>
      </c>
      <c r="E480" s="104" t="s">
        <v>170</v>
      </c>
      <c r="F480" s="104">
        <v>2016</v>
      </c>
      <c r="G480" s="105">
        <v>42796.375</v>
      </c>
      <c r="H480" s="105">
        <v>42802.75</v>
      </c>
      <c r="I480" s="106">
        <v>42796</v>
      </c>
      <c r="J480" s="106">
        <v>42802</v>
      </c>
      <c r="K480" s="107" t="s">
        <v>525</v>
      </c>
      <c r="L480" s="107">
        <v>0.75</v>
      </c>
      <c r="M480" s="107" t="s">
        <v>540</v>
      </c>
      <c r="N480" s="107" t="s">
        <v>529</v>
      </c>
      <c r="O480" s="107" t="s">
        <v>543</v>
      </c>
      <c r="P480" s="104" t="s">
        <v>9</v>
      </c>
      <c r="Q480" s="104" t="s">
        <v>16</v>
      </c>
      <c r="R480" s="104" t="s">
        <v>109</v>
      </c>
      <c r="S480" s="104">
        <v>2</v>
      </c>
      <c r="T480" s="104">
        <v>12</v>
      </c>
      <c r="U480" s="137">
        <v>42</v>
      </c>
      <c r="V480" s="138">
        <v>504</v>
      </c>
    </row>
    <row r="481" spans="1:22" x14ac:dyDescent="0.25">
      <c r="A481" s="108" t="s">
        <v>253</v>
      </c>
      <c r="B481" s="109" t="s">
        <v>22</v>
      </c>
      <c r="C481" s="109" t="s">
        <v>176</v>
      </c>
      <c r="D481" s="109" t="s">
        <v>78</v>
      </c>
      <c r="E481" s="109" t="s">
        <v>172</v>
      </c>
      <c r="F481" s="109">
        <v>2016</v>
      </c>
      <c r="G481" s="110">
        <v>42797.333333333336</v>
      </c>
      <c r="H481" s="110">
        <v>42810.5</v>
      </c>
      <c r="I481" s="111">
        <v>42797</v>
      </c>
      <c r="J481" s="111">
        <v>42810</v>
      </c>
      <c r="K481" s="112" t="s">
        <v>522</v>
      </c>
      <c r="L481" s="112">
        <v>0.5</v>
      </c>
      <c r="M481" s="112" t="s">
        <v>539</v>
      </c>
      <c r="N481" s="112" t="s">
        <v>529</v>
      </c>
      <c r="O481" s="112" t="s">
        <v>543</v>
      </c>
      <c r="P481" s="109" t="s">
        <v>9</v>
      </c>
      <c r="Q481" s="109" t="s">
        <v>16</v>
      </c>
      <c r="R481" s="109" t="s">
        <v>109</v>
      </c>
      <c r="S481" s="109">
        <v>2</v>
      </c>
      <c r="T481" s="109">
        <v>12</v>
      </c>
      <c r="U481" s="139">
        <v>62</v>
      </c>
      <c r="V481" s="140">
        <v>744</v>
      </c>
    </row>
    <row r="482" spans="1:22" x14ac:dyDescent="0.25">
      <c r="A482" s="103" t="s">
        <v>254</v>
      </c>
      <c r="B482" s="104" t="s">
        <v>22</v>
      </c>
      <c r="C482" s="104" t="s">
        <v>176</v>
      </c>
      <c r="D482" s="104" t="s">
        <v>84</v>
      </c>
      <c r="E482" s="104" t="s">
        <v>172</v>
      </c>
      <c r="F482" s="104">
        <v>2016</v>
      </c>
      <c r="G482" s="105">
        <v>42798.375</v>
      </c>
      <c r="H482" s="105">
        <v>42803.75</v>
      </c>
      <c r="I482" s="106">
        <v>42798</v>
      </c>
      <c r="J482" s="106">
        <v>42803</v>
      </c>
      <c r="K482" s="107" t="s">
        <v>525</v>
      </c>
      <c r="L482" s="107">
        <v>0.75</v>
      </c>
      <c r="M482" s="107" t="s">
        <v>540</v>
      </c>
      <c r="N482" s="107" t="s">
        <v>529</v>
      </c>
      <c r="O482" s="107" t="s">
        <v>543</v>
      </c>
      <c r="P482" s="104" t="s">
        <v>23</v>
      </c>
      <c r="Q482" s="104" t="s">
        <v>41</v>
      </c>
      <c r="R482" s="104" t="s">
        <v>113</v>
      </c>
      <c r="S482" s="104">
        <v>5</v>
      </c>
      <c r="T482" s="104">
        <v>9</v>
      </c>
      <c r="U482" s="137">
        <v>52</v>
      </c>
      <c r="V482" s="138">
        <v>468</v>
      </c>
    </row>
    <row r="483" spans="1:22" x14ac:dyDescent="0.25">
      <c r="A483" s="108" t="s">
        <v>255</v>
      </c>
      <c r="B483" s="109" t="s">
        <v>14</v>
      </c>
      <c r="C483" s="109" t="s">
        <v>175</v>
      </c>
      <c r="D483" s="109" t="s">
        <v>80</v>
      </c>
      <c r="E483" s="109" t="s">
        <v>173</v>
      </c>
      <c r="F483" s="109">
        <v>2016</v>
      </c>
      <c r="G483" s="110">
        <v>42800.791666666664</v>
      </c>
      <c r="H483" s="110">
        <v>42811.958333333336</v>
      </c>
      <c r="I483" s="111">
        <v>42800</v>
      </c>
      <c r="J483" s="111">
        <v>42811</v>
      </c>
      <c r="K483" s="112" t="s">
        <v>526</v>
      </c>
      <c r="L483" s="112">
        <v>0.95833333333333337</v>
      </c>
      <c r="M483" s="112" t="s">
        <v>541</v>
      </c>
      <c r="N483" s="112" t="s">
        <v>529</v>
      </c>
      <c r="O483" s="112" t="s">
        <v>543</v>
      </c>
      <c r="P483" s="109" t="s">
        <v>23</v>
      </c>
      <c r="Q483" s="109" t="s">
        <v>24</v>
      </c>
      <c r="R483" s="109" t="s">
        <v>113</v>
      </c>
      <c r="S483" s="109">
        <v>5</v>
      </c>
      <c r="T483" s="109">
        <v>9</v>
      </c>
      <c r="U483" s="139">
        <v>32</v>
      </c>
      <c r="V483" s="140">
        <v>288</v>
      </c>
    </row>
    <row r="484" spans="1:22" x14ac:dyDescent="0.25">
      <c r="A484" s="103" t="s">
        <v>256</v>
      </c>
      <c r="B484" s="104" t="s">
        <v>14</v>
      </c>
      <c r="C484" s="104" t="s">
        <v>175</v>
      </c>
      <c r="D484" s="104" t="s">
        <v>89</v>
      </c>
      <c r="E484" s="104" t="s">
        <v>169</v>
      </c>
      <c r="F484" s="104">
        <v>2016</v>
      </c>
      <c r="G484" s="105">
        <v>42800.791666666664</v>
      </c>
      <c r="H484" s="105">
        <v>42811.958333333336</v>
      </c>
      <c r="I484" s="106">
        <v>42800</v>
      </c>
      <c r="J484" s="106">
        <v>42811</v>
      </c>
      <c r="K484" s="107" t="s">
        <v>526</v>
      </c>
      <c r="L484" s="107">
        <v>0.95833333333333337</v>
      </c>
      <c r="M484" s="107" t="s">
        <v>541</v>
      </c>
      <c r="N484" s="107" t="s">
        <v>529</v>
      </c>
      <c r="O484" s="107" t="s">
        <v>543</v>
      </c>
      <c r="P484" s="104" t="s">
        <v>23</v>
      </c>
      <c r="Q484" s="104" t="s">
        <v>35</v>
      </c>
      <c r="R484" s="104" t="s">
        <v>109</v>
      </c>
      <c r="S484" s="104">
        <v>5</v>
      </c>
      <c r="T484" s="104">
        <v>12</v>
      </c>
      <c r="U484" s="137">
        <v>62</v>
      </c>
      <c r="V484" s="138">
        <v>744</v>
      </c>
    </row>
    <row r="485" spans="1:22" x14ac:dyDescent="0.25">
      <c r="A485" s="108" t="s">
        <v>257</v>
      </c>
      <c r="B485" s="109" t="s">
        <v>11</v>
      </c>
      <c r="C485" s="109" t="s">
        <v>175</v>
      </c>
      <c r="D485" s="109" t="s">
        <v>76</v>
      </c>
      <c r="E485" s="109" t="s">
        <v>174</v>
      </c>
      <c r="F485" s="109">
        <v>2016</v>
      </c>
      <c r="G485" s="110">
        <v>42801.791666666664</v>
      </c>
      <c r="H485" s="110">
        <v>42814.958333333336</v>
      </c>
      <c r="I485" s="111">
        <v>42801</v>
      </c>
      <c r="J485" s="111">
        <v>42814</v>
      </c>
      <c r="K485" s="112" t="s">
        <v>526</v>
      </c>
      <c r="L485" s="112">
        <v>0.95833333333333337</v>
      </c>
      <c r="M485" s="112" t="s">
        <v>541</v>
      </c>
      <c r="N485" s="112" t="s">
        <v>529</v>
      </c>
      <c r="O485" s="112" t="s">
        <v>543</v>
      </c>
      <c r="P485" s="109" t="s">
        <v>23</v>
      </c>
      <c r="Q485" s="109" t="s">
        <v>22</v>
      </c>
      <c r="R485" s="109" t="s">
        <v>109</v>
      </c>
      <c r="S485" s="109">
        <v>2</v>
      </c>
      <c r="T485" s="109">
        <v>11</v>
      </c>
      <c r="U485" s="139">
        <v>53</v>
      </c>
      <c r="V485" s="140">
        <v>583</v>
      </c>
    </row>
    <row r="486" spans="1:22" x14ac:dyDescent="0.25">
      <c r="A486" s="103" t="s">
        <v>258</v>
      </c>
      <c r="B486" s="104" t="s">
        <v>7</v>
      </c>
      <c r="C486" s="104" t="s">
        <v>175</v>
      </c>
      <c r="D486" s="104" t="s">
        <v>80</v>
      </c>
      <c r="E486" s="104" t="s">
        <v>173</v>
      </c>
      <c r="F486" s="104">
        <v>2016</v>
      </c>
      <c r="G486" s="105">
        <v>42802.583333333336</v>
      </c>
      <c r="H486" s="105">
        <v>42815.75</v>
      </c>
      <c r="I486" s="106">
        <v>42802</v>
      </c>
      <c r="J486" s="106">
        <v>42815</v>
      </c>
      <c r="K486" s="107" t="s">
        <v>527</v>
      </c>
      <c r="L486" s="107">
        <v>0.75</v>
      </c>
      <c r="M486" s="107" t="s">
        <v>542</v>
      </c>
      <c r="N486" s="107" t="s">
        <v>529</v>
      </c>
      <c r="O486" s="107" t="s">
        <v>543</v>
      </c>
      <c r="P486" s="104" t="s">
        <v>23</v>
      </c>
      <c r="Q486" s="104" t="s">
        <v>33</v>
      </c>
      <c r="R486" s="104" t="s">
        <v>113</v>
      </c>
      <c r="S486" s="104">
        <v>2</v>
      </c>
      <c r="T486" s="104">
        <v>10</v>
      </c>
      <c r="U486" s="137">
        <v>32</v>
      </c>
      <c r="V486" s="138">
        <v>320</v>
      </c>
    </row>
    <row r="487" spans="1:22" x14ac:dyDescent="0.25">
      <c r="A487" s="108" t="s">
        <v>259</v>
      </c>
      <c r="B487" s="109" t="s">
        <v>19</v>
      </c>
      <c r="C487" s="109" t="s">
        <v>176</v>
      </c>
      <c r="D487" s="109" t="s">
        <v>89</v>
      </c>
      <c r="E487" s="109" t="s">
        <v>169</v>
      </c>
      <c r="F487" s="109">
        <v>2016</v>
      </c>
      <c r="G487" s="110">
        <v>42803.375</v>
      </c>
      <c r="H487" s="110">
        <v>42809.75</v>
      </c>
      <c r="I487" s="111">
        <v>42803</v>
      </c>
      <c r="J487" s="111">
        <v>42809</v>
      </c>
      <c r="K487" s="112" t="s">
        <v>525</v>
      </c>
      <c r="L487" s="112">
        <v>0.75</v>
      </c>
      <c r="M487" s="112" t="s">
        <v>540</v>
      </c>
      <c r="N487" s="112" t="s">
        <v>529</v>
      </c>
      <c r="O487" s="112" t="s">
        <v>543</v>
      </c>
      <c r="P487" s="109" t="s">
        <v>23</v>
      </c>
      <c r="Q487" s="109" t="s">
        <v>18</v>
      </c>
      <c r="R487" s="109" t="s">
        <v>113</v>
      </c>
      <c r="S487" s="109">
        <v>5</v>
      </c>
      <c r="T487" s="109">
        <v>11</v>
      </c>
      <c r="U487" s="139">
        <v>62</v>
      </c>
      <c r="V487" s="140">
        <v>682</v>
      </c>
    </row>
    <row r="488" spans="1:22" x14ac:dyDescent="0.25">
      <c r="A488" s="103" t="s">
        <v>260</v>
      </c>
      <c r="B488" s="104" t="s">
        <v>7</v>
      </c>
      <c r="C488" s="104" t="s">
        <v>175</v>
      </c>
      <c r="D488" s="104" t="s">
        <v>80</v>
      </c>
      <c r="E488" s="104" t="s">
        <v>173</v>
      </c>
      <c r="F488" s="104">
        <v>2016</v>
      </c>
      <c r="G488" s="105">
        <v>42804.333333333336</v>
      </c>
      <c r="H488" s="105">
        <v>42817.5</v>
      </c>
      <c r="I488" s="106">
        <v>42804</v>
      </c>
      <c r="J488" s="106">
        <v>42817</v>
      </c>
      <c r="K488" s="107" t="s">
        <v>522</v>
      </c>
      <c r="L488" s="107">
        <v>0.5</v>
      </c>
      <c r="M488" s="107" t="s">
        <v>539</v>
      </c>
      <c r="N488" s="107" t="s">
        <v>529</v>
      </c>
      <c r="O488" s="107" t="s">
        <v>543</v>
      </c>
      <c r="P488" s="104" t="s">
        <v>9</v>
      </c>
      <c r="Q488" s="104" t="s">
        <v>31</v>
      </c>
      <c r="R488" s="104" t="s">
        <v>113</v>
      </c>
      <c r="S488" s="104">
        <v>5</v>
      </c>
      <c r="T488" s="104">
        <v>12</v>
      </c>
      <c r="U488" s="137">
        <v>32</v>
      </c>
      <c r="V488" s="138">
        <v>384</v>
      </c>
    </row>
    <row r="489" spans="1:22" x14ac:dyDescent="0.25">
      <c r="A489" s="108" t="s">
        <v>261</v>
      </c>
      <c r="B489" s="109" t="s">
        <v>22</v>
      </c>
      <c r="C489" s="109" t="s">
        <v>176</v>
      </c>
      <c r="D489" s="109" t="s">
        <v>84</v>
      </c>
      <c r="E489" s="109" t="s">
        <v>172</v>
      </c>
      <c r="F489" s="109">
        <v>2016</v>
      </c>
      <c r="G489" s="110">
        <v>42805.375</v>
      </c>
      <c r="H489" s="110">
        <v>42810.75</v>
      </c>
      <c r="I489" s="111">
        <v>42805</v>
      </c>
      <c r="J489" s="111">
        <v>42810</v>
      </c>
      <c r="K489" s="112" t="s">
        <v>525</v>
      </c>
      <c r="L489" s="112">
        <v>0.75</v>
      </c>
      <c r="M489" s="112" t="s">
        <v>540</v>
      </c>
      <c r="N489" s="112" t="s">
        <v>529</v>
      </c>
      <c r="O489" s="112" t="s">
        <v>543</v>
      </c>
      <c r="P489" s="109" t="s">
        <v>23</v>
      </c>
      <c r="Q489" s="109" t="s">
        <v>190</v>
      </c>
      <c r="R489" s="109" t="s">
        <v>109</v>
      </c>
      <c r="S489" s="109">
        <v>3</v>
      </c>
      <c r="T489" s="109">
        <v>10</v>
      </c>
      <c r="U489" s="139">
        <v>52</v>
      </c>
      <c r="V489" s="140">
        <v>520</v>
      </c>
    </row>
    <row r="490" spans="1:22" x14ac:dyDescent="0.25">
      <c r="A490" s="103" t="s">
        <v>262</v>
      </c>
      <c r="B490" s="104" t="s">
        <v>45</v>
      </c>
      <c r="C490" s="104" t="s">
        <v>177</v>
      </c>
      <c r="D490" s="104" t="s">
        <v>80</v>
      </c>
      <c r="E490" s="104" t="s">
        <v>173</v>
      </c>
      <c r="F490" s="104">
        <v>2016</v>
      </c>
      <c r="G490" s="105">
        <v>42807.791666666664</v>
      </c>
      <c r="H490" s="105">
        <v>42818.958333333336</v>
      </c>
      <c r="I490" s="106">
        <v>42807</v>
      </c>
      <c r="J490" s="106">
        <v>42818</v>
      </c>
      <c r="K490" s="107" t="s">
        <v>526</v>
      </c>
      <c r="L490" s="107">
        <v>0.95833333333333337</v>
      </c>
      <c r="M490" s="107" t="s">
        <v>541</v>
      </c>
      <c r="N490" s="107" t="s">
        <v>529</v>
      </c>
      <c r="O490" s="107" t="s">
        <v>543</v>
      </c>
      <c r="P490" s="104" t="s">
        <v>9</v>
      </c>
      <c r="Q490" s="104" t="s">
        <v>38</v>
      </c>
      <c r="R490" s="104" t="s">
        <v>113</v>
      </c>
      <c r="S490" s="104">
        <v>2</v>
      </c>
      <c r="T490" s="104">
        <v>11</v>
      </c>
      <c r="U490" s="137">
        <v>32</v>
      </c>
      <c r="V490" s="138">
        <v>352</v>
      </c>
    </row>
    <row r="491" spans="1:22" x14ac:dyDescent="0.25">
      <c r="A491" s="108" t="s">
        <v>263</v>
      </c>
      <c r="B491" s="109" t="s">
        <v>17</v>
      </c>
      <c r="C491" s="109" t="s">
        <v>176</v>
      </c>
      <c r="D491" s="109" t="s">
        <v>88</v>
      </c>
      <c r="E491" s="109" t="s">
        <v>170</v>
      </c>
      <c r="F491" s="109">
        <v>2016</v>
      </c>
      <c r="G491" s="110">
        <v>42807.791666666664</v>
      </c>
      <c r="H491" s="110">
        <v>42818.958333333336</v>
      </c>
      <c r="I491" s="111">
        <v>42807</v>
      </c>
      <c r="J491" s="111">
        <v>42818</v>
      </c>
      <c r="K491" s="112" t="s">
        <v>526</v>
      </c>
      <c r="L491" s="112">
        <v>0.95833333333333337</v>
      </c>
      <c r="M491" s="112" t="s">
        <v>541</v>
      </c>
      <c r="N491" s="112" t="s">
        <v>529</v>
      </c>
      <c r="O491" s="112" t="s">
        <v>543</v>
      </c>
      <c r="P491" s="109" t="s">
        <v>9</v>
      </c>
      <c r="Q491" s="109" t="s">
        <v>37</v>
      </c>
      <c r="R491" s="109" t="s">
        <v>113</v>
      </c>
      <c r="S491" s="109">
        <v>4</v>
      </c>
      <c r="T491" s="109">
        <v>9</v>
      </c>
      <c r="U491" s="139">
        <v>42</v>
      </c>
      <c r="V491" s="140">
        <v>378</v>
      </c>
    </row>
    <row r="492" spans="1:22" x14ac:dyDescent="0.25">
      <c r="A492" s="103" t="s">
        <v>264</v>
      </c>
      <c r="B492" s="104" t="s">
        <v>19</v>
      </c>
      <c r="C492" s="104" t="s">
        <v>176</v>
      </c>
      <c r="D492" s="104" t="s">
        <v>86</v>
      </c>
      <c r="E492" s="104" t="s">
        <v>169</v>
      </c>
      <c r="F492" s="104">
        <v>2016</v>
      </c>
      <c r="G492" s="105">
        <v>42808.791666666664</v>
      </c>
      <c r="H492" s="105">
        <v>42821.958333333336</v>
      </c>
      <c r="I492" s="106">
        <v>42808</v>
      </c>
      <c r="J492" s="106">
        <v>42821</v>
      </c>
      <c r="K492" s="107" t="s">
        <v>526</v>
      </c>
      <c r="L492" s="107">
        <v>0.95833333333333337</v>
      </c>
      <c r="M492" s="107" t="s">
        <v>541</v>
      </c>
      <c r="N492" s="107" t="s">
        <v>529</v>
      </c>
      <c r="O492" s="107" t="s">
        <v>543</v>
      </c>
      <c r="P492" s="104" t="s">
        <v>9</v>
      </c>
      <c r="Q492" s="104" t="s">
        <v>35</v>
      </c>
      <c r="R492" s="104" t="s">
        <v>109</v>
      </c>
      <c r="S492" s="104">
        <v>5</v>
      </c>
      <c r="T492" s="104">
        <v>9</v>
      </c>
      <c r="U492" s="137">
        <v>48</v>
      </c>
      <c r="V492" s="138">
        <v>432</v>
      </c>
    </row>
    <row r="493" spans="1:22" x14ac:dyDescent="0.25">
      <c r="A493" s="108" t="s">
        <v>265</v>
      </c>
      <c r="B493" s="109" t="s">
        <v>39</v>
      </c>
      <c r="C493" s="109" t="s">
        <v>177</v>
      </c>
      <c r="D493" s="109" t="s">
        <v>78</v>
      </c>
      <c r="E493" s="109" t="s">
        <v>172</v>
      </c>
      <c r="F493" s="109">
        <v>2016</v>
      </c>
      <c r="G493" s="110">
        <v>42809.583333333336</v>
      </c>
      <c r="H493" s="110">
        <v>42822.75</v>
      </c>
      <c r="I493" s="111">
        <v>42809</v>
      </c>
      <c r="J493" s="111">
        <v>42822</v>
      </c>
      <c r="K493" s="112" t="s">
        <v>527</v>
      </c>
      <c r="L493" s="112">
        <v>0.75</v>
      </c>
      <c r="M493" s="112" t="s">
        <v>542</v>
      </c>
      <c r="N493" s="112" t="s">
        <v>529</v>
      </c>
      <c r="O493" s="112" t="s">
        <v>543</v>
      </c>
      <c r="P493" s="109" t="s">
        <v>9</v>
      </c>
      <c r="Q493" s="109" t="s">
        <v>33</v>
      </c>
      <c r="R493" s="109" t="s">
        <v>113</v>
      </c>
      <c r="S493" s="109">
        <v>3</v>
      </c>
      <c r="T493" s="109">
        <v>8</v>
      </c>
      <c r="U493" s="139">
        <v>62</v>
      </c>
      <c r="V493" s="140">
        <v>496</v>
      </c>
    </row>
    <row r="494" spans="1:22" x14ac:dyDescent="0.25">
      <c r="A494" s="103" t="s">
        <v>266</v>
      </c>
      <c r="B494" s="104" t="s">
        <v>19</v>
      </c>
      <c r="C494" s="104" t="s">
        <v>176</v>
      </c>
      <c r="D494" s="104" t="s">
        <v>84</v>
      </c>
      <c r="E494" s="104" t="s">
        <v>172</v>
      </c>
      <c r="F494" s="104">
        <v>2016</v>
      </c>
      <c r="G494" s="105">
        <v>42810.375</v>
      </c>
      <c r="H494" s="105">
        <v>42816.75</v>
      </c>
      <c r="I494" s="106">
        <v>42810</v>
      </c>
      <c r="J494" s="106">
        <v>42816</v>
      </c>
      <c r="K494" s="107" t="s">
        <v>525</v>
      </c>
      <c r="L494" s="107">
        <v>0.75</v>
      </c>
      <c r="M494" s="107" t="s">
        <v>540</v>
      </c>
      <c r="N494" s="107" t="s">
        <v>529</v>
      </c>
      <c r="O494" s="107" t="s">
        <v>543</v>
      </c>
      <c r="P494" s="104" t="s">
        <v>23</v>
      </c>
      <c r="Q494" s="104" t="s">
        <v>12</v>
      </c>
      <c r="R494" s="104" t="s">
        <v>113</v>
      </c>
      <c r="S494" s="104">
        <v>3</v>
      </c>
      <c r="T494" s="104">
        <v>9</v>
      </c>
      <c r="U494" s="137">
        <v>52</v>
      </c>
      <c r="V494" s="138">
        <v>468</v>
      </c>
    </row>
    <row r="495" spans="1:22" x14ac:dyDescent="0.25">
      <c r="A495" s="108" t="s">
        <v>267</v>
      </c>
      <c r="B495" s="109" t="s">
        <v>19</v>
      </c>
      <c r="C495" s="109" t="s">
        <v>176</v>
      </c>
      <c r="D495" s="109" t="s">
        <v>77</v>
      </c>
      <c r="E495" s="109" t="s">
        <v>172</v>
      </c>
      <c r="F495" s="109">
        <v>2016</v>
      </c>
      <c r="G495" s="110">
        <v>42811.333333333336</v>
      </c>
      <c r="H495" s="110">
        <v>42824.5</v>
      </c>
      <c r="I495" s="111">
        <v>42811</v>
      </c>
      <c r="J495" s="111">
        <v>42824</v>
      </c>
      <c r="K495" s="112" t="s">
        <v>522</v>
      </c>
      <c r="L495" s="112">
        <v>0.5</v>
      </c>
      <c r="M495" s="112" t="s">
        <v>539</v>
      </c>
      <c r="N495" s="112" t="s">
        <v>529</v>
      </c>
      <c r="O495" s="112" t="s">
        <v>543</v>
      </c>
      <c r="P495" s="109" t="s">
        <v>9</v>
      </c>
      <c r="Q495" s="109" t="s">
        <v>26</v>
      </c>
      <c r="R495" s="109" t="s">
        <v>113</v>
      </c>
      <c r="S495" s="109">
        <v>2</v>
      </c>
      <c r="T495" s="109">
        <v>8</v>
      </c>
      <c r="U495" s="139">
        <v>35</v>
      </c>
      <c r="V495" s="140">
        <v>280</v>
      </c>
    </row>
    <row r="496" spans="1:22" x14ac:dyDescent="0.25">
      <c r="A496" s="103" t="s">
        <v>268</v>
      </c>
      <c r="B496" s="104" t="s">
        <v>17</v>
      </c>
      <c r="C496" s="104" t="s">
        <v>176</v>
      </c>
      <c r="D496" s="104" t="s">
        <v>83</v>
      </c>
      <c r="E496" s="104" t="s">
        <v>174</v>
      </c>
      <c r="F496" s="104">
        <v>2016</v>
      </c>
      <c r="G496" s="105">
        <v>42812.375</v>
      </c>
      <c r="H496" s="105">
        <v>42817.75</v>
      </c>
      <c r="I496" s="106">
        <v>42812</v>
      </c>
      <c r="J496" s="106">
        <v>42817</v>
      </c>
      <c r="K496" s="107" t="s">
        <v>525</v>
      </c>
      <c r="L496" s="107">
        <v>0.75</v>
      </c>
      <c r="M496" s="107" t="s">
        <v>540</v>
      </c>
      <c r="N496" s="107" t="s">
        <v>529</v>
      </c>
      <c r="O496" s="107" t="s">
        <v>543</v>
      </c>
      <c r="P496" s="104" t="s">
        <v>23</v>
      </c>
      <c r="Q496" s="104" t="s">
        <v>24</v>
      </c>
      <c r="R496" s="104" t="s">
        <v>113</v>
      </c>
      <c r="S496" s="104">
        <v>3</v>
      </c>
      <c r="T496" s="104">
        <v>8</v>
      </c>
      <c r="U496" s="137">
        <v>63</v>
      </c>
      <c r="V496" s="138">
        <v>504</v>
      </c>
    </row>
    <row r="497" spans="1:22" x14ac:dyDescent="0.25">
      <c r="A497" s="108" t="s">
        <v>269</v>
      </c>
      <c r="B497" s="109" t="s">
        <v>19</v>
      </c>
      <c r="C497" s="109" t="s">
        <v>176</v>
      </c>
      <c r="D497" s="109" t="s">
        <v>85</v>
      </c>
      <c r="E497" s="109" t="s">
        <v>170</v>
      </c>
      <c r="F497" s="109">
        <v>2016</v>
      </c>
      <c r="G497" s="110">
        <v>42814.791666666664</v>
      </c>
      <c r="H497" s="110">
        <v>42825.958333333336</v>
      </c>
      <c r="I497" s="111">
        <v>42814</v>
      </c>
      <c r="J497" s="111">
        <v>42825</v>
      </c>
      <c r="K497" s="112" t="s">
        <v>526</v>
      </c>
      <c r="L497" s="112">
        <v>0.95833333333333337</v>
      </c>
      <c r="M497" s="112" t="s">
        <v>541</v>
      </c>
      <c r="N497" s="112" t="s">
        <v>529</v>
      </c>
      <c r="O497" s="112" t="s">
        <v>543</v>
      </c>
      <c r="P497" s="109" t="s">
        <v>9</v>
      </c>
      <c r="Q497" s="109" t="s">
        <v>26</v>
      </c>
      <c r="R497" s="109" t="s">
        <v>113</v>
      </c>
      <c r="S497" s="109">
        <v>4</v>
      </c>
      <c r="T497" s="109">
        <v>9</v>
      </c>
      <c r="U497" s="139">
        <v>48</v>
      </c>
      <c r="V497" s="140">
        <v>432</v>
      </c>
    </row>
    <row r="498" spans="1:22" x14ac:dyDescent="0.25">
      <c r="A498" s="103" t="s">
        <v>270</v>
      </c>
      <c r="B498" s="104" t="s">
        <v>7</v>
      </c>
      <c r="C498" s="104" t="s">
        <v>175</v>
      </c>
      <c r="D498" s="104" t="s">
        <v>76</v>
      </c>
      <c r="E498" s="104" t="s">
        <v>174</v>
      </c>
      <c r="F498" s="104">
        <v>2016</v>
      </c>
      <c r="G498" s="105">
        <v>42814.791666666664</v>
      </c>
      <c r="H498" s="105">
        <v>42825.958333333336</v>
      </c>
      <c r="I498" s="106">
        <v>42814</v>
      </c>
      <c r="J498" s="106">
        <v>42825</v>
      </c>
      <c r="K498" s="107" t="s">
        <v>526</v>
      </c>
      <c r="L498" s="107">
        <v>0.95833333333333337</v>
      </c>
      <c r="M498" s="107" t="s">
        <v>541</v>
      </c>
      <c r="N498" s="107" t="s">
        <v>529</v>
      </c>
      <c r="O498" s="107" t="s">
        <v>543</v>
      </c>
      <c r="P498" s="104" t="s">
        <v>9</v>
      </c>
      <c r="Q498" s="104" t="s">
        <v>12</v>
      </c>
      <c r="R498" s="104" t="s">
        <v>113</v>
      </c>
      <c r="S498" s="104">
        <v>3</v>
      </c>
      <c r="T498" s="104">
        <v>8</v>
      </c>
      <c r="U498" s="137">
        <v>53</v>
      </c>
      <c r="V498" s="138">
        <v>424</v>
      </c>
    </row>
    <row r="499" spans="1:22" x14ac:dyDescent="0.25">
      <c r="A499" s="108" t="s">
        <v>273</v>
      </c>
      <c r="B499" s="109" t="s">
        <v>29</v>
      </c>
      <c r="C499" s="109" t="s">
        <v>177</v>
      </c>
      <c r="D499" s="109" t="s">
        <v>80</v>
      </c>
      <c r="E499" s="109" t="s">
        <v>173</v>
      </c>
      <c r="F499" s="109">
        <v>2016</v>
      </c>
      <c r="G499" s="110">
        <v>42817.375</v>
      </c>
      <c r="H499" s="110">
        <v>42823.75</v>
      </c>
      <c r="I499" s="111">
        <v>42817</v>
      </c>
      <c r="J499" s="111">
        <v>42823</v>
      </c>
      <c r="K499" s="112" t="s">
        <v>525</v>
      </c>
      <c r="L499" s="112">
        <v>0.75</v>
      </c>
      <c r="M499" s="112" t="s">
        <v>540</v>
      </c>
      <c r="N499" s="112" t="s">
        <v>529</v>
      </c>
      <c r="O499" s="112" t="s">
        <v>543</v>
      </c>
      <c r="P499" s="109" t="s">
        <v>23</v>
      </c>
      <c r="Q499" s="109" t="s">
        <v>16</v>
      </c>
      <c r="R499" s="109" t="s">
        <v>109</v>
      </c>
      <c r="S499" s="109">
        <v>3</v>
      </c>
      <c r="T499" s="109">
        <v>11</v>
      </c>
      <c r="U499" s="139">
        <v>32</v>
      </c>
      <c r="V499" s="140">
        <v>352</v>
      </c>
    </row>
    <row r="500" spans="1:22" x14ac:dyDescent="0.25">
      <c r="A500" s="103" t="s">
        <v>275</v>
      </c>
      <c r="B500" s="104" t="s">
        <v>19</v>
      </c>
      <c r="C500" s="104" t="s">
        <v>176</v>
      </c>
      <c r="D500" s="104" t="s">
        <v>76</v>
      </c>
      <c r="E500" s="104" t="s">
        <v>174</v>
      </c>
      <c r="F500" s="104">
        <v>2016</v>
      </c>
      <c r="G500" s="105">
        <v>42819.375</v>
      </c>
      <c r="H500" s="105">
        <v>42824.75</v>
      </c>
      <c r="I500" s="106">
        <v>42819</v>
      </c>
      <c r="J500" s="106">
        <v>42824</v>
      </c>
      <c r="K500" s="107" t="s">
        <v>525</v>
      </c>
      <c r="L500" s="107">
        <v>0.75</v>
      </c>
      <c r="M500" s="107" t="s">
        <v>540</v>
      </c>
      <c r="N500" s="107" t="s">
        <v>529</v>
      </c>
      <c r="O500" s="107" t="s">
        <v>543</v>
      </c>
      <c r="P500" s="104" t="s">
        <v>9</v>
      </c>
      <c r="Q500" s="104" t="s">
        <v>18</v>
      </c>
      <c r="R500" s="104" t="s">
        <v>113</v>
      </c>
      <c r="S500" s="104">
        <v>5</v>
      </c>
      <c r="T500" s="104">
        <v>8</v>
      </c>
      <c r="U500" s="137">
        <v>53</v>
      </c>
      <c r="V500" s="138">
        <v>424</v>
      </c>
    </row>
    <row r="501" spans="1:22" x14ac:dyDescent="0.25">
      <c r="A501" s="108" t="s">
        <v>271</v>
      </c>
      <c r="B501" s="109" t="s">
        <v>22</v>
      </c>
      <c r="C501" s="109" t="s">
        <v>176</v>
      </c>
      <c r="D501" s="109" t="s">
        <v>77</v>
      </c>
      <c r="E501" s="109" t="s">
        <v>172</v>
      </c>
      <c r="F501" s="109">
        <v>2016</v>
      </c>
      <c r="G501" s="110">
        <v>42815.791666666664</v>
      </c>
      <c r="H501" s="110">
        <v>42828.958333333336</v>
      </c>
      <c r="I501" s="111">
        <v>42815</v>
      </c>
      <c r="J501" s="111">
        <v>42828</v>
      </c>
      <c r="K501" s="112" t="s">
        <v>526</v>
      </c>
      <c r="L501" s="112">
        <v>0.95833333333333337</v>
      </c>
      <c r="M501" s="112" t="s">
        <v>541</v>
      </c>
      <c r="N501" s="112" t="s">
        <v>529</v>
      </c>
      <c r="O501" s="112" t="s">
        <v>543</v>
      </c>
      <c r="P501" s="109" t="s">
        <v>9</v>
      </c>
      <c r="Q501" s="109" t="s">
        <v>31</v>
      </c>
      <c r="R501" s="109" t="s">
        <v>113</v>
      </c>
      <c r="S501" s="109">
        <v>4</v>
      </c>
      <c r="T501" s="109">
        <v>9</v>
      </c>
      <c r="U501" s="139">
        <v>35</v>
      </c>
      <c r="V501" s="140">
        <v>315</v>
      </c>
    </row>
    <row r="502" spans="1:22" x14ac:dyDescent="0.25">
      <c r="A502" s="103" t="s">
        <v>272</v>
      </c>
      <c r="B502" s="104" t="s">
        <v>7</v>
      </c>
      <c r="C502" s="104" t="s">
        <v>175</v>
      </c>
      <c r="D502" s="104" t="s">
        <v>84</v>
      </c>
      <c r="E502" s="104" t="s">
        <v>172</v>
      </c>
      <c r="F502" s="104">
        <v>2016</v>
      </c>
      <c r="G502" s="105">
        <v>42816.583333333336</v>
      </c>
      <c r="H502" s="105">
        <v>42829.75</v>
      </c>
      <c r="I502" s="106">
        <v>42816</v>
      </c>
      <c r="J502" s="106">
        <v>42829</v>
      </c>
      <c r="K502" s="107" t="s">
        <v>527</v>
      </c>
      <c r="L502" s="107">
        <v>0.75</v>
      </c>
      <c r="M502" s="107" t="s">
        <v>542</v>
      </c>
      <c r="N502" s="107" t="s">
        <v>529</v>
      </c>
      <c r="O502" s="107" t="s">
        <v>543</v>
      </c>
      <c r="P502" s="104" t="s">
        <v>23</v>
      </c>
      <c r="Q502" s="104" t="s">
        <v>31</v>
      </c>
      <c r="R502" s="104" t="s">
        <v>113</v>
      </c>
      <c r="S502" s="104">
        <v>2</v>
      </c>
      <c r="T502" s="104">
        <v>10</v>
      </c>
      <c r="U502" s="137">
        <v>52</v>
      </c>
      <c r="V502" s="138">
        <v>520</v>
      </c>
    </row>
    <row r="503" spans="1:22" x14ac:dyDescent="0.25">
      <c r="A503" s="108" t="s">
        <v>274</v>
      </c>
      <c r="B503" s="109" t="s">
        <v>19</v>
      </c>
      <c r="C503" s="109" t="s">
        <v>176</v>
      </c>
      <c r="D503" s="109" t="s">
        <v>89</v>
      </c>
      <c r="E503" s="109" t="s">
        <v>169</v>
      </c>
      <c r="F503" s="109">
        <v>2016</v>
      </c>
      <c r="G503" s="110">
        <v>42818.333333333336</v>
      </c>
      <c r="H503" s="110">
        <v>42831.5</v>
      </c>
      <c r="I503" s="111">
        <v>42818</v>
      </c>
      <c r="J503" s="111">
        <v>42831</v>
      </c>
      <c r="K503" s="112" t="s">
        <v>522</v>
      </c>
      <c r="L503" s="112">
        <v>0.5</v>
      </c>
      <c r="M503" s="112" t="s">
        <v>539</v>
      </c>
      <c r="N503" s="112" t="s">
        <v>529</v>
      </c>
      <c r="O503" s="112" t="s">
        <v>543</v>
      </c>
      <c r="P503" s="109" t="s">
        <v>23</v>
      </c>
      <c r="Q503" s="109" t="s">
        <v>21</v>
      </c>
      <c r="R503" s="109" t="s">
        <v>113</v>
      </c>
      <c r="S503" s="109">
        <v>4</v>
      </c>
      <c r="T503" s="109">
        <v>12</v>
      </c>
      <c r="U503" s="139">
        <v>62</v>
      </c>
      <c r="V503" s="140">
        <v>744</v>
      </c>
    </row>
    <row r="504" spans="1:22" x14ac:dyDescent="0.25">
      <c r="A504" s="103" t="s">
        <v>276</v>
      </c>
      <c r="B504" s="104" t="s">
        <v>22</v>
      </c>
      <c r="C504" s="104" t="s">
        <v>176</v>
      </c>
      <c r="D504" s="104" t="s">
        <v>78</v>
      </c>
      <c r="E504" s="104" t="s">
        <v>172</v>
      </c>
      <c r="F504" s="104">
        <v>2016</v>
      </c>
      <c r="G504" s="105">
        <v>42821.791666666664</v>
      </c>
      <c r="H504" s="105">
        <v>42832.958333333336</v>
      </c>
      <c r="I504" s="106">
        <v>42821</v>
      </c>
      <c r="J504" s="106">
        <v>42832</v>
      </c>
      <c r="K504" s="107" t="s">
        <v>526</v>
      </c>
      <c r="L504" s="107">
        <v>0.95833333333333337</v>
      </c>
      <c r="M504" s="107" t="s">
        <v>541</v>
      </c>
      <c r="N504" s="107" t="s">
        <v>529</v>
      </c>
      <c r="O504" s="107" t="s">
        <v>543</v>
      </c>
      <c r="P504" s="104" t="s">
        <v>9</v>
      </c>
      <c r="Q504" s="104" t="s">
        <v>35</v>
      </c>
      <c r="R504" s="104" t="s">
        <v>109</v>
      </c>
      <c r="S504" s="104">
        <v>3</v>
      </c>
      <c r="T504" s="104">
        <v>9</v>
      </c>
      <c r="U504" s="137">
        <v>62</v>
      </c>
      <c r="V504" s="138">
        <v>558</v>
      </c>
    </row>
    <row r="505" spans="1:22" x14ac:dyDescent="0.25">
      <c r="A505" s="108" t="s">
        <v>277</v>
      </c>
      <c r="B505" s="109" t="s">
        <v>22</v>
      </c>
      <c r="C505" s="109" t="s">
        <v>176</v>
      </c>
      <c r="D505" s="109" t="s">
        <v>79</v>
      </c>
      <c r="E505" s="109" t="s">
        <v>168</v>
      </c>
      <c r="F505" s="109">
        <v>2016</v>
      </c>
      <c r="G505" s="110">
        <v>42821.791666666664</v>
      </c>
      <c r="H505" s="110">
        <v>42832.958333333336</v>
      </c>
      <c r="I505" s="111">
        <v>42821</v>
      </c>
      <c r="J505" s="111">
        <v>42832</v>
      </c>
      <c r="K505" s="112" t="s">
        <v>526</v>
      </c>
      <c r="L505" s="112">
        <v>0.95833333333333337</v>
      </c>
      <c r="M505" s="112" t="s">
        <v>541</v>
      </c>
      <c r="N505" s="112" t="s">
        <v>529</v>
      </c>
      <c r="O505" s="112" t="s">
        <v>543</v>
      </c>
      <c r="P505" s="109" t="s">
        <v>23</v>
      </c>
      <c r="Q505" s="109" t="s">
        <v>190</v>
      </c>
      <c r="R505" s="109" t="s">
        <v>109</v>
      </c>
      <c r="S505" s="109">
        <v>4</v>
      </c>
      <c r="T505" s="109">
        <v>12</v>
      </c>
      <c r="U505" s="139">
        <v>48</v>
      </c>
      <c r="V505" s="140">
        <v>576</v>
      </c>
    </row>
    <row r="506" spans="1:22" x14ac:dyDescent="0.25">
      <c r="A506" s="103" t="s">
        <v>278</v>
      </c>
      <c r="B506" s="104" t="s">
        <v>19</v>
      </c>
      <c r="C506" s="104" t="s">
        <v>176</v>
      </c>
      <c r="D506" s="104" t="s">
        <v>83</v>
      </c>
      <c r="E506" s="104" t="s">
        <v>174</v>
      </c>
      <c r="F506" s="104">
        <v>2016</v>
      </c>
      <c r="G506" s="105">
        <v>42822.791666666664</v>
      </c>
      <c r="H506" s="105">
        <v>42835.958333333336</v>
      </c>
      <c r="I506" s="106">
        <v>42822</v>
      </c>
      <c r="J506" s="106">
        <v>42835</v>
      </c>
      <c r="K506" s="107" t="s">
        <v>526</v>
      </c>
      <c r="L506" s="107">
        <v>0.95833333333333337</v>
      </c>
      <c r="M506" s="107" t="s">
        <v>541</v>
      </c>
      <c r="N506" s="107" t="s">
        <v>529</v>
      </c>
      <c r="O506" s="107" t="s">
        <v>543</v>
      </c>
      <c r="P506" s="104" t="s">
        <v>9</v>
      </c>
      <c r="Q506" s="104" t="s">
        <v>16</v>
      </c>
      <c r="R506" s="104" t="s">
        <v>109</v>
      </c>
      <c r="S506" s="104">
        <v>4</v>
      </c>
      <c r="T506" s="104">
        <v>8</v>
      </c>
      <c r="U506" s="137">
        <v>63</v>
      </c>
      <c r="V506" s="138">
        <v>504</v>
      </c>
    </row>
    <row r="507" spans="1:22" x14ac:dyDescent="0.25">
      <c r="A507" s="108" t="s">
        <v>279</v>
      </c>
      <c r="B507" s="109" t="s">
        <v>39</v>
      </c>
      <c r="C507" s="109" t="s">
        <v>177</v>
      </c>
      <c r="D507" s="109" t="s">
        <v>84</v>
      </c>
      <c r="E507" s="109" t="s">
        <v>172</v>
      </c>
      <c r="F507" s="109">
        <v>2016</v>
      </c>
      <c r="G507" s="110">
        <v>42823.583333333336</v>
      </c>
      <c r="H507" s="110">
        <v>42836.75</v>
      </c>
      <c r="I507" s="111">
        <v>42823</v>
      </c>
      <c r="J507" s="111">
        <v>42836</v>
      </c>
      <c r="K507" s="112" t="s">
        <v>527</v>
      </c>
      <c r="L507" s="112">
        <v>0.75</v>
      </c>
      <c r="M507" s="112" t="s">
        <v>542</v>
      </c>
      <c r="N507" s="112" t="s">
        <v>529</v>
      </c>
      <c r="O507" s="112" t="s">
        <v>543</v>
      </c>
      <c r="P507" s="109" t="s">
        <v>23</v>
      </c>
      <c r="Q507" s="109" t="s">
        <v>18</v>
      </c>
      <c r="R507" s="109" t="s">
        <v>113</v>
      </c>
      <c r="S507" s="109">
        <v>5</v>
      </c>
      <c r="T507" s="109">
        <v>11</v>
      </c>
      <c r="U507" s="139">
        <v>52</v>
      </c>
      <c r="V507" s="140">
        <v>572</v>
      </c>
    </row>
    <row r="508" spans="1:22" x14ac:dyDescent="0.25">
      <c r="A508" s="103" t="s">
        <v>280</v>
      </c>
      <c r="B508" s="104" t="s">
        <v>45</v>
      </c>
      <c r="C508" s="104" t="s">
        <v>177</v>
      </c>
      <c r="D508" s="104" t="s">
        <v>89</v>
      </c>
      <c r="E508" s="104" t="s">
        <v>169</v>
      </c>
      <c r="F508" s="104">
        <v>2016</v>
      </c>
      <c r="G508" s="105">
        <v>42824.375</v>
      </c>
      <c r="H508" s="105">
        <v>42830.75</v>
      </c>
      <c r="I508" s="106">
        <v>42824</v>
      </c>
      <c r="J508" s="106">
        <v>42830</v>
      </c>
      <c r="K508" s="107" t="s">
        <v>525</v>
      </c>
      <c r="L508" s="107">
        <v>0.75</v>
      </c>
      <c r="M508" s="107" t="s">
        <v>540</v>
      </c>
      <c r="N508" s="107" t="s">
        <v>529</v>
      </c>
      <c r="O508" s="107" t="s">
        <v>543</v>
      </c>
      <c r="P508" s="104" t="s">
        <v>23</v>
      </c>
      <c r="Q508" s="104" t="s">
        <v>38</v>
      </c>
      <c r="R508" s="104" t="s">
        <v>113</v>
      </c>
      <c r="S508" s="104">
        <v>4</v>
      </c>
      <c r="T508" s="104">
        <v>9</v>
      </c>
      <c r="U508" s="137">
        <v>62</v>
      </c>
      <c r="V508" s="138">
        <v>558</v>
      </c>
    </row>
    <row r="509" spans="1:22" x14ac:dyDescent="0.25">
      <c r="A509" s="108" t="s">
        <v>281</v>
      </c>
      <c r="B509" s="109" t="s">
        <v>7</v>
      </c>
      <c r="C509" s="109" t="s">
        <v>175</v>
      </c>
      <c r="D509" s="109" t="s">
        <v>82</v>
      </c>
      <c r="E509" s="109" t="s">
        <v>172</v>
      </c>
      <c r="F509" s="109">
        <v>2016</v>
      </c>
      <c r="G509" s="110">
        <v>42825.333333333336</v>
      </c>
      <c r="H509" s="110">
        <v>42838.5</v>
      </c>
      <c r="I509" s="111">
        <v>42825</v>
      </c>
      <c r="J509" s="111">
        <v>42838</v>
      </c>
      <c r="K509" s="112" t="s">
        <v>522</v>
      </c>
      <c r="L509" s="112">
        <v>0.5</v>
      </c>
      <c r="M509" s="112" t="s">
        <v>539</v>
      </c>
      <c r="N509" s="112" t="s">
        <v>529</v>
      </c>
      <c r="O509" s="112" t="s">
        <v>543</v>
      </c>
      <c r="P509" s="109" t="s">
        <v>9</v>
      </c>
      <c r="Q509" s="109" t="s">
        <v>16</v>
      </c>
      <c r="R509" s="109" t="s">
        <v>109</v>
      </c>
      <c r="S509" s="109">
        <v>3</v>
      </c>
      <c r="T509" s="109">
        <v>12</v>
      </c>
      <c r="U509" s="139">
        <v>75</v>
      </c>
      <c r="V509" s="140">
        <v>900</v>
      </c>
    </row>
    <row r="510" spans="1:22" x14ac:dyDescent="0.25">
      <c r="A510" s="103" t="s">
        <v>282</v>
      </c>
      <c r="B510" s="104" t="s">
        <v>14</v>
      </c>
      <c r="C510" s="104" t="s">
        <v>175</v>
      </c>
      <c r="D510" s="104" t="s">
        <v>80</v>
      </c>
      <c r="E510" s="104" t="s">
        <v>173</v>
      </c>
      <c r="F510" s="104">
        <v>2016</v>
      </c>
      <c r="G510" s="105">
        <v>42826.375</v>
      </c>
      <c r="H510" s="105">
        <v>42831.75</v>
      </c>
      <c r="I510" s="106">
        <v>42826</v>
      </c>
      <c r="J510" s="106">
        <v>42831</v>
      </c>
      <c r="K510" s="107" t="s">
        <v>525</v>
      </c>
      <c r="L510" s="107">
        <v>0.75</v>
      </c>
      <c r="M510" s="107" t="s">
        <v>540</v>
      </c>
      <c r="N510" s="107" t="s">
        <v>530</v>
      </c>
      <c r="O510" s="107" t="s">
        <v>543</v>
      </c>
      <c r="P510" s="104" t="s">
        <v>23</v>
      </c>
      <c r="Q510" s="104" t="s">
        <v>16</v>
      </c>
      <c r="R510" s="104" t="s">
        <v>109</v>
      </c>
      <c r="S510" s="104">
        <v>5</v>
      </c>
      <c r="T510" s="104">
        <v>11</v>
      </c>
      <c r="U510" s="137">
        <v>32</v>
      </c>
      <c r="V510" s="138">
        <v>352</v>
      </c>
    </row>
    <row r="511" spans="1:22" x14ac:dyDescent="0.25">
      <c r="A511" s="108" t="s">
        <v>283</v>
      </c>
      <c r="B511" s="109" t="s">
        <v>45</v>
      </c>
      <c r="C511" s="109" t="s">
        <v>177</v>
      </c>
      <c r="D511" s="109" t="s">
        <v>86</v>
      </c>
      <c r="E511" s="109" t="s">
        <v>169</v>
      </c>
      <c r="F511" s="109">
        <v>2016</v>
      </c>
      <c r="G511" s="110">
        <v>42828.791666666664</v>
      </c>
      <c r="H511" s="110">
        <v>42842.958333333336</v>
      </c>
      <c r="I511" s="111">
        <v>42828</v>
      </c>
      <c r="J511" s="111">
        <v>42842</v>
      </c>
      <c r="K511" s="112" t="s">
        <v>526</v>
      </c>
      <c r="L511" s="112">
        <v>0.95833333333333337</v>
      </c>
      <c r="M511" s="112" t="s">
        <v>541</v>
      </c>
      <c r="N511" s="112" t="s">
        <v>530</v>
      </c>
      <c r="O511" s="112" t="s">
        <v>543</v>
      </c>
      <c r="P511" s="109" t="s">
        <v>9</v>
      </c>
      <c r="Q511" s="109" t="s">
        <v>26</v>
      </c>
      <c r="R511" s="109" t="s">
        <v>113</v>
      </c>
      <c r="S511" s="109">
        <v>4</v>
      </c>
      <c r="T511" s="109">
        <v>9</v>
      </c>
      <c r="U511" s="139">
        <v>48</v>
      </c>
      <c r="V511" s="140">
        <v>432</v>
      </c>
    </row>
    <row r="512" spans="1:22" x14ac:dyDescent="0.25">
      <c r="A512" s="103" t="s">
        <v>284</v>
      </c>
      <c r="B512" s="104" t="s">
        <v>39</v>
      </c>
      <c r="C512" s="104" t="s">
        <v>177</v>
      </c>
      <c r="D512" s="104" t="s">
        <v>89</v>
      </c>
      <c r="E512" s="104" t="s">
        <v>169</v>
      </c>
      <c r="F512" s="104">
        <v>2016</v>
      </c>
      <c r="G512" s="105">
        <v>42828.791666666664</v>
      </c>
      <c r="H512" s="105">
        <v>42842.958333333336</v>
      </c>
      <c r="I512" s="106">
        <v>42828</v>
      </c>
      <c r="J512" s="106">
        <v>42842</v>
      </c>
      <c r="K512" s="107" t="s">
        <v>526</v>
      </c>
      <c r="L512" s="107">
        <v>0.95833333333333337</v>
      </c>
      <c r="M512" s="107" t="s">
        <v>541</v>
      </c>
      <c r="N512" s="107" t="s">
        <v>530</v>
      </c>
      <c r="O512" s="107" t="s">
        <v>543</v>
      </c>
      <c r="P512" s="104" t="s">
        <v>23</v>
      </c>
      <c r="Q512" s="104" t="s">
        <v>41</v>
      </c>
      <c r="R512" s="104" t="s">
        <v>113</v>
      </c>
      <c r="S512" s="104">
        <v>3</v>
      </c>
      <c r="T512" s="104">
        <v>12</v>
      </c>
      <c r="U512" s="137">
        <v>62</v>
      </c>
      <c r="V512" s="138">
        <v>744</v>
      </c>
    </row>
    <row r="513" spans="1:22" x14ac:dyDescent="0.25">
      <c r="A513" s="108" t="s">
        <v>285</v>
      </c>
      <c r="B513" s="109" t="s">
        <v>39</v>
      </c>
      <c r="C513" s="109" t="s">
        <v>177</v>
      </c>
      <c r="D513" s="109" t="s">
        <v>84</v>
      </c>
      <c r="E513" s="109" t="s">
        <v>172</v>
      </c>
      <c r="F513" s="109">
        <v>2016</v>
      </c>
      <c r="G513" s="110">
        <v>42829.791666666664</v>
      </c>
      <c r="H513" s="110">
        <v>42843.958333333336</v>
      </c>
      <c r="I513" s="111">
        <v>42829</v>
      </c>
      <c r="J513" s="111">
        <v>42843</v>
      </c>
      <c r="K513" s="112" t="s">
        <v>526</v>
      </c>
      <c r="L513" s="112">
        <v>0.95833333333333337</v>
      </c>
      <c r="M513" s="112" t="s">
        <v>541</v>
      </c>
      <c r="N513" s="112" t="s">
        <v>530</v>
      </c>
      <c r="O513" s="112" t="s">
        <v>543</v>
      </c>
      <c r="P513" s="109" t="s">
        <v>9</v>
      </c>
      <c r="Q513" s="109" t="s">
        <v>22</v>
      </c>
      <c r="R513" s="109" t="s">
        <v>109</v>
      </c>
      <c r="S513" s="109">
        <v>2</v>
      </c>
      <c r="T513" s="109">
        <v>10</v>
      </c>
      <c r="U513" s="139">
        <v>52</v>
      </c>
      <c r="V513" s="140">
        <v>520</v>
      </c>
    </row>
    <row r="514" spans="1:22" x14ac:dyDescent="0.25">
      <c r="A514" s="103" t="s">
        <v>286</v>
      </c>
      <c r="B514" s="104" t="s">
        <v>7</v>
      </c>
      <c r="C514" s="104" t="s">
        <v>175</v>
      </c>
      <c r="D514" s="104" t="s">
        <v>85</v>
      </c>
      <c r="E514" s="104" t="s">
        <v>170</v>
      </c>
      <c r="F514" s="104">
        <v>2016</v>
      </c>
      <c r="G514" s="105">
        <v>42830.583333333336</v>
      </c>
      <c r="H514" s="105">
        <v>42844.75</v>
      </c>
      <c r="I514" s="106">
        <v>42830</v>
      </c>
      <c r="J514" s="106">
        <v>42844</v>
      </c>
      <c r="K514" s="107" t="s">
        <v>527</v>
      </c>
      <c r="L514" s="107">
        <v>0.75</v>
      </c>
      <c r="M514" s="107" t="s">
        <v>542</v>
      </c>
      <c r="N514" s="107" t="s">
        <v>530</v>
      </c>
      <c r="O514" s="107" t="s">
        <v>543</v>
      </c>
      <c r="P514" s="104" t="s">
        <v>23</v>
      </c>
      <c r="Q514" s="104" t="s">
        <v>38</v>
      </c>
      <c r="R514" s="104" t="s">
        <v>113</v>
      </c>
      <c r="S514" s="104">
        <v>2</v>
      </c>
      <c r="T514" s="104">
        <v>10</v>
      </c>
      <c r="U514" s="137">
        <v>48</v>
      </c>
      <c r="V514" s="138">
        <v>480</v>
      </c>
    </row>
    <row r="515" spans="1:22" x14ac:dyDescent="0.25">
      <c r="A515" s="108" t="s">
        <v>287</v>
      </c>
      <c r="B515" s="109" t="s">
        <v>39</v>
      </c>
      <c r="C515" s="109" t="s">
        <v>177</v>
      </c>
      <c r="D515" s="109" t="s">
        <v>81</v>
      </c>
      <c r="E515" s="109" t="s">
        <v>172</v>
      </c>
      <c r="F515" s="109">
        <v>2016</v>
      </c>
      <c r="G515" s="110">
        <v>42831.375</v>
      </c>
      <c r="H515" s="110">
        <v>42837.75</v>
      </c>
      <c r="I515" s="111">
        <v>42831</v>
      </c>
      <c r="J515" s="111">
        <v>42837</v>
      </c>
      <c r="K515" s="112" t="s">
        <v>525</v>
      </c>
      <c r="L515" s="112">
        <v>0.75</v>
      </c>
      <c r="M515" s="112" t="s">
        <v>540</v>
      </c>
      <c r="N515" s="112" t="s">
        <v>530</v>
      </c>
      <c r="O515" s="112" t="s">
        <v>543</v>
      </c>
      <c r="P515" s="109" t="s">
        <v>9</v>
      </c>
      <c r="Q515" s="109" t="s">
        <v>190</v>
      </c>
      <c r="R515" s="109" t="s">
        <v>109</v>
      </c>
      <c r="S515" s="109">
        <v>5</v>
      </c>
      <c r="T515" s="109">
        <v>9</v>
      </c>
      <c r="U515" s="139">
        <v>43</v>
      </c>
      <c r="V515" s="140">
        <v>387</v>
      </c>
    </row>
    <row r="516" spans="1:22" x14ac:dyDescent="0.25">
      <c r="A516" s="103" t="s">
        <v>288</v>
      </c>
      <c r="B516" s="104" t="s">
        <v>19</v>
      </c>
      <c r="C516" s="104" t="s">
        <v>176</v>
      </c>
      <c r="D516" s="104" t="s">
        <v>77</v>
      </c>
      <c r="E516" s="104" t="s">
        <v>172</v>
      </c>
      <c r="F516" s="104">
        <v>2016</v>
      </c>
      <c r="G516" s="105">
        <v>42832.333333333336</v>
      </c>
      <c r="H516" s="105">
        <v>42849.5</v>
      </c>
      <c r="I516" s="106">
        <v>42832</v>
      </c>
      <c r="J516" s="106">
        <v>42849</v>
      </c>
      <c r="K516" s="107" t="s">
        <v>522</v>
      </c>
      <c r="L516" s="107">
        <v>0.5</v>
      </c>
      <c r="M516" s="107" t="s">
        <v>539</v>
      </c>
      <c r="N516" s="107" t="s">
        <v>530</v>
      </c>
      <c r="O516" s="107" t="s">
        <v>543</v>
      </c>
      <c r="P516" s="104" t="s">
        <v>9</v>
      </c>
      <c r="Q516" s="104" t="s">
        <v>12</v>
      </c>
      <c r="R516" s="104" t="s">
        <v>113</v>
      </c>
      <c r="S516" s="104">
        <v>3</v>
      </c>
      <c r="T516" s="104">
        <v>12</v>
      </c>
      <c r="U516" s="137">
        <v>35</v>
      </c>
      <c r="V516" s="138">
        <v>420</v>
      </c>
    </row>
    <row r="517" spans="1:22" x14ac:dyDescent="0.25">
      <c r="A517" s="108" t="s">
        <v>289</v>
      </c>
      <c r="B517" s="109" t="s">
        <v>11</v>
      </c>
      <c r="C517" s="109" t="s">
        <v>175</v>
      </c>
      <c r="D517" s="109" t="s">
        <v>76</v>
      </c>
      <c r="E517" s="109" t="s">
        <v>174</v>
      </c>
      <c r="F517" s="109">
        <v>2016</v>
      </c>
      <c r="G517" s="110">
        <v>42833.375</v>
      </c>
      <c r="H517" s="110">
        <v>42838.75</v>
      </c>
      <c r="I517" s="111">
        <v>42833</v>
      </c>
      <c r="J517" s="111">
        <v>42838</v>
      </c>
      <c r="K517" s="112" t="s">
        <v>525</v>
      </c>
      <c r="L517" s="112">
        <v>0.75</v>
      </c>
      <c r="M517" s="112" t="s">
        <v>540</v>
      </c>
      <c r="N517" s="112" t="s">
        <v>530</v>
      </c>
      <c r="O517" s="112" t="s">
        <v>543</v>
      </c>
      <c r="P517" s="109" t="s">
        <v>23</v>
      </c>
      <c r="Q517" s="109" t="s">
        <v>18</v>
      </c>
      <c r="R517" s="109" t="s">
        <v>113</v>
      </c>
      <c r="S517" s="109">
        <v>4</v>
      </c>
      <c r="T517" s="109">
        <v>9</v>
      </c>
      <c r="U517" s="139">
        <v>53</v>
      </c>
      <c r="V517" s="140">
        <v>477</v>
      </c>
    </row>
    <row r="518" spans="1:22" x14ac:dyDescent="0.25">
      <c r="A518" s="103" t="s">
        <v>290</v>
      </c>
      <c r="B518" s="104" t="s">
        <v>11</v>
      </c>
      <c r="C518" s="104" t="s">
        <v>175</v>
      </c>
      <c r="D518" s="104" t="s">
        <v>79</v>
      </c>
      <c r="E518" s="104" t="s">
        <v>168</v>
      </c>
      <c r="F518" s="104">
        <v>2016</v>
      </c>
      <c r="G518" s="105">
        <v>42835.791666666664</v>
      </c>
      <c r="H518" s="105">
        <v>42850.958333333336</v>
      </c>
      <c r="I518" s="106">
        <v>42835</v>
      </c>
      <c r="J518" s="106">
        <v>42850</v>
      </c>
      <c r="K518" s="107" t="s">
        <v>526</v>
      </c>
      <c r="L518" s="107">
        <v>0.95833333333333337</v>
      </c>
      <c r="M518" s="107" t="s">
        <v>541</v>
      </c>
      <c r="N518" s="107" t="s">
        <v>530</v>
      </c>
      <c r="O518" s="107" t="s">
        <v>543</v>
      </c>
      <c r="P518" s="104" t="s">
        <v>23</v>
      </c>
      <c r="Q518" s="104" t="s">
        <v>35</v>
      </c>
      <c r="R518" s="104" t="s">
        <v>109</v>
      </c>
      <c r="S518" s="104">
        <v>5</v>
      </c>
      <c r="T518" s="104">
        <v>8</v>
      </c>
      <c r="U518" s="137">
        <v>48</v>
      </c>
      <c r="V518" s="138">
        <v>384</v>
      </c>
    </row>
    <row r="519" spans="1:22" x14ac:dyDescent="0.25">
      <c r="A519" s="108" t="s">
        <v>291</v>
      </c>
      <c r="B519" s="109" t="s">
        <v>39</v>
      </c>
      <c r="C519" s="109" t="s">
        <v>177</v>
      </c>
      <c r="D519" s="109" t="s">
        <v>78</v>
      </c>
      <c r="E519" s="109" t="s">
        <v>172</v>
      </c>
      <c r="F519" s="109">
        <v>2016</v>
      </c>
      <c r="G519" s="110">
        <v>42835.791666666664</v>
      </c>
      <c r="H519" s="110">
        <v>42850.958333333336</v>
      </c>
      <c r="I519" s="111">
        <v>42835</v>
      </c>
      <c r="J519" s="111">
        <v>42850</v>
      </c>
      <c r="K519" s="112" t="s">
        <v>526</v>
      </c>
      <c r="L519" s="112">
        <v>0.95833333333333337</v>
      </c>
      <c r="M519" s="112" t="s">
        <v>541</v>
      </c>
      <c r="N519" s="112" t="s">
        <v>530</v>
      </c>
      <c r="O519" s="112" t="s">
        <v>543</v>
      </c>
      <c r="P519" s="109" t="s">
        <v>9</v>
      </c>
      <c r="Q519" s="109" t="s">
        <v>38</v>
      </c>
      <c r="R519" s="109" t="s">
        <v>113</v>
      </c>
      <c r="S519" s="109">
        <v>4</v>
      </c>
      <c r="T519" s="109">
        <v>8</v>
      </c>
      <c r="U519" s="139">
        <v>62</v>
      </c>
      <c r="V519" s="140">
        <v>496</v>
      </c>
    </row>
    <row r="520" spans="1:22" x14ac:dyDescent="0.25">
      <c r="A520" s="103" t="s">
        <v>292</v>
      </c>
      <c r="B520" s="104" t="s">
        <v>39</v>
      </c>
      <c r="C520" s="104" t="s">
        <v>177</v>
      </c>
      <c r="D520" s="104" t="s">
        <v>84</v>
      </c>
      <c r="E520" s="104" t="s">
        <v>172</v>
      </c>
      <c r="F520" s="104">
        <v>2016</v>
      </c>
      <c r="G520" s="105">
        <v>42836.791666666664</v>
      </c>
      <c r="H520" s="105">
        <v>42851.958333333336</v>
      </c>
      <c r="I520" s="106">
        <v>42836</v>
      </c>
      <c r="J520" s="106">
        <v>42851</v>
      </c>
      <c r="K520" s="107" t="s">
        <v>526</v>
      </c>
      <c r="L520" s="107">
        <v>0.95833333333333337</v>
      </c>
      <c r="M520" s="107" t="s">
        <v>541</v>
      </c>
      <c r="N520" s="107" t="s">
        <v>530</v>
      </c>
      <c r="O520" s="107" t="s">
        <v>543</v>
      </c>
      <c r="P520" s="104" t="s">
        <v>23</v>
      </c>
      <c r="Q520" s="104" t="s">
        <v>190</v>
      </c>
      <c r="R520" s="104" t="s">
        <v>109</v>
      </c>
      <c r="S520" s="104">
        <v>4</v>
      </c>
      <c r="T520" s="104">
        <v>8</v>
      </c>
      <c r="U520" s="137">
        <v>52</v>
      </c>
      <c r="V520" s="138">
        <v>416</v>
      </c>
    </row>
    <row r="521" spans="1:22" x14ac:dyDescent="0.25">
      <c r="A521" s="108" t="s">
        <v>293</v>
      </c>
      <c r="B521" s="109" t="s">
        <v>17</v>
      </c>
      <c r="C521" s="109" t="s">
        <v>176</v>
      </c>
      <c r="D521" s="109" t="s">
        <v>80</v>
      </c>
      <c r="E521" s="109" t="s">
        <v>173</v>
      </c>
      <c r="F521" s="109">
        <v>2016</v>
      </c>
      <c r="G521" s="110">
        <v>42837.583333333336</v>
      </c>
      <c r="H521" s="110">
        <v>42852.75</v>
      </c>
      <c r="I521" s="111">
        <v>42837</v>
      </c>
      <c r="J521" s="111">
        <v>42852</v>
      </c>
      <c r="K521" s="112" t="s">
        <v>527</v>
      </c>
      <c r="L521" s="112">
        <v>0.75</v>
      </c>
      <c r="M521" s="112" t="s">
        <v>542</v>
      </c>
      <c r="N521" s="112" t="s">
        <v>530</v>
      </c>
      <c r="O521" s="112" t="s">
        <v>543</v>
      </c>
      <c r="P521" s="109" t="s">
        <v>23</v>
      </c>
      <c r="Q521" s="109" t="s">
        <v>37</v>
      </c>
      <c r="R521" s="109" t="s">
        <v>113</v>
      </c>
      <c r="S521" s="109">
        <v>5</v>
      </c>
      <c r="T521" s="109">
        <v>12</v>
      </c>
      <c r="U521" s="139">
        <v>32</v>
      </c>
      <c r="V521" s="140">
        <v>384</v>
      </c>
    </row>
    <row r="522" spans="1:22" x14ac:dyDescent="0.25">
      <c r="A522" s="103" t="s">
        <v>294</v>
      </c>
      <c r="B522" s="104" t="s">
        <v>11</v>
      </c>
      <c r="C522" s="104" t="s">
        <v>175</v>
      </c>
      <c r="D522" s="104" t="s">
        <v>78</v>
      </c>
      <c r="E522" s="104" t="s">
        <v>172</v>
      </c>
      <c r="F522" s="104">
        <v>2016</v>
      </c>
      <c r="G522" s="105">
        <v>42838.375</v>
      </c>
      <c r="H522" s="105">
        <v>42845.75</v>
      </c>
      <c r="I522" s="106">
        <v>42838</v>
      </c>
      <c r="J522" s="106">
        <v>42845</v>
      </c>
      <c r="K522" s="107" t="s">
        <v>525</v>
      </c>
      <c r="L522" s="107">
        <v>0.75</v>
      </c>
      <c r="M522" s="107" t="s">
        <v>540</v>
      </c>
      <c r="N522" s="107" t="s">
        <v>530</v>
      </c>
      <c r="O522" s="107" t="s">
        <v>543</v>
      </c>
      <c r="P522" s="104" t="s">
        <v>23</v>
      </c>
      <c r="Q522" s="104" t="s">
        <v>44</v>
      </c>
      <c r="R522" s="104" t="s">
        <v>113</v>
      </c>
      <c r="S522" s="104">
        <v>2</v>
      </c>
      <c r="T522" s="104">
        <v>8</v>
      </c>
      <c r="U522" s="137">
        <v>62</v>
      </c>
      <c r="V522" s="138">
        <v>496</v>
      </c>
    </row>
    <row r="523" spans="1:22" x14ac:dyDescent="0.25">
      <c r="A523" s="108" t="s">
        <v>295</v>
      </c>
      <c r="B523" s="109" t="s">
        <v>7</v>
      </c>
      <c r="C523" s="109" t="s">
        <v>175</v>
      </c>
      <c r="D523" s="109" t="s">
        <v>77</v>
      </c>
      <c r="E523" s="109" t="s">
        <v>172</v>
      </c>
      <c r="F523" s="109">
        <v>2016</v>
      </c>
      <c r="G523" s="110">
        <v>42839.333333333336</v>
      </c>
      <c r="H523" s="110">
        <v>42853.5</v>
      </c>
      <c r="I523" s="111">
        <v>42839</v>
      </c>
      <c r="J523" s="111">
        <v>42853</v>
      </c>
      <c r="K523" s="112" t="s">
        <v>522</v>
      </c>
      <c r="L523" s="112">
        <v>0.5</v>
      </c>
      <c r="M523" s="112" t="s">
        <v>539</v>
      </c>
      <c r="N523" s="112" t="s">
        <v>530</v>
      </c>
      <c r="O523" s="112" t="s">
        <v>543</v>
      </c>
      <c r="P523" s="109" t="s">
        <v>9</v>
      </c>
      <c r="Q523" s="109" t="s">
        <v>22</v>
      </c>
      <c r="R523" s="109" t="s">
        <v>109</v>
      </c>
      <c r="S523" s="109">
        <v>4</v>
      </c>
      <c r="T523" s="109">
        <v>11</v>
      </c>
      <c r="U523" s="139">
        <v>35</v>
      </c>
      <c r="V523" s="140">
        <v>385</v>
      </c>
    </row>
    <row r="524" spans="1:22" x14ac:dyDescent="0.25">
      <c r="A524" s="103" t="s">
        <v>296</v>
      </c>
      <c r="B524" s="104" t="s">
        <v>14</v>
      </c>
      <c r="C524" s="104" t="s">
        <v>175</v>
      </c>
      <c r="D524" s="104" t="s">
        <v>78</v>
      </c>
      <c r="E524" s="104" t="s">
        <v>172</v>
      </c>
      <c r="F524" s="104">
        <v>2016</v>
      </c>
      <c r="G524" s="105">
        <v>42840.375</v>
      </c>
      <c r="H524" s="105">
        <v>42845.75</v>
      </c>
      <c r="I524" s="106">
        <v>42840</v>
      </c>
      <c r="J524" s="106">
        <v>42845</v>
      </c>
      <c r="K524" s="107" t="s">
        <v>525</v>
      </c>
      <c r="L524" s="107">
        <v>0.75</v>
      </c>
      <c r="M524" s="107" t="s">
        <v>540</v>
      </c>
      <c r="N524" s="107" t="s">
        <v>530</v>
      </c>
      <c r="O524" s="107" t="s">
        <v>543</v>
      </c>
      <c r="P524" s="104" t="s">
        <v>9</v>
      </c>
      <c r="Q524" s="104" t="s">
        <v>41</v>
      </c>
      <c r="R524" s="104" t="s">
        <v>113</v>
      </c>
      <c r="S524" s="104">
        <v>5</v>
      </c>
      <c r="T524" s="104">
        <v>12</v>
      </c>
      <c r="U524" s="137">
        <v>62</v>
      </c>
      <c r="V524" s="138">
        <v>744</v>
      </c>
    </row>
    <row r="525" spans="1:22" x14ac:dyDescent="0.25">
      <c r="A525" s="108" t="s">
        <v>297</v>
      </c>
      <c r="B525" s="109" t="s">
        <v>11</v>
      </c>
      <c r="C525" s="109" t="s">
        <v>175</v>
      </c>
      <c r="D525" s="109" t="s">
        <v>88</v>
      </c>
      <c r="E525" s="109" t="s">
        <v>170</v>
      </c>
      <c r="F525" s="109">
        <v>2016</v>
      </c>
      <c r="G525" s="110">
        <v>42842.791666666664</v>
      </c>
      <c r="H525" s="110">
        <v>42857.958333333336</v>
      </c>
      <c r="I525" s="111">
        <v>42842</v>
      </c>
      <c r="J525" s="111">
        <v>42857</v>
      </c>
      <c r="K525" s="112" t="s">
        <v>526</v>
      </c>
      <c r="L525" s="112">
        <v>0.95833333333333337</v>
      </c>
      <c r="M525" s="112" t="s">
        <v>541</v>
      </c>
      <c r="N525" s="112" t="s">
        <v>530</v>
      </c>
      <c r="O525" s="112" t="s">
        <v>543</v>
      </c>
      <c r="P525" s="109" t="s">
        <v>23</v>
      </c>
      <c r="Q525" s="109" t="s">
        <v>16</v>
      </c>
      <c r="R525" s="109" t="s">
        <v>109</v>
      </c>
      <c r="S525" s="109">
        <v>3</v>
      </c>
      <c r="T525" s="109">
        <v>11</v>
      </c>
      <c r="U525" s="139">
        <v>42</v>
      </c>
      <c r="V525" s="140">
        <v>462</v>
      </c>
    </row>
    <row r="526" spans="1:22" x14ac:dyDescent="0.25">
      <c r="A526" s="103" t="s">
        <v>298</v>
      </c>
      <c r="B526" s="104" t="s">
        <v>19</v>
      </c>
      <c r="C526" s="104" t="s">
        <v>176</v>
      </c>
      <c r="D526" s="104" t="s">
        <v>80</v>
      </c>
      <c r="E526" s="104" t="s">
        <v>173</v>
      </c>
      <c r="F526" s="104">
        <v>2016</v>
      </c>
      <c r="G526" s="105">
        <v>42842.791666666664</v>
      </c>
      <c r="H526" s="105">
        <v>42857.958333333336</v>
      </c>
      <c r="I526" s="106">
        <v>42842</v>
      </c>
      <c r="J526" s="106">
        <v>42857</v>
      </c>
      <c r="K526" s="107" t="s">
        <v>526</v>
      </c>
      <c r="L526" s="107">
        <v>0.95833333333333337</v>
      </c>
      <c r="M526" s="107" t="s">
        <v>541</v>
      </c>
      <c r="N526" s="107" t="s">
        <v>530</v>
      </c>
      <c r="O526" s="107" t="s">
        <v>543</v>
      </c>
      <c r="P526" s="104" t="s">
        <v>23</v>
      </c>
      <c r="Q526" s="104" t="s">
        <v>190</v>
      </c>
      <c r="R526" s="104" t="s">
        <v>109</v>
      </c>
      <c r="S526" s="104">
        <v>5</v>
      </c>
      <c r="T526" s="104">
        <v>12</v>
      </c>
      <c r="U526" s="137">
        <v>32</v>
      </c>
      <c r="V526" s="138">
        <v>384</v>
      </c>
    </row>
    <row r="527" spans="1:22" x14ac:dyDescent="0.25">
      <c r="A527" s="108" t="s">
        <v>299</v>
      </c>
      <c r="B527" s="109" t="s">
        <v>11</v>
      </c>
      <c r="C527" s="109" t="s">
        <v>175</v>
      </c>
      <c r="D527" s="109" t="s">
        <v>84</v>
      </c>
      <c r="E527" s="109" t="s">
        <v>172</v>
      </c>
      <c r="F527" s="109">
        <v>2016</v>
      </c>
      <c r="G527" s="110">
        <v>42843.791666666664</v>
      </c>
      <c r="H527" s="110">
        <v>42858.958333333336</v>
      </c>
      <c r="I527" s="111">
        <v>42843</v>
      </c>
      <c r="J527" s="111">
        <v>42858</v>
      </c>
      <c r="K527" s="112" t="s">
        <v>526</v>
      </c>
      <c r="L527" s="112">
        <v>0.95833333333333337</v>
      </c>
      <c r="M527" s="112" t="s">
        <v>541</v>
      </c>
      <c r="N527" s="112" t="s">
        <v>530</v>
      </c>
      <c r="O527" s="112" t="s">
        <v>543</v>
      </c>
      <c r="P527" s="109" t="s">
        <v>23</v>
      </c>
      <c r="Q527" s="109" t="s">
        <v>37</v>
      </c>
      <c r="R527" s="109" t="s">
        <v>113</v>
      </c>
      <c r="S527" s="109">
        <v>3</v>
      </c>
      <c r="T527" s="109">
        <v>12</v>
      </c>
      <c r="U527" s="139">
        <v>52</v>
      </c>
      <c r="V527" s="140">
        <v>624</v>
      </c>
    </row>
    <row r="528" spans="1:22" x14ac:dyDescent="0.25">
      <c r="A528" s="103" t="s">
        <v>300</v>
      </c>
      <c r="B528" s="104" t="s">
        <v>39</v>
      </c>
      <c r="C528" s="104" t="s">
        <v>177</v>
      </c>
      <c r="D528" s="104" t="s">
        <v>82</v>
      </c>
      <c r="E528" s="104" t="s">
        <v>172</v>
      </c>
      <c r="F528" s="104">
        <v>2016</v>
      </c>
      <c r="G528" s="105">
        <v>42844.583333333336</v>
      </c>
      <c r="H528" s="105">
        <v>42859.75</v>
      </c>
      <c r="I528" s="106">
        <v>42844</v>
      </c>
      <c r="J528" s="106">
        <v>42859</v>
      </c>
      <c r="K528" s="107" t="s">
        <v>527</v>
      </c>
      <c r="L528" s="107">
        <v>0.75</v>
      </c>
      <c r="M528" s="107" t="s">
        <v>542</v>
      </c>
      <c r="N528" s="107" t="s">
        <v>530</v>
      </c>
      <c r="O528" s="107" t="s">
        <v>543</v>
      </c>
      <c r="P528" s="104" t="s">
        <v>23</v>
      </c>
      <c r="Q528" s="104" t="s">
        <v>190</v>
      </c>
      <c r="R528" s="104" t="s">
        <v>109</v>
      </c>
      <c r="S528" s="104">
        <v>3</v>
      </c>
      <c r="T528" s="104">
        <v>11</v>
      </c>
      <c r="U528" s="137">
        <v>75</v>
      </c>
      <c r="V528" s="138">
        <v>825</v>
      </c>
    </row>
    <row r="529" spans="1:22" x14ac:dyDescent="0.25">
      <c r="A529" s="108" t="s">
        <v>301</v>
      </c>
      <c r="B529" s="109" t="s">
        <v>19</v>
      </c>
      <c r="C529" s="109" t="s">
        <v>176</v>
      </c>
      <c r="D529" s="109" t="s">
        <v>84</v>
      </c>
      <c r="E529" s="109" t="s">
        <v>172</v>
      </c>
      <c r="F529" s="109">
        <v>2016</v>
      </c>
      <c r="G529" s="110">
        <v>42845.375</v>
      </c>
      <c r="H529" s="110">
        <v>42852.75</v>
      </c>
      <c r="I529" s="111">
        <v>42845</v>
      </c>
      <c r="J529" s="111">
        <v>42852</v>
      </c>
      <c r="K529" s="112" t="s">
        <v>525</v>
      </c>
      <c r="L529" s="112">
        <v>0.75</v>
      </c>
      <c r="M529" s="112" t="s">
        <v>540</v>
      </c>
      <c r="N529" s="112" t="s">
        <v>530</v>
      </c>
      <c r="O529" s="112" t="s">
        <v>543</v>
      </c>
      <c r="P529" s="109" t="s">
        <v>9</v>
      </c>
      <c r="Q529" s="109" t="s">
        <v>190</v>
      </c>
      <c r="R529" s="109" t="s">
        <v>109</v>
      </c>
      <c r="S529" s="109">
        <v>2</v>
      </c>
      <c r="T529" s="109">
        <v>11</v>
      </c>
      <c r="U529" s="139">
        <v>52</v>
      </c>
      <c r="V529" s="140">
        <v>572</v>
      </c>
    </row>
    <row r="530" spans="1:22" x14ac:dyDescent="0.25">
      <c r="A530" s="103" t="s">
        <v>302</v>
      </c>
      <c r="B530" s="104" t="s">
        <v>11</v>
      </c>
      <c r="C530" s="104" t="s">
        <v>175</v>
      </c>
      <c r="D530" s="104" t="s">
        <v>88</v>
      </c>
      <c r="E530" s="104" t="s">
        <v>170</v>
      </c>
      <c r="F530" s="104">
        <v>2016</v>
      </c>
      <c r="G530" s="105">
        <v>42846.333333333336</v>
      </c>
      <c r="H530" s="105">
        <v>42860.5</v>
      </c>
      <c r="I530" s="106">
        <v>42846</v>
      </c>
      <c r="J530" s="106">
        <v>42860</v>
      </c>
      <c r="K530" s="107" t="s">
        <v>522</v>
      </c>
      <c r="L530" s="107">
        <v>0.5</v>
      </c>
      <c r="M530" s="107" t="s">
        <v>539</v>
      </c>
      <c r="N530" s="107" t="s">
        <v>530</v>
      </c>
      <c r="O530" s="107" t="s">
        <v>543</v>
      </c>
      <c r="P530" s="104" t="s">
        <v>23</v>
      </c>
      <c r="Q530" s="104" t="s">
        <v>16</v>
      </c>
      <c r="R530" s="104" t="s">
        <v>109</v>
      </c>
      <c r="S530" s="104">
        <v>3</v>
      </c>
      <c r="T530" s="104">
        <v>11</v>
      </c>
      <c r="U530" s="137">
        <v>42</v>
      </c>
      <c r="V530" s="138">
        <v>462</v>
      </c>
    </row>
    <row r="531" spans="1:22" x14ac:dyDescent="0.25">
      <c r="A531" s="108" t="s">
        <v>303</v>
      </c>
      <c r="B531" s="109" t="s">
        <v>7</v>
      </c>
      <c r="C531" s="109" t="s">
        <v>175</v>
      </c>
      <c r="D531" s="109" t="s">
        <v>76</v>
      </c>
      <c r="E531" s="109" t="s">
        <v>174</v>
      </c>
      <c r="F531" s="109">
        <v>2016</v>
      </c>
      <c r="G531" s="110">
        <v>42847.375</v>
      </c>
      <c r="H531" s="110">
        <v>42852.75</v>
      </c>
      <c r="I531" s="111">
        <v>42847</v>
      </c>
      <c r="J531" s="111">
        <v>42852</v>
      </c>
      <c r="K531" s="112" t="s">
        <v>525</v>
      </c>
      <c r="L531" s="112">
        <v>0.75</v>
      </c>
      <c r="M531" s="112" t="s">
        <v>540</v>
      </c>
      <c r="N531" s="112" t="s">
        <v>530</v>
      </c>
      <c r="O531" s="112" t="s">
        <v>543</v>
      </c>
      <c r="P531" s="109" t="s">
        <v>9</v>
      </c>
      <c r="Q531" s="109" t="s">
        <v>18</v>
      </c>
      <c r="R531" s="109" t="s">
        <v>113</v>
      </c>
      <c r="S531" s="109">
        <v>4</v>
      </c>
      <c r="T531" s="109">
        <v>12</v>
      </c>
      <c r="U531" s="139">
        <v>53</v>
      </c>
      <c r="V531" s="140">
        <v>636</v>
      </c>
    </row>
    <row r="532" spans="1:22" x14ac:dyDescent="0.25">
      <c r="A532" s="103" t="s">
        <v>304</v>
      </c>
      <c r="B532" s="104" t="s">
        <v>39</v>
      </c>
      <c r="C532" s="104" t="s">
        <v>177</v>
      </c>
      <c r="D532" s="104" t="s">
        <v>80</v>
      </c>
      <c r="E532" s="104" t="s">
        <v>173</v>
      </c>
      <c r="F532" s="104">
        <v>2016</v>
      </c>
      <c r="G532" s="105">
        <v>42849.791666666664</v>
      </c>
      <c r="H532" s="105">
        <v>42863.958333333336</v>
      </c>
      <c r="I532" s="106">
        <v>42849</v>
      </c>
      <c r="J532" s="106">
        <v>42863</v>
      </c>
      <c r="K532" s="107" t="s">
        <v>526</v>
      </c>
      <c r="L532" s="107">
        <v>0.95833333333333337</v>
      </c>
      <c r="M532" s="107" t="s">
        <v>541</v>
      </c>
      <c r="N532" s="107" t="s">
        <v>530</v>
      </c>
      <c r="O532" s="107" t="s">
        <v>543</v>
      </c>
      <c r="P532" s="104" t="s">
        <v>23</v>
      </c>
      <c r="Q532" s="104" t="s">
        <v>16</v>
      </c>
      <c r="R532" s="104" t="s">
        <v>109</v>
      </c>
      <c r="S532" s="104">
        <v>5</v>
      </c>
      <c r="T532" s="104">
        <v>12</v>
      </c>
      <c r="U532" s="137">
        <v>32</v>
      </c>
      <c r="V532" s="138">
        <v>384</v>
      </c>
    </row>
    <row r="533" spans="1:22" x14ac:dyDescent="0.25">
      <c r="A533" s="108" t="s">
        <v>305</v>
      </c>
      <c r="B533" s="109" t="s">
        <v>39</v>
      </c>
      <c r="C533" s="109" t="s">
        <v>177</v>
      </c>
      <c r="D533" s="109" t="s">
        <v>88</v>
      </c>
      <c r="E533" s="109" t="s">
        <v>170</v>
      </c>
      <c r="F533" s="109">
        <v>2016</v>
      </c>
      <c r="G533" s="110">
        <v>42849.791666666664</v>
      </c>
      <c r="H533" s="110">
        <v>42863.958333333336</v>
      </c>
      <c r="I533" s="111">
        <v>42849</v>
      </c>
      <c r="J533" s="111">
        <v>42863</v>
      </c>
      <c r="K533" s="112" t="s">
        <v>526</v>
      </c>
      <c r="L533" s="112">
        <v>0.95833333333333337</v>
      </c>
      <c r="M533" s="112" t="s">
        <v>541</v>
      </c>
      <c r="N533" s="112" t="s">
        <v>530</v>
      </c>
      <c r="O533" s="112" t="s">
        <v>543</v>
      </c>
      <c r="P533" s="109" t="s">
        <v>9</v>
      </c>
      <c r="Q533" s="109" t="s">
        <v>190</v>
      </c>
      <c r="R533" s="109" t="s">
        <v>109</v>
      </c>
      <c r="S533" s="109">
        <v>4</v>
      </c>
      <c r="T533" s="109">
        <v>8</v>
      </c>
      <c r="U533" s="139">
        <v>42</v>
      </c>
      <c r="V533" s="140">
        <v>336</v>
      </c>
    </row>
    <row r="534" spans="1:22" x14ac:dyDescent="0.25">
      <c r="A534" s="103" t="s">
        <v>306</v>
      </c>
      <c r="B534" s="104" t="s">
        <v>45</v>
      </c>
      <c r="C534" s="104" t="s">
        <v>177</v>
      </c>
      <c r="D534" s="104" t="s">
        <v>82</v>
      </c>
      <c r="E534" s="104" t="s">
        <v>172</v>
      </c>
      <c r="F534" s="104">
        <v>2016</v>
      </c>
      <c r="G534" s="105">
        <v>42850.791666666664</v>
      </c>
      <c r="H534" s="105">
        <v>42864.958333333336</v>
      </c>
      <c r="I534" s="106">
        <v>42850</v>
      </c>
      <c r="J534" s="106">
        <v>42864</v>
      </c>
      <c r="K534" s="107" t="s">
        <v>526</v>
      </c>
      <c r="L534" s="107">
        <v>0.95833333333333337</v>
      </c>
      <c r="M534" s="107" t="s">
        <v>541</v>
      </c>
      <c r="N534" s="107" t="s">
        <v>530</v>
      </c>
      <c r="O534" s="107" t="s">
        <v>543</v>
      </c>
      <c r="P534" s="104" t="s">
        <v>23</v>
      </c>
      <c r="Q534" s="104" t="s">
        <v>37</v>
      </c>
      <c r="R534" s="104" t="s">
        <v>113</v>
      </c>
      <c r="S534" s="104">
        <v>3</v>
      </c>
      <c r="T534" s="104">
        <v>11</v>
      </c>
      <c r="U534" s="137">
        <v>75</v>
      </c>
      <c r="V534" s="138">
        <v>825</v>
      </c>
    </row>
    <row r="535" spans="1:22" x14ac:dyDescent="0.25">
      <c r="A535" s="108" t="s">
        <v>307</v>
      </c>
      <c r="B535" s="109" t="s">
        <v>7</v>
      </c>
      <c r="C535" s="109" t="s">
        <v>175</v>
      </c>
      <c r="D535" s="109" t="s">
        <v>80</v>
      </c>
      <c r="E535" s="109" t="s">
        <v>173</v>
      </c>
      <c r="F535" s="109">
        <v>2016</v>
      </c>
      <c r="G535" s="110">
        <v>42851.583333333336</v>
      </c>
      <c r="H535" s="110">
        <v>42865.75</v>
      </c>
      <c r="I535" s="111">
        <v>42851</v>
      </c>
      <c r="J535" s="111">
        <v>42865</v>
      </c>
      <c r="K535" s="112" t="s">
        <v>527</v>
      </c>
      <c r="L535" s="112">
        <v>0.75</v>
      </c>
      <c r="M535" s="112" t="s">
        <v>542</v>
      </c>
      <c r="N535" s="112" t="s">
        <v>530</v>
      </c>
      <c r="O535" s="112" t="s">
        <v>543</v>
      </c>
      <c r="P535" s="109" t="s">
        <v>23</v>
      </c>
      <c r="Q535" s="109" t="s">
        <v>37</v>
      </c>
      <c r="R535" s="109" t="s">
        <v>113</v>
      </c>
      <c r="S535" s="109">
        <v>5</v>
      </c>
      <c r="T535" s="109">
        <v>9</v>
      </c>
      <c r="U535" s="139">
        <v>32</v>
      </c>
      <c r="V535" s="140">
        <v>288</v>
      </c>
    </row>
    <row r="536" spans="1:22" x14ac:dyDescent="0.25">
      <c r="A536" s="103" t="s">
        <v>308</v>
      </c>
      <c r="B536" s="104" t="s">
        <v>14</v>
      </c>
      <c r="C536" s="104" t="s">
        <v>175</v>
      </c>
      <c r="D536" s="104" t="s">
        <v>77</v>
      </c>
      <c r="E536" s="104" t="s">
        <v>172</v>
      </c>
      <c r="F536" s="104">
        <v>2016</v>
      </c>
      <c r="G536" s="105">
        <v>42852.375</v>
      </c>
      <c r="H536" s="105">
        <v>42859.75</v>
      </c>
      <c r="I536" s="106">
        <v>42852</v>
      </c>
      <c r="J536" s="106">
        <v>42859</v>
      </c>
      <c r="K536" s="107" t="s">
        <v>525</v>
      </c>
      <c r="L536" s="107">
        <v>0.75</v>
      </c>
      <c r="M536" s="107" t="s">
        <v>540</v>
      </c>
      <c r="N536" s="107" t="s">
        <v>530</v>
      </c>
      <c r="O536" s="107" t="s">
        <v>543</v>
      </c>
      <c r="P536" s="104" t="s">
        <v>9</v>
      </c>
      <c r="Q536" s="104" t="s">
        <v>31</v>
      </c>
      <c r="R536" s="104" t="s">
        <v>113</v>
      </c>
      <c r="S536" s="104">
        <v>2</v>
      </c>
      <c r="T536" s="104">
        <v>8</v>
      </c>
      <c r="U536" s="137">
        <v>35</v>
      </c>
      <c r="V536" s="138">
        <v>280</v>
      </c>
    </row>
    <row r="537" spans="1:22" x14ac:dyDescent="0.25">
      <c r="A537" s="108" t="s">
        <v>309</v>
      </c>
      <c r="B537" s="109" t="s">
        <v>7</v>
      </c>
      <c r="C537" s="109" t="s">
        <v>175</v>
      </c>
      <c r="D537" s="109" t="s">
        <v>86</v>
      </c>
      <c r="E537" s="109" t="s">
        <v>169</v>
      </c>
      <c r="F537" s="109">
        <v>2016</v>
      </c>
      <c r="G537" s="110">
        <v>42853.333333333336</v>
      </c>
      <c r="H537" s="110">
        <v>42867.5</v>
      </c>
      <c r="I537" s="111">
        <v>42853</v>
      </c>
      <c r="J537" s="111">
        <v>42867</v>
      </c>
      <c r="K537" s="112" t="s">
        <v>522</v>
      </c>
      <c r="L537" s="112">
        <v>0.5</v>
      </c>
      <c r="M537" s="112" t="s">
        <v>539</v>
      </c>
      <c r="N537" s="112" t="s">
        <v>530</v>
      </c>
      <c r="O537" s="112" t="s">
        <v>543</v>
      </c>
      <c r="P537" s="109" t="s">
        <v>9</v>
      </c>
      <c r="Q537" s="109" t="s">
        <v>44</v>
      </c>
      <c r="R537" s="109" t="s">
        <v>113</v>
      </c>
      <c r="S537" s="109">
        <v>2</v>
      </c>
      <c r="T537" s="109">
        <v>8</v>
      </c>
      <c r="U537" s="139">
        <v>48</v>
      </c>
      <c r="V537" s="140">
        <v>384</v>
      </c>
    </row>
    <row r="538" spans="1:22" x14ac:dyDescent="0.25">
      <c r="A538" s="103" t="s">
        <v>310</v>
      </c>
      <c r="B538" s="104" t="s">
        <v>29</v>
      </c>
      <c r="C538" s="104" t="s">
        <v>177</v>
      </c>
      <c r="D538" s="104" t="s">
        <v>82</v>
      </c>
      <c r="E538" s="104" t="s">
        <v>172</v>
      </c>
      <c r="F538" s="104">
        <v>2016</v>
      </c>
      <c r="G538" s="105">
        <v>42854.375</v>
      </c>
      <c r="H538" s="105">
        <v>42860.75</v>
      </c>
      <c r="I538" s="106">
        <v>42854</v>
      </c>
      <c r="J538" s="106">
        <v>42860</v>
      </c>
      <c r="K538" s="107" t="s">
        <v>525</v>
      </c>
      <c r="L538" s="107">
        <v>0.75</v>
      </c>
      <c r="M538" s="107" t="s">
        <v>540</v>
      </c>
      <c r="N538" s="107" t="s">
        <v>530</v>
      </c>
      <c r="O538" s="107" t="s">
        <v>543</v>
      </c>
      <c r="P538" s="104" t="s">
        <v>23</v>
      </c>
      <c r="Q538" s="104" t="s">
        <v>38</v>
      </c>
      <c r="R538" s="104" t="s">
        <v>113</v>
      </c>
      <c r="S538" s="104">
        <v>2</v>
      </c>
      <c r="T538" s="104">
        <v>11</v>
      </c>
      <c r="U538" s="137">
        <v>75</v>
      </c>
      <c r="V538" s="138">
        <v>825</v>
      </c>
    </row>
    <row r="539" spans="1:22" x14ac:dyDescent="0.25">
      <c r="A539" s="108" t="s">
        <v>311</v>
      </c>
      <c r="B539" s="109" t="s">
        <v>11</v>
      </c>
      <c r="C539" s="109" t="s">
        <v>175</v>
      </c>
      <c r="D539" s="109" t="s">
        <v>88</v>
      </c>
      <c r="E539" s="109" t="s">
        <v>170</v>
      </c>
      <c r="F539" s="109">
        <v>2016</v>
      </c>
      <c r="G539" s="110">
        <v>42856.791666666664</v>
      </c>
      <c r="H539" s="110">
        <v>42867.958333333336</v>
      </c>
      <c r="I539" s="111">
        <v>42856</v>
      </c>
      <c r="J539" s="111">
        <v>42867</v>
      </c>
      <c r="K539" s="112" t="s">
        <v>526</v>
      </c>
      <c r="L539" s="112">
        <v>0.95833333333333337</v>
      </c>
      <c r="M539" s="112" t="s">
        <v>541</v>
      </c>
      <c r="N539" s="112" t="s">
        <v>531</v>
      </c>
      <c r="O539" s="112" t="s">
        <v>543</v>
      </c>
      <c r="P539" s="109" t="s">
        <v>9</v>
      </c>
      <c r="Q539" s="109" t="s">
        <v>18</v>
      </c>
      <c r="R539" s="109" t="s">
        <v>113</v>
      </c>
      <c r="S539" s="109">
        <v>5</v>
      </c>
      <c r="T539" s="109">
        <v>12</v>
      </c>
      <c r="U539" s="139">
        <v>42</v>
      </c>
      <c r="V539" s="140">
        <v>504</v>
      </c>
    </row>
    <row r="540" spans="1:22" x14ac:dyDescent="0.25">
      <c r="A540" s="103" t="s">
        <v>312</v>
      </c>
      <c r="B540" s="104" t="s">
        <v>19</v>
      </c>
      <c r="C540" s="104" t="s">
        <v>176</v>
      </c>
      <c r="D540" s="104" t="s">
        <v>82</v>
      </c>
      <c r="E540" s="104" t="s">
        <v>172</v>
      </c>
      <c r="F540" s="104">
        <v>2016</v>
      </c>
      <c r="G540" s="105">
        <v>42856.791666666664</v>
      </c>
      <c r="H540" s="105">
        <v>42867.958333333336</v>
      </c>
      <c r="I540" s="106">
        <v>42856</v>
      </c>
      <c r="J540" s="106">
        <v>42867</v>
      </c>
      <c r="K540" s="107" t="s">
        <v>526</v>
      </c>
      <c r="L540" s="107">
        <v>0.95833333333333337</v>
      </c>
      <c r="M540" s="107" t="s">
        <v>541</v>
      </c>
      <c r="N540" s="107" t="s">
        <v>531</v>
      </c>
      <c r="O540" s="107" t="s">
        <v>543</v>
      </c>
      <c r="P540" s="104" t="s">
        <v>23</v>
      </c>
      <c r="Q540" s="104" t="s">
        <v>16</v>
      </c>
      <c r="R540" s="104" t="s">
        <v>109</v>
      </c>
      <c r="S540" s="104">
        <v>4</v>
      </c>
      <c r="T540" s="104">
        <v>12</v>
      </c>
      <c r="U540" s="137">
        <v>75</v>
      </c>
      <c r="V540" s="138">
        <v>900</v>
      </c>
    </row>
    <row r="541" spans="1:22" x14ac:dyDescent="0.25">
      <c r="A541" s="108" t="s">
        <v>313</v>
      </c>
      <c r="B541" s="109" t="s">
        <v>22</v>
      </c>
      <c r="C541" s="109" t="s">
        <v>176</v>
      </c>
      <c r="D541" s="109" t="s">
        <v>89</v>
      </c>
      <c r="E541" s="109" t="s">
        <v>169</v>
      </c>
      <c r="F541" s="109">
        <v>2016</v>
      </c>
      <c r="G541" s="110">
        <v>42857.791666666664</v>
      </c>
      <c r="H541" s="110">
        <v>42870.958333333336</v>
      </c>
      <c r="I541" s="111">
        <v>42857</v>
      </c>
      <c r="J541" s="111">
        <v>42870</v>
      </c>
      <c r="K541" s="112" t="s">
        <v>526</v>
      </c>
      <c r="L541" s="112">
        <v>0.95833333333333337</v>
      </c>
      <c r="M541" s="112" t="s">
        <v>541</v>
      </c>
      <c r="N541" s="112" t="s">
        <v>531</v>
      </c>
      <c r="O541" s="112" t="s">
        <v>543</v>
      </c>
      <c r="P541" s="109" t="s">
        <v>23</v>
      </c>
      <c r="Q541" s="109" t="s">
        <v>18</v>
      </c>
      <c r="R541" s="109" t="s">
        <v>113</v>
      </c>
      <c r="S541" s="109">
        <v>3</v>
      </c>
      <c r="T541" s="109">
        <v>12</v>
      </c>
      <c r="U541" s="139">
        <v>62</v>
      </c>
      <c r="V541" s="140">
        <v>744</v>
      </c>
    </row>
    <row r="542" spans="1:22" x14ac:dyDescent="0.25">
      <c r="A542" s="103" t="s">
        <v>314</v>
      </c>
      <c r="B542" s="104" t="s">
        <v>7</v>
      </c>
      <c r="C542" s="104" t="s">
        <v>175</v>
      </c>
      <c r="D542" s="104" t="s">
        <v>78</v>
      </c>
      <c r="E542" s="104" t="s">
        <v>172</v>
      </c>
      <c r="F542" s="104">
        <v>2016</v>
      </c>
      <c r="G542" s="105">
        <v>42858.583333333336</v>
      </c>
      <c r="H542" s="105">
        <v>42871.75</v>
      </c>
      <c r="I542" s="106">
        <v>42858</v>
      </c>
      <c r="J542" s="106">
        <v>42871</v>
      </c>
      <c r="K542" s="107" t="s">
        <v>527</v>
      </c>
      <c r="L542" s="107">
        <v>0.75</v>
      </c>
      <c r="M542" s="107" t="s">
        <v>542</v>
      </c>
      <c r="N542" s="107" t="s">
        <v>531</v>
      </c>
      <c r="O542" s="107" t="s">
        <v>543</v>
      </c>
      <c r="P542" s="104" t="s">
        <v>9</v>
      </c>
      <c r="Q542" s="104" t="s">
        <v>38</v>
      </c>
      <c r="R542" s="104" t="s">
        <v>113</v>
      </c>
      <c r="S542" s="104">
        <v>2</v>
      </c>
      <c r="T542" s="104">
        <v>11</v>
      </c>
      <c r="U542" s="137">
        <v>62</v>
      </c>
      <c r="V542" s="138">
        <v>682</v>
      </c>
    </row>
    <row r="543" spans="1:22" x14ac:dyDescent="0.25">
      <c r="A543" s="108" t="s">
        <v>315</v>
      </c>
      <c r="B543" s="109" t="s">
        <v>29</v>
      </c>
      <c r="C543" s="109" t="s">
        <v>177</v>
      </c>
      <c r="D543" s="109" t="s">
        <v>80</v>
      </c>
      <c r="E543" s="109" t="s">
        <v>173</v>
      </c>
      <c r="F543" s="109">
        <v>2016</v>
      </c>
      <c r="G543" s="110">
        <v>42859.375</v>
      </c>
      <c r="H543" s="110">
        <v>42865.75</v>
      </c>
      <c r="I543" s="111">
        <v>42859</v>
      </c>
      <c r="J543" s="111">
        <v>42865</v>
      </c>
      <c r="K543" s="112" t="s">
        <v>525</v>
      </c>
      <c r="L543" s="112">
        <v>0.75</v>
      </c>
      <c r="M543" s="112" t="s">
        <v>540</v>
      </c>
      <c r="N543" s="112" t="s">
        <v>531</v>
      </c>
      <c r="O543" s="112" t="s">
        <v>543</v>
      </c>
      <c r="P543" s="109" t="s">
        <v>23</v>
      </c>
      <c r="Q543" s="109" t="s">
        <v>18</v>
      </c>
      <c r="R543" s="109" t="s">
        <v>113</v>
      </c>
      <c r="S543" s="109">
        <v>3</v>
      </c>
      <c r="T543" s="109">
        <v>12</v>
      </c>
      <c r="U543" s="139">
        <v>32</v>
      </c>
      <c r="V543" s="140">
        <v>384</v>
      </c>
    </row>
    <row r="544" spans="1:22" x14ac:dyDescent="0.25">
      <c r="A544" s="103" t="s">
        <v>316</v>
      </c>
      <c r="B544" s="104" t="s">
        <v>45</v>
      </c>
      <c r="C544" s="104" t="s">
        <v>177</v>
      </c>
      <c r="D544" s="104" t="s">
        <v>78</v>
      </c>
      <c r="E544" s="104" t="s">
        <v>172</v>
      </c>
      <c r="F544" s="104">
        <v>2016</v>
      </c>
      <c r="G544" s="105">
        <v>42860.333333333336</v>
      </c>
      <c r="H544" s="105">
        <v>42873.5</v>
      </c>
      <c r="I544" s="106">
        <v>42860</v>
      </c>
      <c r="J544" s="106">
        <v>42873</v>
      </c>
      <c r="K544" s="107" t="s">
        <v>522</v>
      </c>
      <c r="L544" s="107">
        <v>0.5</v>
      </c>
      <c r="M544" s="107" t="s">
        <v>539</v>
      </c>
      <c r="N544" s="107" t="s">
        <v>531</v>
      </c>
      <c r="O544" s="107" t="s">
        <v>543</v>
      </c>
      <c r="P544" s="104" t="s">
        <v>9</v>
      </c>
      <c r="Q544" s="104" t="s">
        <v>44</v>
      </c>
      <c r="R544" s="104" t="s">
        <v>113</v>
      </c>
      <c r="S544" s="104">
        <v>2</v>
      </c>
      <c r="T544" s="104">
        <v>8</v>
      </c>
      <c r="U544" s="137">
        <v>62</v>
      </c>
      <c r="V544" s="138">
        <v>496</v>
      </c>
    </row>
    <row r="545" spans="1:22" x14ac:dyDescent="0.25">
      <c r="A545" s="108" t="s">
        <v>317</v>
      </c>
      <c r="B545" s="109" t="s">
        <v>29</v>
      </c>
      <c r="C545" s="109" t="s">
        <v>177</v>
      </c>
      <c r="D545" s="109" t="s">
        <v>77</v>
      </c>
      <c r="E545" s="109" t="s">
        <v>172</v>
      </c>
      <c r="F545" s="109">
        <v>2016</v>
      </c>
      <c r="G545" s="110">
        <v>42861.375</v>
      </c>
      <c r="H545" s="110">
        <v>42866.75</v>
      </c>
      <c r="I545" s="111">
        <v>42861</v>
      </c>
      <c r="J545" s="111">
        <v>42866</v>
      </c>
      <c r="K545" s="112" t="s">
        <v>525</v>
      </c>
      <c r="L545" s="112">
        <v>0.75</v>
      </c>
      <c r="M545" s="112" t="s">
        <v>540</v>
      </c>
      <c r="N545" s="112" t="s">
        <v>531</v>
      </c>
      <c r="O545" s="112" t="s">
        <v>543</v>
      </c>
      <c r="P545" s="109" t="s">
        <v>9</v>
      </c>
      <c r="Q545" s="109" t="s">
        <v>21</v>
      </c>
      <c r="R545" s="109" t="s">
        <v>113</v>
      </c>
      <c r="S545" s="109">
        <v>4</v>
      </c>
      <c r="T545" s="109">
        <v>12</v>
      </c>
      <c r="U545" s="139">
        <v>35</v>
      </c>
      <c r="V545" s="140">
        <v>420</v>
      </c>
    </row>
    <row r="546" spans="1:22" x14ac:dyDescent="0.25">
      <c r="A546" s="103" t="s">
        <v>318</v>
      </c>
      <c r="B546" s="104" t="s">
        <v>11</v>
      </c>
      <c r="C546" s="104" t="s">
        <v>175</v>
      </c>
      <c r="D546" s="104" t="s">
        <v>85</v>
      </c>
      <c r="E546" s="104" t="s">
        <v>170</v>
      </c>
      <c r="F546" s="104">
        <v>2016</v>
      </c>
      <c r="G546" s="105">
        <v>42863.791666666664</v>
      </c>
      <c r="H546" s="105">
        <v>42874.958333333336</v>
      </c>
      <c r="I546" s="106">
        <v>42863</v>
      </c>
      <c r="J546" s="106">
        <v>42874</v>
      </c>
      <c r="K546" s="107" t="s">
        <v>526</v>
      </c>
      <c r="L546" s="107">
        <v>0.95833333333333337</v>
      </c>
      <c r="M546" s="107" t="s">
        <v>541</v>
      </c>
      <c r="N546" s="107" t="s">
        <v>531</v>
      </c>
      <c r="O546" s="107" t="s">
        <v>543</v>
      </c>
      <c r="P546" s="104" t="s">
        <v>9</v>
      </c>
      <c r="Q546" s="104" t="s">
        <v>190</v>
      </c>
      <c r="R546" s="104" t="s">
        <v>109</v>
      </c>
      <c r="S546" s="104">
        <v>3</v>
      </c>
      <c r="T546" s="104">
        <v>11</v>
      </c>
      <c r="U546" s="137">
        <v>48</v>
      </c>
      <c r="V546" s="138">
        <v>528</v>
      </c>
    </row>
    <row r="547" spans="1:22" x14ac:dyDescent="0.25">
      <c r="A547" s="108" t="s">
        <v>319</v>
      </c>
      <c r="B547" s="109" t="s">
        <v>17</v>
      </c>
      <c r="C547" s="109" t="s">
        <v>176</v>
      </c>
      <c r="D547" s="109" t="s">
        <v>83</v>
      </c>
      <c r="E547" s="109" t="s">
        <v>174</v>
      </c>
      <c r="F547" s="109">
        <v>2016</v>
      </c>
      <c r="G547" s="110">
        <v>42863.791666666664</v>
      </c>
      <c r="H547" s="110">
        <v>42874.958333333336</v>
      </c>
      <c r="I547" s="111">
        <v>42863</v>
      </c>
      <c r="J547" s="111">
        <v>42874</v>
      </c>
      <c r="K547" s="112" t="s">
        <v>526</v>
      </c>
      <c r="L547" s="112">
        <v>0.95833333333333337</v>
      </c>
      <c r="M547" s="112" t="s">
        <v>541</v>
      </c>
      <c r="N547" s="112" t="s">
        <v>531</v>
      </c>
      <c r="O547" s="112" t="s">
        <v>543</v>
      </c>
      <c r="P547" s="109" t="s">
        <v>9</v>
      </c>
      <c r="Q547" s="109" t="s">
        <v>16</v>
      </c>
      <c r="R547" s="109" t="s">
        <v>109</v>
      </c>
      <c r="S547" s="109">
        <v>2</v>
      </c>
      <c r="T547" s="109">
        <v>8</v>
      </c>
      <c r="U547" s="139">
        <v>63</v>
      </c>
      <c r="V547" s="140">
        <v>504</v>
      </c>
    </row>
    <row r="548" spans="1:22" x14ac:dyDescent="0.25">
      <c r="A548" s="103" t="s">
        <v>320</v>
      </c>
      <c r="B548" s="104" t="s">
        <v>17</v>
      </c>
      <c r="C548" s="104" t="s">
        <v>176</v>
      </c>
      <c r="D548" s="104" t="s">
        <v>84</v>
      </c>
      <c r="E548" s="104" t="s">
        <v>172</v>
      </c>
      <c r="F548" s="104">
        <v>2016</v>
      </c>
      <c r="G548" s="105">
        <v>42864.791666666664</v>
      </c>
      <c r="H548" s="105">
        <v>42877.958333333336</v>
      </c>
      <c r="I548" s="106">
        <v>42864</v>
      </c>
      <c r="J548" s="106">
        <v>42877</v>
      </c>
      <c r="K548" s="107" t="s">
        <v>526</v>
      </c>
      <c r="L548" s="107">
        <v>0.95833333333333337</v>
      </c>
      <c r="M548" s="107" t="s">
        <v>541</v>
      </c>
      <c r="N548" s="107" t="s">
        <v>531</v>
      </c>
      <c r="O548" s="107" t="s">
        <v>543</v>
      </c>
      <c r="P548" s="104" t="s">
        <v>9</v>
      </c>
      <c r="Q548" s="104" t="s">
        <v>38</v>
      </c>
      <c r="R548" s="104" t="s">
        <v>113</v>
      </c>
      <c r="S548" s="104">
        <v>2</v>
      </c>
      <c r="T548" s="104">
        <v>11</v>
      </c>
      <c r="U548" s="137">
        <v>52</v>
      </c>
      <c r="V548" s="138">
        <v>572</v>
      </c>
    </row>
    <row r="549" spans="1:22" x14ac:dyDescent="0.25">
      <c r="A549" s="108" t="s">
        <v>321</v>
      </c>
      <c r="B549" s="109" t="s">
        <v>22</v>
      </c>
      <c r="C549" s="109" t="s">
        <v>176</v>
      </c>
      <c r="D549" s="109" t="s">
        <v>80</v>
      </c>
      <c r="E549" s="109" t="s">
        <v>173</v>
      </c>
      <c r="F549" s="109">
        <v>2016</v>
      </c>
      <c r="G549" s="110">
        <v>42865.583333333336</v>
      </c>
      <c r="H549" s="110">
        <v>42878.75</v>
      </c>
      <c r="I549" s="111">
        <v>42865</v>
      </c>
      <c r="J549" s="111">
        <v>42878</v>
      </c>
      <c r="K549" s="112" t="s">
        <v>527</v>
      </c>
      <c r="L549" s="112">
        <v>0.75</v>
      </c>
      <c r="M549" s="112" t="s">
        <v>542</v>
      </c>
      <c r="N549" s="112" t="s">
        <v>531</v>
      </c>
      <c r="O549" s="112" t="s">
        <v>543</v>
      </c>
      <c r="P549" s="109" t="s">
        <v>9</v>
      </c>
      <c r="Q549" s="109" t="s">
        <v>21</v>
      </c>
      <c r="R549" s="109" t="s">
        <v>113</v>
      </c>
      <c r="S549" s="109">
        <v>4</v>
      </c>
      <c r="T549" s="109">
        <v>9</v>
      </c>
      <c r="U549" s="139">
        <v>32</v>
      </c>
      <c r="V549" s="140">
        <v>288</v>
      </c>
    </row>
    <row r="550" spans="1:22" x14ac:dyDescent="0.25">
      <c r="A550" s="103" t="s">
        <v>322</v>
      </c>
      <c r="B550" s="104" t="s">
        <v>29</v>
      </c>
      <c r="C550" s="104" t="s">
        <v>177</v>
      </c>
      <c r="D550" s="104" t="s">
        <v>80</v>
      </c>
      <c r="E550" s="104" t="s">
        <v>173</v>
      </c>
      <c r="F550" s="104">
        <v>2016</v>
      </c>
      <c r="G550" s="105">
        <v>42866.375</v>
      </c>
      <c r="H550" s="105">
        <v>42872.75</v>
      </c>
      <c r="I550" s="106">
        <v>42866</v>
      </c>
      <c r="J550" s="106">
        <v>42872</v>
      </c>
      <c r="K550" s="107" t="s">
        <v>525</v>
      </c>
      <c r="L550" s="107">
        <v>0.75</v>
      </c>
      <c r="M550" s="107" t="s">
        <v>540</v>
      </c>
      <c r="N550" s="107" t="s">
        <v>531</v>
      </c>
      <c r="O550" s="107" t="s">
        <v>543</v>
      </c>
      <c r="P550" s="104" t="s">
        <v>23</v>
      </c>
      <c r="Q550" s="104" t="s">
        <v>12</v>
      </c>
      <c r="R550" s="104" t="s">
        <v>113</v>
      </c>
      <c r="S550" s="104">
        <v>3</v>
      </c>
      <c r="T550" s="104">
        <v>9</v>
      </c>
      <c r="U550" s="137">
        <v>32</v>
      </c>
      <c r="V550" s="138">
        <v>288</v>
      </c>
    </row>
    <row r="551" spans="1:22" x14ac:dyDescent="0.25">
      <c r="A551" s="108" t="s">
        <v>323</v>
      </c>
      <c r="B551" s="109" t="s">
        <v>14</v>
      </c>
      <c r="C551" s="109" t="s">
        <v>175</v>
      </c>
      <c r="D551" s="109" t="s">
        <v>82</v>
      </c>
      <c r="E551" s="109" t="s">
        <v>172</v>
      </c>
      <c r="F551" s="109">
        <v>2016</v>
      </c>
      <c r="G551" s="110">
        <v>42867.333333333336</v>
      </c>
      <c r="H551" s="110">
        <v>42880.5</v>
      </c>
      <c r="I551" s="111">
        <v>42867</v>
      </c>
      <c r="J551" s="111">
        <v>42880</v>
      </c>
      <c r="K551" s="112" t="s">
        <v>522</v>
      </c>
      <c r="L551" s="112">
        <v>0.5</v>
      </c>
      <c r="M551" s="112" t="s">
        <v>539</v>
      </c>
      <c r="N551" s="112" t="s">
        <v>531</v>
      </c>
      <c r="O551" s="112" t="s">
        <v>543</v>
      </c>
      <c r="P551" s="109" t="s">
        <v>9</v>
      </c>
      <c r="Q551" s="109" t="s">
        <v>24</v>
      </c>
      <c r="R551" s="109" t="s">
        <v>113</v>
      </c>
      <c r="S551" s="109">
        <v>5</v>
      </c>
      <c r="T551" s="109">
        <v>8</v>
      </c>
      <c r="U551" s="139">
        <v>75</v>
      </c>
      <c r="V551" s="140">
        <v>600</v>
      </c>
    </row>
    <row r="552" spans="1:22" x14ac:dyDescent="0.25">
      <c r="A552" s="103" t="s">
        <v>324</v>
      </c>
      <c r="B552" s="104" t="s">
        <v>45</v>
      </c>
      <c r="C552" s="104" t="s">
        <v>177</v>
      </c>
      <c r="D552" s="104" t="s">
        <v>84</v>
      </c>
      <c r="E552" s="104" t="s">
        <v>172</v>
      </c>
      <c r="F552" s="104">
        <v>2016</v>
      </c>
      <c r="G552" s="105">
        <v>42868.375</v>
      </c>
      <c r="H552" s="105">
        <v>42873.75</v>
      </c>
      <c r="I552" s="106">
        <v>42868</v>
      </c>
      <c r="J552" s="106">
        <v>42873</v>
      </c>
      <c r="K552" s="107" t="s">
        <v>525</v>
      </c>
      <c r="L552" s="107">
        <v>0.75</v>
      </c>
      <c r="M552" s="107" t="s">
        <v>540</v>
      </c>
      <c r="N552" s="107" t="s">
        <v>531</v>
      </c>
      <c r="O552" s="107" t="s">
        <v>543</v>
      </c>
      <c r="P552" s="104" t="s">
        <v>23</v>
      </c>
      <c r="Q552" s="104" t="s">
        <v>38</v>
      </c>
      <c r="R552" s="104" t="s">
        <v>113</v>
      </c>
      <c r="S552" s="104">
        <v>2</v>
      </c>
      <c r="T552" s="104">
        <v>10</v>
      </c>
      <c r="U552" s="137">
        <v>52</v>
      </c>
      <c r="V552" s="138">
        <v>520</v>
      </c>
    </row>
    <row r="553" spans="1:22" x14ac:dyDescent="0.25">
      <c r="A553" s="108" t="s">
        <v>325</v>
      </c>
      <c r="B553" s="109" t="s">
        <v>19</v>
      </c>
      <c r="C553" s="109" t="s">
        <v>176</v>
      </c>
      <c r="D553" s="109" t="s">
        <v>84</v>
      </c>
      <c r="E553" s="109" t="s">
        <v>172</v>
      </c>
      <c r="F553" s="109">
        <v>2016</v>
      </c>
      <c r="G553" s="110">
        <v>42870.791666666664</v>
      </c>
      <c r="H553" s="110">
        <v>42881.958333333336</v>
      </c>
      <c r="I553" s="111">
        <v>42870</v>
      </c>
      <c r="J553" s="111">
        <v>42881</v>
      </c>
      <c r="K553" s="112" t="s">
        <v>526</v>
      </c>
      <c r="L553" s="112">
        <v>0.95833333333333337</v>
      </c>
      <c r="M553" s="112" t="s">
        <v>541</v>
      </c>
      <c r="N553" s="112" t="s">
        <v>531</v>
      </c>
      <c r="O553" s="112" t="s">
        <v>543</v>
      </c>
      <c r="P553" s="109" t="s">
        <v>23</v>
      </c>
      <c r="Q553" s="109" t="s">
        <v>190</v>
      </c>
      <c r="R553" s="109" t="s">
        <v>109</v>
      </c>
      <c r="S553" s="109">
        <v>5</v>
      </c>
      <c r="T553" s="109">
        <v>11</v>
      </c>
      <c r="U553" s="139">
        <v>52</v>
      </c>
      <c r="V553" s="140">
        <v>572</v>
      </c>
    </row>
    <row r="554" spans="1:22" x14ac:dyDescent="0.25">
      <c r="A554" s="103" t="s">
        <v>326</v>
      </c>
      <c r="B554" s="104" t="s">
        <v>7</v>
      </c>
      <c r="C554" s="104" t="s">
        <v>175</v>
      </c>
      <c r="D554" s="104" t="s">
        <v>80</v>
      </c>
      <c r="E554" s="104" t="s">
        <v>173</v>
      </c>
      <c r="F554" s="104">
        <v>2016</v>
      </c>
      <c r="G554" s="105">
        <v>42870.791666666664</v>
      </c>
      <c r="H554" s="105">
        <v>42881.958333333336</v>
      </c>
      <c r="I554" s="106">
        <v>42870</v>
      </c>
      <c r="J554" s="106">
        <v>42881</v>
      </c>
      <c r="K554" s="107" t="s">
        <v>526</v>
      </c>
      <c r="L554" s="107">
        <v>0.95833333333333337</v>
      </c>
      <c r="M554" s="107" t="s">
        <v>541</v>
      </c>
      <c r="N554" s="107" t="s">
        <v>531</v>
      </c>
      <c r="O554" s="107" t="s">
        <v>543</v>
      </c>
      <c r="P554" s="104" t="s">
        <v>23</v>
      </c>
      <c r="Q554" s="104" t="s">
        <v>28</v>
      </c>
      <c r="R554" s="104" t="s">
        <v>109</v>
      </c>
      <c r="S554" s="104">
        <v>5</v>
      </c>
      <c r="T554" s="104">
        <v>8</v>
      </c>
      <c r="U554" s="137">
        <v>32</v>
      </c>
      <c r="V554" s="138">
        <v>256</v>
      </c>
    </row>
    <row r="555" spans="1:22" x14ac:dyDescent="0.25">
      <c r="A555" s="108" t="s">
        <v>327</v>
      </c>
      <c r="B555" s="109" t="s">
        <v>22</v>
      </c>
      <c r="C555" s="109" t="s">
        <v>176</v>
      </c>
      <c r="D555" s="109" t="s">
        <v>77</v>
      </c>
      <c r="E555" s="109" t="s">
        <v>172</v>
      </c>
      <c r="F555" s="109">
        <v>2016</v>
      </c>
      <c r="G555" s="110">
        <v>42871.791666666664</v>
      </c>
      <c r="H555" s="110">
        <v>42884.958333333336</v>
      </c>
      <c r="I555" s="111">
        <v>42871</v>
      </c>
      <c r="J555" s="111">
        <v>42884</v>
      </c>
      <c r="K555" s="112" t="s">
        <v>526</v>
      </c>
      <c r="L555" s="112">
        <v>0.95833333333333337</v>
      </c>
      <c r="M555" s="112" t="s">
        <v>541</v>
      </c>
      <c r="N555" s="112" t="s">
        <v>531</v>
      </c>
      <c r="O555" s="112" t="s">
        <v>543</v>
      </c>
      <c r="P555" s="109" t="s">
        <v>9</v>
      </c>
      <c r="Q555" s="109" t="s">
        <v>28</v>
      </c>
      <c r="R555" s="109" t="s">
        <v>109</v>
      </c>
      <c r="S555" s="109">
        <v>4</v>
      </c>
      <c r="T555" s="109">
        <v>12</v>
      </c>
      <c r="U555" s="139">
        <v>35</v>
      </c>
      <c r="V555" s="140">
        <v>420</v>
      </c>
    </row>
    <row r="556" spans="1:22" x14ac:dyDescent="0.25">
      <c r="A556" s="103" t="s">
        <v>328</v>
      </c>
      <c r="B556" s="104" t="s">
        <v>14</v>
      </c>
      <c r="C556" s="104" t="s">
        <v>175</v>
      </c>
      <c r="D556" s="104" t="s">
        <v>81</v>
      </c>
      <c r="E556" s="104" t="s">
        <v>172</v>
      </c>
      <c r="F556" s="104">
        <v>2016</v>
      </c>
      <c r="G556" s="105">
        <v>42872.583333333336</v>
      </c>
      <c r="H556" s="105">
        <v>42885.75</v>
      </c>
      <c r="I556" s="106">
        <v>42872</v>
      </c>
      <c r="J556" s="106">
        <v>42885</v>
      </c>
      <c r="K556" s="107" t="s">
        <v>527</v>
      </c>
      <c r="L556" s="107">
        <v>0.75</v>
      </c>
      <c r="M556" s="107" t="s">
        <v>542</v>
      </c>
      <c r="N556" s="107" t="s">
        <v>531</v>
      </c>
      <c r="O556" s="107" t="s">
        <v>543</v>
      </c>
      <c r="P556" s="104" t="s">
        <v>23</v>
      </c>
      <c r="Q556" s="104" t="s">
        <v>22</v>
      </c>
      <c r="R556" s="104" t="s">
        <v>109</v>
      </c>
      <c r="S556" s="104">
        <v>4</v>
      </c>
      <c r="T556" s="104">
        <v>10</v>
      </c>
      <c r="U556" s="137">
        <v>43</v>
      </c>
      <c r="V556" s="138">
        <v>430</v>
      </c>
    </row>
    <row r="557" spans="1:22" x14ac:dyDescent="0.25">
      <c r="A557" s="108" t="s">
        <v>329</v>
      </c>
      <c r="B557" s="109" t="s">
        <v>17</v>
      </c>
      <c r="C557" s="109" t="s">
        <v>176</v>
      </c>
      <c r="D557" s="109" t="s">
        <v>78</v>
      </c>
      <c r="E557" s="109" t="s">
        <v>172</v>
      </c>
      <c r="F557" s="109">
        <v>2016</v>
      </c>
      <c r="G557" s="110">
        <v>42873.375</v>
      </c>
      <c r="H557" s="110">
        <v>42879.75</v>
      </c>
      <c r="I557" s="111">
        <v>42873</v>
      </c>
      <c r="J557" s="111">
        <v>42879</v>
      </c>
      <c r="K557" s="112" t="s">
        <v>525</v>
      </c>
      <c r="L557" s="112">
        <v>0.75</v>
      </c>
      <c r="M557" s="112" t="s">
        <v>540</v>
      </c>
      <c r="N557" s="112" t="s">
        <v>531</v>
      </c>
      <c r="O557" s="112" t="s">
        <v>543</v>
      </c>
      <c r="P557" s="109" t="s">
        <v>9</v>
      </c>
      <c r="Q557" s="109" t="s">
        <v>18</v>
      </c>
      <c r="R557" s="109" t="s">
        <v>113</v>
      </c>
      <c r="S557" s="109">
        <v>5</v>
      </c>
      <c r="T557" s="109">
        <v>10</v>
      </c>
      <c r="U557" s="139">
        <v>62</v>
      </c>
      <c r="V557" s="140">
        <v>620</v>
      </c>
    </row>
    <row r="558" spans="1:22" x14ac:dyDescent="0.25">
      <c r="A558" s="103" t="s">
        <v>330</v>
      </c>
      <c r="B558" s="104" t="s">
        <v>39</v>
      </c>
      <c r="C558" s="104" t="s">
        <v>177</v>
      </c>
      <c r="D558" s="104" t="s">
        <v>78</v>
      </c>
      <c r="E558" s="104" t="s">
        <v>172</v>
      </c>
      <c r="F558" s="104">
        <v>2016</v>
      </c>
      <c r="G558" s="105">
        <v>42874.333333333336</v>
      </c>
      <c r="H558" s="105">
        <v>42887.5</v>
      </c>
      <c r="I558" s="106">
        <v>42874</v>
      </c>
      <c r="J558" s="106">
        <v>42887</v>
      </c>
      <c r="K558" s="107" t="s">
        <v>522</v>
      </c>
      <c r="L558" s="107">
        <v>0.5</v>
      </c>
      <c r="M558" s="107" t="s">
        <v>539</v>
      </c>
      <c r="N558" s="107" t="s">
        <v>531</v>
      </c>
      <c r="O558" s="107" t="s">
        <v>543</v>
      </c>
      <c r="P558" s="104" t="s">
        <v>23</v>
      </c>
      <c r="Q558" s="104" t="s">
        <v>18</v>
      </c>
      <c r="R558" s="104" t="s">
        <v>113</v>
      </c>
      <c r="S558" s="104">
        <v>2</v>
      </c>
      <c r="T558" s="104">
        <v>10</v>
      </c>
      <c r="U558" s="137">
        <v>62</v>
      </c>
      <c r="V558" s="138">
        <v>620</v>
      </c>
    </row>
    <row r="559" spans="1:22" x14ac:dyDescent="0.25">
      <c r="A559" s="108" t="s">
        <v>331</v>
      </c>
      <c r="B559" s="109" t="s">
        <v>19</v>
      </c>
      <c r="C559" s="109" t="s">
        <v>176</v>
      </c>
      <c r="D559" s="109" t="s">
        <v>78</v>
      </c>
      <c r="E559" s="109" t="s">
        <v>172</v>
      </c>
      <c r="F559" s="109">
        <v>2016</v>
      </c>
      <c r="G559" s="110">
        <v>42875.375</v>
      </c>
      <c r="H559" s="110">
        <v>42880.75</v>
      </c>
      <c r="I559" s="111">
        <v>42875</v>
      </c>
      <c r="J559" s="111">
        <v>42880</v>
      </c>
      <c r="K559" s="112" t="s">
        <v>525</v>
      </c>
      <c r="L559" s="112">
        <v>0.75</v>
      </c>
      <c r="M559" s="112" t="s">
        <v>540</v>
      </c>
      <c r="N559" s="112" t="s">
        <v>531</v>
      </c>
      <c r="O559" s="112" t="s">
        <v>543</v>
      </c>
      <c r="P559" s="109" t="s">
        <v>9</v>
      </c>
      <c r="Q559" s="109" t="s">
        <v>38</v>
      </c>
      <c r="R559" s="109" t="s">
        <v>113</v>
      </c>
      <c r="S559" s="109">
        <v>3</v>
      </c>
      <c r="T559" s="109">
        <v>11</v>
      </c>
      <c r="U559" s="139">
        <v>62</v>
      </c>
      <c r="V559" s="140">
        <v>682</v>
      </c>
    </row>
    <row r="560" spans="1:22" x14ac:dyDescent="0.25">
      <c r="A560" s="103" t="s">
        <v>332</v>
      </c>
      <c r="B560" s="104" t="s">
        <v>19</v>
      </c>
      <c r="C560" s="104" t="s">
        <v>176</v>
      </c>
      <c r="D560" s="104" t="s">
        <v>83</v>
      </c>
      <c r="E560" s="104" t="s">
        <v>174</v>
      </c>
      <c r="F560" s="104">
        <v>2016</v>
      </c>
      <c r="G560" s="105">
        <v>42877.791666666664</v>
      </c>
      <c r="H560" s="105">
        <v>42888.958333333336</v>
      </c>
      <c r="I560" s="106">
        <v>42877</v>
      </c>
      <c r="J560" s="106">
        <v>42888</v>
      </c>
      <c r="K560" s="107" t="s">
        <v>526</v>
      </c>
      <c r="L560" s="107">
        <v>0.95833333333333337</v>
      </c>
      <c r="M560" s="107" t="s">
        <v>541</v>
      </c>
      <c r="N560" s="107" t="s">
        <v>531</v>
      </c>
      <c r="O560" s="107" t="s">
        <v>543</v>
      </c>
      <c r="P560" s="104" t="s">
        <v>23</v>
      </c>
      <c r="Q560" s="104" t="s">
        <v>16</v>
      </c>
      <c r="R560" s="104" t="s">
        <v>109</v>
      </c>
      <c r="S560" s="104">
        <v>5</v>
      </c>
      <c r="T560" s="104">
        <v>10</v>
      </c>
      <c r="U560" s="137">
        <v>63</v>
      </c>
      <c r="V560" s="138">
        <v>630</v>
      </c>
    </row>
    <row r="561" spans="1:22" x14ac:dyDescent="0.25">
      <c r="A561" s="108" t="s">
        <v>333</v>
      </c>
      <c r="B561" s="109" t="s">
        <v>22</v>
      </c>
      <c r="C561" s="109" t="s">
        <v>176</v>
      </c>
      <c r="D561" s="109" t="s">
        <v>77</v>
      </c>
      <c r="E561" s="109" t="s">
        <v>172</v>
      </c>
      <c r="F561" s="109">
        <v>2016</v>
      </c>
      <c r="G561" s="110">
        <v>42877.791666666664</v>
      </c>
      <c r="H561" s="110">
        <v>42888.958333333336</v>
      </c>
      <c r="I561" s="111">
        <v>42877</v>
      </c>
      <c r="J561" s="111">
        <v>42888</v>
      </c>
      <c r="K561" s="112" t="s">
        <v>526</v>
      </c>
      <c r="L561" s="112">
        <v>0.95833333333333337</v>
      </c>
      <c r="M561" s="112" t="s">
        <v>541</v>
      </c>
      <c r="N561" s="112" t="s">
        <v>531</v>
      </c>
      <c r="O561" s="112" t="s">
        <v>543</v>
      </c>
      <c r="P561" s="109" t="s">
        <v>9</v>
      </c>
      <c r="Q561" s="109" t="s">
        <v>190</v>
      </c>
      <c r="R561" s="109" t="s">
        <v>109</v>
      </c>
      <c r="S561" s="109">
        <v>5</v>
      </c>
      <c r="T561" s="109">
        <v>9</v>
      </c>
      <c r="U561" s="139">
        <v>35</v>
      </c>
      <c r="V561" s="140">
        <v>315</v>
      </c>
    </row>
    <row r="562" spans="1:22" x14ac:dyDescent="0.25">
      <c r="A562" s="103" t="s">
        <v>334</v>
      </c>
      <c r="B562" s="104" t="s">
        <v>11</v>
      </c>
      <c r="C562" s="104" t="s">
        <v>175</v>
      </c>
      <c r="D562" s="104" t="s">
        <v>80</v>
      </c>
      <c r="E562" s="104" t="s">
        <v>173</v>
      </c>
      <c r="F562" s="104">
        <v>2016</v>
      </c>
      <c r="G562" s="105">
        <v>42878.791666666664</v>
      </c>
      <c r="H562" s="105">
        <v>42891.958333333336</v>
      </c>
      <c r="I562" s="106">
        <v>42878</v>
      </c>
      <c r="J562" s="106">
        <v>42891</v>
      </c>
      <c r="K562" s="107" t="s">
        <v>526</v>
      </c>
      <c r="L562" s="107">
        <v>0.95833333333333337</v>
      </c>
      <c r="M562" s="107" t="s">
        <v>541</v>
      </c>
      <c r="N562" s="107" t="s">
        <v>531</v>
      </c>
      <c r="O562" s="107" t="s">
        <v>543</v>
      </c>
      <c r="P562" s="104" t="s">
        <v>23</v>
      </c>
      <c r="Q562" s="104" t="s">
        <v>21</v>
      </c>
      <c r="R562" s="104" t="s">
        <v>113</v>
      </c>
      <c r="S562" s="104">
        <v>3</v>
      </c>
      <c r="T562" s="104">
        <v>9</v>
      </c>
      <c r="U562" s="137">
        <v>32</v>
      </c>
      <c r="V562" s="138">
        <v>288</v>
      </c>
    </row>
    <row r="563" spans="1:22" x14ac:dyDescent="0.25">
      <c r="A563" s="108" t="s">
        <v>335</v>
      </c>
      <c r="B563" s="109" t="s">
        <v>45</v>
      </c>
      <c r="C563" s="109" t="s">
        <v>177</v>
      </c>
      <c r="D563" s="109" t="s">
        <v>78</v>
      </c>
      <c r="E563" s="109" t="s">
        <v>172</v>
      </c>
      <c r="F563" s="109">
        <v>2016</v>
      </c>
      <c r="G563" s="110">
        <v>42879.583333333336</v>
      </c>
      <c r="H563" s="110">
        <v>42892.75</v>
      </c>
      <c r="I563" s="111">
        <v>42879</v>
      </c>
      <c r="J563" s="111">
        <v>42892</v>
      </c>
      <c r="K563" s="112" t="s">
        <v>527</v>
      </c>
      <c r="L563" s="112">
        <v>0.75</v>
      </c>
      <c r="M563" s="112" t="s">
        <v>542</v>
      </c>
      <c r="N563" s="112" t="s">
        <v>531</v>
      </c>
      <c r="O563" s="112" t="s">
        <v>543</v>
      </c>
      <c r="P563" s="109" t="s">
        <v>9</v>
      </c>
      <c r="Q563" s="109" t="s">
        <v>33</v>
      </c>
      <c r="R563" s="109" t="s">
        <v>113</v>
      </c>
      <c r="S563" s="109">
        <v>3</v>
      </c>
      <c r="T563" s="109">
        <v>9</v>
      </c>
      <c r="U563" s="139">
        <v>62</v>
      </c>
      <c r="V563" s="140">
        <v>558</v>
      </c>
    </row>
    <row r="564" spans="1:22" x14ac:dyDescent="0.25">
      <c r="A564" s="103" t="s">
        <v>336</v>
      </c>
      <c r="B564" s="104" t="s">
        <v>7</v>
      </c>
      <c r="C564" s="104" t="s">
        <v>175</v>
      </c>
      <c r="D564" s="104" t="s">
        <v>82</v>
      </c>
      <c r="E564" s="104" t="s">
        <v>172</v>
      </c>
      <c r="F564" s="104">
        <v>2016</v>
      </c>
      <c r="G564" s="105">
        <v>42880.375</v>
      </c>
      <c r="H564" s="105">
        <v>42886.75</v>
      </c>
      <c r="I564" s="106">
        <v>42880</v>
      </c>
      <c r="J564" s="106">
        <v>42886</v>
      </c>
      <c r="K564" s="107" t="s">
        <v>525</v>
      </c>
      <c r="L564" s="107">
        <v>0.75</v>
      </c>
      <c r="M564" s="107" t="s">
        <v>540</v>
      </c>
      <c r="N564" s="107" t="s">
        <v>531</v>
      </c>
      <c r="O564" s="107" t="s">
        <v>543</v>
      </c>
      <c r="P564" s="104" t="s">
        <v>23</v>
      </c>
      <c r="Q564" s="104" t="s">
        <v>21</v>
      </c>
      <c r="R564" s="104" t="s">
        <v>113</v>
      </c>
      <c r="S564" s="104">
        <v>5</v>
      </c>
      <c r="T564" s="104">
        <v>10</v>
      </c>
      <c r="U564" s="137">
        <v>75</v>
      </c>
      <c r="V564" s="138">
        <v>750</v>
      </c>
    </row>
    <row r="565" spans="1:22" x14ac:dyDescent="0.25">
      <c r="A565" s="108" t="s">
        <v>337</v>
      </c>
      <c r="B565" s="109" t="s">
        <v>22</v>
      </c>
      <c r="C565" s="109" t="s">
        <v>176</v>
      </c>
      <c r="D565" s="109" t="s">
        <v>89</v>
      </c>
      <c r="E565" s="109" t="s">
        <v>169</v>
      </c>
      <c r="F565" s="109">
        <v>2016</v>
      </c>
      <c r="G565" s="110">
        <v>42881.333333333336</v>
      </c>
      <c r="H565" s="110">
        <v>42894.5</v>
      </c>
      <c r="I565" s="111">
        <v>42881</v>
      </c>
      <c r="J565" s="111">
        <v>42894</v>
      </c>
      <c r="K565" s="112" t="s">
        <v>522</v>
      </c>
      <c r="L565" s="112">
        <v>0.5</v>
      </c>
      <c r="M565" s="112" t="s">
        <v>539</v>
      </c>
      <c r="N565" s="112" t="s">
        <v>531</v>
      </c>
      <c r="O565" s="112" t="s">
        <v>543</v>
      </c>
      <c r="P565" s="109" t="s">
        <v>9</v>
      </c>
      <c r="Q565" s="109" t="s">
        <v>28</v>
      </c>
      <c r="R565" s="109" t="s">
        <v>109</v>
      </c>
      <c r="S565" s="109">
        <v>4</v>
      </c>
      <c r="T565" s="109">
        <v>11</v>
      </c>
      <c r="U565" s="139">
        <v>62</v>
      </c>
      <c r="V565" s="140">
        <v>682</v>
      </c>
    </row>
    <row r="566" spans="1:22" x14ac:dyDescent="0.25">
      <c r="A566" s="103" t="s">
        <v>338</v>
      </c>
      <c r="B566" s="104" t="s">
        <v>19</v>
      </c>
      <c r="C566" s="104" t="s">
        <v>176</v>
      </c>
      <c r="D566" s="104" t="s">
        <v>80</v>
      </c>
      <c r="E566" s="104" t="s">
        <v>173</v>
      </c>
      <c r="F566" s="104">
        <v>2016</v>
      </c>
      <c r="G566" s="105">
        <v>42882.375</v>
      </c>
      <c r="H566" s="105">
        <v>42887.75</v>
      </c>
      <c r="I566" s="106">
        <v>42882</v>
      </c>
      <c r="J566" s="106">
        <v>42887</v>
      </c>
      <c r="K566" s="107" t="s">
        <v>525</v>
      </c>
      <c r="L566" s="107">
        <v>0.75</v>
      </c>
      <c r="M566" s="107" t="s">
        <v>540</v>
      </c>
      <c r="N566" s="107" t="s">
        <v>531</v>
      </c>
      <c r="O566" s="107" t="s">
        <v>543</v>
      </c>
      <c r="P566" s="104" t="s">
        <v>23</v>
      </c>
      <c r="Q566" s="104" t="s">
        <v>31</v>
      </c>
      <c r="R566" s="104" t="s">
        <v>113</v>
      </c>
      <c r="S566" s="104">
        <v>4</v>
      </c>
      <c r="T566" s="104">
        <v>12</v>
      </c>
      <c r="U566" s="137">
        <v>32</v>
      </c>
      <c r="V566" s="138">
        <v>384</v>
      </c>
    </row>
    <row r="567" spans="1:22" x14ac:dyDescent="0.25">
      <c r="A567" s="108" t="s">
        <v>339</v>
      </c>
      <c r="B567" s="109" t="s">
        <v>17</v>
      </c>
      <c r="C567" s="109" t="s">
        <v>176</v>
      </c>
      <c r="D567" s="109" t="s">
        <v>78</v>
      </c>
      <c r="E567" s="109" t="s">
        <v>172</v>
      </c>
      <c r="F567" s="109">
        <v>2016</v>
      </c>
      <c r="G567" s="110">
        <v>42884.791666666664</v>
      </c>
      <c r="H567" s="110">
        <v>42895.958333333336</v>
      </c>
      <c r="I567" s="111">
        <v>42884</v>
      </c>
      <c r="J567" s="111">
        <v>42895</v>
      </c>
      <c r="K567" s="112" t="s">
        <v>526</v>
      </c>
      <c r="L567" s="112">
        <v>0.95833333333333337</v>
      </c>
      <c r="M567" s="112" t="s">
        <v>541</v>
      </c>
      <c r="N567" s="112" t="s">
        <v>531</v>
      </c>
      <c r="O567" s="112" t="s">
        <v>543</v>
      </c>
      <c r="P567" s="109" t="s">
        <v>23</v>
      </c>
      <c r="Q567" s="109" t="s">
        <v>16</v>
      </c>
      <c r="R567" s="109" t="s">
        <v>109</v>
      </c>
      <c r="S567" s="109">
        <v>2</v>
      </c>
      <c r="T567" s="109">
        <v>9</v>
      </c>
      <c r="U567" s="139">
        <v>62</v>
      </c>
      <c r="V567" s="140">
        <v>558</v>
      </c>
    </row>
    <row r="568" spans="1:22" x14ac:dyDescent="0.25">
      <c r="A568" s="103" t="s">
        <v>340</v>
      </c>
      <c r="B568" s="104" t="s">
        <v>22</v>
      </c>
      <c r="C568" s="104" t="s">
        <v>176</v>
      </c>
      <c r="D568" s="104" t="s">
        <v>85</v>
      </c>
      <c r="E568" s="104" t="s">
        <v>170</v>
      </c>
      <c r="F568" s="104">
        <v>2016</v>
      </c>
      <c r="G568" s="105">
        <v>42884.791666666664</v>
      </c>
      <c r="H568" s="105">
        <v>42895.958333333336</v>
      </c>
      <c r="I568" s="106">
        <v>42884</v>
      </c>
      <c r="J568" s="106">
        <v>42895</v>
      </c>
      <c r="K568" s="107" t="s">
        <v>526</v>
      </c>
      <c r="L568" s="107">
        <v>0.95833333333333337</v>
      </c>
      <c r="M568" s="107" t="s">
        <v>541</v>
      </c>
      <c r="N568" s="107" t="s">
        <v>531</v>
      </c>
      <c r="O568" s="107" t="s">
        <v>543</v>
      </c>
      <c r="P568" s="104" t="s">
        <v>23</v>
      </c>
      <c r="Q568" s="104" t="s">
        <v>28</v>
      </c>
      <c r="R568" s="104" t="s">
        <v>109</v>
      </c>
      <c r="S568" s="104">
        <v>3</v>
      </c>
      <c r="T568" s="104">
        <v>10</v>
      </c>
      <c r="U568" s="137">
        <v>48</v>
      </c>
      <c r="V568" s="138">
        <v>480</v>
      </c>
    </row>
    <row r="569" spans="1:22" x14ac:dyDescent="0.25">
      <c r="A569" s="108" t="s">
        <v>341</v>
      </c>
      <c r="B569" s="109" t="s">
        <v>22</v>
      </c>
      <c r="C569" s="109" t="s">
        <v>176</v>
      </c>
      <c r="D569" s="109" t="s">
        <v>84</v>
      </c>
      <c r="E569" s="109" t="s">
        <v>172</v>
      </c>
      <c r="F569" s="109">
        <v>2016</v>
      </c>
      <c r="G569" s="110">
        <v>42885.791666666664</v>
      </c>
      <c r="H569" s="110">
        <v>42898.958333333336</v>
      </c>
      <c r="I569" s="111">
        <v>42885</v>
      </c>
      <c r="J569" s="111">
        <v>42898</v>
      </c>
      <c r="K569" s="112" t="s">
        <v>526</v>
      </c>
      <c r="L569" s="112">
        <v>0.95833333333333337</v>
      </c>
      <c r="M569" s="112" t="s">
        <v>541</v>
      </c>
      <c r="N569" s="112" t="s">
        <v>531</v>
      </c>
      <c r="O569" s="112" t="s">
        <v>543</v>
      </c>
      <c r="P569" s="109" t="s">
        <v>23</v>
      </c>
      <c r="Q569" s="109" t="s">
        <v>38</v>
      </c>
      <c r="R569" s="109" t="s">
        <v>113</v>
      </c>
      <c r="S569" s="109">
        <v>3</v>
      </c>
      <c r="T569" s="109">
        <v>11</v>
      </c>
      <c r="U569" s="139">
        <v>52</v>
      </c>
      <c r="V569" s="140">
        <v>572</v>
      </c>
    </row>
    <row r="570" spans="1:22" x14ac:dyDescent="0.25">
      <c r="A570" s="103" t="s">
        <v>342</v>
      </c>
      <c r="B570" s="104" t="s">
        <v>22</v>
      </c>
      <c r="C570" s="104" t="s">
        <v>176</v>
      </c>
      <c r="D570" s="104" t="s">
        <v>86</v>
      </c>
      <c r="E570" s="104" t="s">
        <v>169</v>
      </c>
      <c r="F570" s="104">
        <v>2016</v>
      </c>
      <c r="G570" s="105">
        <v>42886.583333333336</v>
      </c>
      <c r="H570" s="105">
        <v>42899.75</v>
      </c>
      <c r="I570" s="106">
        <v>42886</v>
      </c>
      <c r="J570" s="106">
        <v>42899</v>
      </c>
      <c r="K570" s="107" t="s">
        <v>527</v>
      </c>
      <c r="L570" s="107">
        <v>0.75</v>
      </c>
      <c r="M570" s="107" t="s">
        <v>542</v>
      </c>
      <c r="N570" s="107" t="s">
        <v>531</v>
      </c>
      <c r="O570" s="107" t="s">
        <v>543</v>
      </c>
      <c r="P570" s="104" t="s">
        <v>9</v>
      </c>
      <c r="Q570" s="104" t="s">
        <v>16</v>
      </c>
      <c r="R570" s="104" t="s">
        <v>109</v>
      </c>
      <c r="S570" s="104">
        <v>4</v>
      </c>
      <c r="T570" s="104">
        <v>12</v>
      </c>
      <c r="U570" s="137">
        <v>48</v>
      </c>
      <c r="V570" s="138">
        <v>576</v>
      </c>
    </row>
    <row r="571" spans="1:22" x14ac:dyDescent="0.25">
      <c r="A571" s="108" t="s">
        <v>343</v>
      </c>
      <c r="B571" s="109" t="s">
        <v>29</v>
      </c>
      <c r="C571" s="109" t="s">
        <v>177</v>
      </c>
      <c r="D571" s="109" t="s">
        <v>76</v>
      </c>
      <c r="E571" s="109" t="s">
        <v>174</v>
      </c>
      <c r="F571" s="109">
        <v>2016</v>
      </c>
      <c r="G571" s="110">
        <v>42887.375</v>
      </c>
      <c r="H571" s="110">
        <v>42893.75</v>
      </c>
      <c r="I571" s="111">
        <v>42887</v>
      </c>
      <c r="J571" s="111">
        <v>42893</v>
      </c>
      <c r="K571" s="112" t="s">
        <v>525</v>
      </c>
      <c r="L571" s="112">
        <v>0.75</v>
      </c>
      <c r="M571" s="112" t="s">
        <v>540</v>
      </c>
      <c r="N571" s="112" t="s">
        <v>532</v>
      </c>
      <c r="O571" s="112" t="s">
        <v>543</v>
      </c>
      <c r="P571" s="109" t="s">
        <v>9</v>
      </c>
      <c r="Q571" s="109" t="s">
        <v>12</v>
      </c>
      <c r="R571" s="109" t="s">
        <v>113</v>
      </c>
      <c r="S571" s="109">
        <v>4</v>
      </c>
      <c r="T571" s="109">
        <v>12</v>
      </c>
      <c r="U571" s="139">
        <v>53</v>
      </c>
      <c r="V571" s="140">
        <v>636</v>
      </c>
    </row>
    <row r="572" spans="1:22" x14ac:dyDescent="0.25">
      <c r="A572" s="103" t="s">
        <v>344</v>
      </c>
      <c r="B572" s="104" t="s">
        <v>14</v>
      </c>
      <c r="C572" s="104" t="s">
        <v>175</v>
      </c>
      <c r="D572" s="104" t="s">
        <v>76</v>
      </c>
      <c r="E572" s="104" t="s">
        <v>174</v>
      </c>
      <c r="F572" s="104">
        <v>2016</v>
      </c>
      <c r="G572" s="105">
        <v>42888.333333333336</v>
      </c>
      <c r="H572" s="105">
        <v>42902.5</v>
      </c>
      <c r="I572" s="106">
        <v>42888</v>
      </c>
      <c r="J572" s="106">
        <v>42902</v>
      </c>
      <c r="K572" s="107" t="s">
        <v>522</v>
      </c>
      <c r="L572" s="107">
        <v>0.5</v>
      </c>
      <c r="M572" s="107" t="s">
        <v>539</v>
      </c>
      <c r="N572" s="107" t="s">
        <v>532</v>
      </c>
      <c r="O572" s="107" t="s">
        <v>543</v>
      </c>
      <c r="P572" s="104" t="s">
        <v>23</v>
      </c>
      <c r="Q572" s="104" t="s">
        <v>190</v>
      </c>
      <c r="R572" s="104" t="s">
        <v>109</v>
      </c>
      <c r="S572" s="104">
        <v>5</v>
      </c>
      <c r="T572" s="104">
        <v>9</v>
      </c>
      <c r="U572" s="137">
        <v>53</v>
      </c>
      <c r="V572" s="138">
        <v>477</v>
      </c>
    </row>
    <row r="573" spans="1:22" x14ac:dyDescent="0.25">
      <c r="A573" s="108" t="s">
        <v>345</v>
      </c>
      <c r="B573" s="109" t="s">
        <v>17</v>
      </c>
      <c r="C573" s="109" t="s">
        <v>176</v>
      </c>
      <c r="D573" s="109" t="s">
        <v>83</v>
      </c>
      <c r="E573" s="109" t="s">
        <v>174</v>
      </c>
      <c r="F573" s="109">
        <v>2016</v>
      </c>
      <c r="G573" s="110">
        <v>42889.375</v>
      </c>
      <c r="H573" s="110">
        <v>42894.75</v>
      </c>
      <c r="I573" s="111">
        <v>42889</v>
      </c>
      <c r="J573" s="111">
        <v>42894</v>
      </c>
      <c r="K573" s="112" t="s">
        <v>525</v>
      </c>
      <c r="L573" s="112">
        <v>0.75</v>
      </c>
      <c r="M573" s="112" t="s">
        <v>540</v>
      </c>
      <c r="N573" s="112" t="s">
        <v>532</v>
      </c>
      <c r="O573" s="112" t="s">
        <v>543</v>
      </c>
      <c r="P573" s="109" t="s">
        <v>9</v>
      </c>
      <c r="Q573" s="109" t="s">
        <v>33</v>
      </c>
      <c r="R573" s="109" t="s">
        <v>113</v>
      </c>
      <c r="S573" s="109">
        <v>2</v>
      </c>
      <c r="T573" s="109">
        <v>9</v>
      </c>
      <c r="U573" s="139">
        <v>63</v>
      </c>
      <c r="V573" s="140">
        <v>567</v>
      </c>
    </row>
    <row r="574" spans="1:22" x14ac:dyDescent="0.25">
      <c r="A574" s="103" t="s">
        <v>346</v>
      </c>
      <c r="B574" s="104" t="s">
        <v>7</v>
      </c>
      <c r="C574" s="104" t="s">
        <v>175</v>
      </c>
      <c r="D574" s="104" t="s">
        <v>86</v>
      </c>
      <c r="E574" s="104" t="s">
        <v>169</v>
      </c>
      <c r="F574" s="104">
        <v>2016</v>
      </c>
      <c r="G574" s="105">
        <v>42891.791666666664</v>
      </c>
      <c r="H574" s="105">
        <v>42905.958333333336</v>
      </c>
      <c r="I574" s="106">
        <v>42891</v>
      </c>
      <c r="J574" s="106">
        <v>42905</v>
      </c>
      <c r="K574" s="107" t="s">
        <v>526</v>
      </c>
      <c r="L574" s="107">
        <v>0.95833333333333337</v>
      </c>
      <c r="M574" s="107" t="s">
        <v>541</v>
      </c>
      <c r="N574" s="107" t="s">
        <v>532</v>
      </c>
      <c r="O574" s="107" t="s">
        <v>543</v>
      </c>
      <c r="P574" s="104" t="s">
        <v>9</v>
      </c>
      <c r="Q574" s="104" t="s">
        <v>16</v>
      </c>
      <c r="R574" s="104" t="s">
        <v>109</v>
      </c>
      <c r="S574" s="104">
        <v>3</v>
      </c>
      <c r="T574" s="104">
        <v>10</v>
      </c>
      <c r="U574" s="137">
        <v>48</v>
      </c>
      <c r="V574" s="138">
        <v>480</v>
      </c>
    </row>
    <row r="575" spans="1:22" x14ac:dyDescent="0.25">
      <c r="A575" s="108" t="s">
        <v>347</v>
      </c>
      <c r="B575" s="109" t="s">
        <v>29</v>
      </c>
      <c r="C575" s="109" t="s">
        <v>177</v>
      </c>
      <c r="D575" s="109" t="s">
        <v>82</v>
      </c>
      <c r="E575" s="109" t="s">
        <v>172</v>
      </c>
      <c r="F575" s="109">
        <v>2016</v>
      </c>
      <c r="G575" s="110">
        <v>42891.791666666664</v>
      </c>
      <c r="H575" s="110">
        <v>42905.958333333336</v>
      </c>
      <c r="I575" s="111">
        <v>42891</v>
      </c>
      <c r="J575" s="111">
        <v>42905</v>
      </c>
      <c r="K575" s="112" t="s">
        <v>526</v>
      </c>
      <c r="L575" s="112">
        <v>0.95833333333333337</v>
      </c>
      <c r="M575" s="112" t="s">
        <v>541</v>
      </c>
      <c r="N575" s="112" t="s">
        <v>532</v>
      </c>
      <c r="O575" s="112" t="s">
        <v>543</v>
      </c>
      <c r="P575" s="109" t="s">
        <v>23</v>
      </c>
      <c r="Q575" s="109" t="s">
        <v>190</v>
      </c>
      <c r="R575" s="109" t="s">
        <v>109</v>
      </c>
      <c r="S575" s="109">
        <v>5</v>
      </c>
      <c r="T575" s="109">
        <v>11</v>
      </c>
      <c r="U575" s="139">
        <v>75</v>
      </c>
      <c r="V575" s="140">
        <v>825</v>
      </c>
    </row>
    <row r="576" spans="1:22" x14ac:dyDescent="0.25">
      <c r="A576" s="103" t="s">
        <v>348</v>
      </c>
      <c r="B576" s="104" t="s">
        <v>45</v>
      </c>
      <c r="C576" s="104" t="s">
        <v>177</v>
      </c>
      <c r="D576" s="104" t="s">
        <v>86</v>
      </c>
      <c r="E576" s="104" t="s">
        <v>169</v>
      </c>
      <c r="F576" s="104">
        <v>2016</v>
      </c>
      <c r="G576" s="105">
        <v>42892.791666666664</v>
      </c>
      <c r="H576" s="105">
        <v>42906.958333333336</v>
      </c>
      <c r="I576" s="106">
        <v>42892</v>
      </c>
      <c r="J576" s="106">
        <v>42906</v>
      </c>
      <c r="K576" s="107" t="s">
        <v>526</v>
      </c>
      <c r="L576" s="107">
        <v>0.95833333333333337</v>
      </c>
      <c r="M576" s="107" t="s">
        <v>541</v>
      </c>
      <c r="N576" s="107" t="s">
        <v>532</v>
      </c>
      <c r="O576" s="107" t="s">
        <v>543</v>
      </c>
      <c r="P576" s="104" t="s">
        <v>9</v>
      </c>
      <c r="Q576" s="104" t="s">
        <v>28</v>
      </c>
      <c r="R576" s="104" t="s">
        <v>109</v>
      </c>
      <c r="S576" s="104">
        <v>5</v>
      </c>
      <c r="T576" s="104">
        <v>9</v>
      </c>
      <c r="U576" s="137">
        <v>48</v>
      </c>
      <c r="V576" s="138">
        <v>432</v>
      </c>
    </row>
    <row r="577" spans="1:22" x14ac:dyDescent="0.25">
      <c r="A577" s="108" t="s">
        <v>349</v>
      </c>
      <c r="B577" s="109" t="s">
        <v>7</v>
      </c>
      <c r="C577" s="109" t="s">
        <v>175</v>
      </c>
      <c r="D577" s="109" t="s">
        <v>86</v>
      </c>
      <c r="E577" s="109" t="s">
        <v>169</v>
      </c>
      <c r="F577" s="109">
        <v>2016</v>
      </c>
      <c r="G577" s="110">
        <v>42893.583333333336</v>
      </c>
      <c r="H577" s="110">
        <v>42907.75</v>
      </c>
      <c r="I577" s="111">
        <v>42893</v>
      </c>
      <c r="J577" s="111">
        <v>42907</v>
      </c>
      <c r="K577" s="112" t="s">
        <v>527</v>
      </c>
      <c r="L577" s="112">
        <v>0.75</v>
      </c>
      <c r="M577" s="112" t="s">
        <v>542</v>
      </c>
      <c r="N577" s="112" t="s">
        <v>532</v>
      </c>
      <c r="O577" s="112" t="s">
        <v>543</v>
      </c>
      <c r="P577" s="109" t="s">
        <v>23</v>
      </c>
      <c r="Q577" s="109" t="s">
        <v>24</v>
      </c>
      <c r="R577" s="109" t="s">
        <v>113</v>
      </c>
      <c r="S577" s="109">
        <v>4</v>
      </c>
      <c r="T577" s="109">
        <v>10</v>
      </c>
      <c r="U577" s="139">
        <v>48</v>
      </c>
      <c r="V577" s="140">
        <v>480</v>
      </c>
    </row>
    <row r="578" spans="1:22" x14ac:dyDescent="0.25">
      <c r="A578" s="103" t="s">
        <v>350</v>
      </c>
      <c r="B578" s="104" t="s">
        <v>19</v>
      </c>
      <c r="C578" s="104" t="s">
        <v>176</v>
      </c>
      <c r="D578" s="104" t="s">
        <v>81</v>
      </c>
      <c r="E578" s="104" t="s">
        <v>172</v>
      </c>
      <c r="F578" s="104">
        <v>2016</v>
      </c>
      <c r="G578" s="105">
        <v>42894.375</v>
      </c>
      <c r="H578" s="105">
        <v>42900.75</v>
      </c>
      <c r="I578" s="106">
        <v>42894</v>
      </c>
      <c r="J578" s="106">
        <v>42900</v>
      </c>
      <c r="K578" s="107" t="s">
        <v>525</v>
      </c>
      <c r="L578" s="107">
        <v>0.75</v>
      </c>
      <c r="M578" s="107" t="s">
        <v>540</v>
      </c>
      <c r="N578" s="107" t="s">
        <v>532</v>
      </c>
      <c r="O578" s="107" t="s">
        <v>543</v>
      </c>
      <c r="P578" s="104" t="s">
        <v>9</v>
      </c>
      <c r="Q578" s="104" t="s">
        <v>44</v>
      </c>
      <c r="R578" s="104" t="s">
        <v>113</v>
      </c>
      <c r="S578" s="104">
        <v>4</v>
      </c>
      <c r="T578" s="104">
        <v>12</v>
      </c>
      <c r="U578" s="137">
        <v>43</v>
      </c>
      <c r="V578" s="138">
        <v>516</v>
      </c>
    </row>
    <row r="579" spans="1:22" x14ac:dyDescent="0.25">
      <c r="A579" s="108" t="s">
        <v>351</v>
      </c>
      <c r="B579" s="109" t="s">
        <v>19</v>
      </c>
      <c r="C579" s="109" t="s">
        <v>176</v>
      </c>
      <c r="D579" s="109" t="s">
        <v>86</v>
      </c>
      <c r="E579" s="109" t="s">
        <v>169</v>
      </c>
      <c r="F579" s="109">
        <v>2016</v>
      </c>
      <c r="G579" s="110">
        <v>42895.333333333336</v>
      </c>
      <c r="H579" s="110">
        <v>42909.5</v>
      </c>
      <c r="I579" s="111">
        <v>42895</v>
      </c>
      <c r="J579" s="111">
        <v>42909</v>
      </c>
      <c r="K579" s="112" t="s">
        <v>522</v>
      </c>
      <c r="L579" s="112">
        <v>0.5</v>
      </c>
      <c r="M579" s="112" t="s">
        <v>539</v>
      </c>
      <c r="N579" s="112" t="s">
        <v>532</v>
      </c>
      <c r="O579" s="112" t="s">
        <v>543</v>
      </c>
      <c r="P579" s="109" t="s">
        <v>23</v>
      </c>
      <c r="Q579" s="109" t="s">
        <v>22</v>
      </c>
      <c r="R579" s="109" t="s">
        <v>109</v>
      </c>
      <c r="S579" s="109">
        <v>5</v>
      </c>
      <c r="T579" s="109">
        <v>11</v>
      </c>
      <c r="U579" s="139">
        <v>48</v>
      </c>
      <c r="V579" s="140">
        <v>528</v>
      </c>
    </row>
    <row r="580" spans="1:22" x14ac:dyDescent="0.25">
      <c r="A580" s="103" t="s">
        <v>352</v>
      </c>
      <c r="B580" s="104" t="s">
        <v>14</v>
      </c>
      <c r="C580" s="104" t="s">
        <v>175</v>
      </c>
      <c r="D580" s="104" t="s">
        <v>82</v>
      </c>
      <c r="E580" s="104" t="s">
        <v>172</v>
      </c>
      <c r="F580" s="104">
        <v>2016</v>
      </c>
      <c r="G580" s="105">
        <v>42896.375</v>
      </c>
      <c r="H580" s="105">
        <v>42902.75</v>
      </c>
      <c r="I580" s="106">
        <v>42896</v>
      </c>
      <c r="J580" s="106">
        <v>42902</v>
      </c>
      <c r="K580" s="107" t="s">
        <v>525</v>
      </c>
      <c r="L580" s="107">
        <v>0.75</v>
      </c>
      <c r="M580" s="107" t="s">
        <v>540</v>
      </c>
      <c r="N580" s="107" t="s">
        <v>532</v>
      </c>
      <c r="O580" s="107" t="s">
        <v>543</v>
      </c>
      <c r="P580" s="104" t="s">
        <v>9</v>
      </c>
      <c r="Q580" s="104" t="s">
        <v>38</v>
      </c>
      <c r="R580" s="104" t="s">
        <v>113</v>
      </c>
      <c r="S580" s="104">
        <v>5</v>
      </c>
      <c r="T580" s="104">
        <v>10</v>
      </c>
      <c r="U580" s="137">
        <v>75</v>
      </c>
      <c r="V580" s="138">
        <v>750</v>
      </c>
    </row>
    <row r="581" spans="1:22" x14ac:dyDescent="0.25">
      <c r="A581" s="108" t="s">
        <v>353</v>
      </c>
      <c r="B581" s="109" t="s">
        <v>17</v>
      </c>
      <c r="C581" s="109" t="s">
        <v>176</v>
      </c>
      <c r="D581" s="109" t="s">
        <v>82</v>
      </c>
      <c r="E581" s="109" t="s">
        <v>172</v>
      </c>
      <c r="F581" s="109">
        <v>2016</v>
      </c>
      <c r="G581" s="110">
        <v>42898.791666666664</v>
      </c>
      <c r="H581" s="110">
        <v>42912.958333333336</v>
      </c>
      <c r="I581" s="111">
        <v>42898</v>
      </c>
      <c r="J581" s="111">
        <v>42912</v>
      </c>
      <c r="K581" s="112" t="s">
        <v>526</v>
      </c>
      <c r="L581" s="112">
        <v>0.95833333333333337</v>
      </c>
      <c r="M581" s="112" t="s">
        <v>541</v>
      </c>
      <c r="N581" s="112" t="s">
        <v>532</v>
      </c>
      <c r="O581" s="112" t="s">
        <v>543</v>
      </c>
      <c r="P581" s="109" t="s">
        <v>23</v>
      </c>
      <c r="Q581" s="109" t="s">
        <v>16</v>
      </c>
      <c r="R581" s="109" t="s">
        <v>109</v>
      </c>
      <c r="S581" s="109">
        <v>3</v>
      </c>
      <c r="T581" s="109">
        <v>12</v>
      </c>
      <c r="U581" s="139">
        <v>75</v>
      </c>
      <c r="V581" s="140">
        <v>900</v>
      </c>
    </row>
    <row r="582" spans="1:22" x14ac:dyDescent="0.25">
      <c r="A582" s="103" t="s">
        <v>354</v>
      </c>
      <c r="B582" s="104" t="s">
        <v>39</v>
      </c>
      <c r="C582" s="104" t="s">
        <v>177</v>
      </c>
      <c r="D582" s="104" t="s">
        <v>76</v>
      </c>
      <c r="E582" s="104" t="s">
        <v>174</v>
      </c>
      <c r="F582" s="104">
        <v>2016</v>
      </c>
      <c r="G582" s="105">
        <v>42898.791666666664</v>
      </c>
      <c r="H582" s="105">
        <v>42912.958333333336</v>
      </c>
      <c r="I582" s="106">
        <v>42898</v>
      </c>
      <c r="J582" s="106">
        <v>42912</v>
      </c>
      <c r="K582" s="107" t="s">
        <v>526</v>
      </c>
      <c r="L582" s="107">
        <v>0.95833333333333337</v>
      </c>
      <c r="M582" s="107" t="s">
        <v>541</v>
      </c>
      <c r="N582" s="107" t="s">
        <v>532</v>
      </c>
      <c r="O582" s="107" t="s">
        <v>543</v>
      </c>
      <c r="P582" s="104" t="s">
        <v>9</v>
      </c>
      <c r="Q582" s="104" t="s">
        <v>22</v>
      </c>
      <c r="R582" s="104" t="s">
        <v>109</v>
      </c>
      <c r="S582" s="104">
        <v>4</v>
      </c>
      <c r="T582" s="104">
        <v>8</v>
      </c>
      <c r="U582" s="137">
        <v>53</v>
      </c>
      <c r="V582" s="138">
        <v>424</v>
      </c>
    </row>
    <row r="583" spans="1:22" x14ac:dyDescent="0.25">
      <c r="A583" s="108" t="s">
        <v>355</v>
      </c>
      <c r="B583" s="109" t="s">
        <v>14</v>
      </c>
      <c r="C583" s="109" t="s">
        <v>175</v>
      </c>
      <c r="D583" s="109" t="s">
        <v>79</v>
      </c>
      <c r="E583" s="109" t="s">
        <v>168</v>
      </c>
      <c r="F583" s="109">
        <v>2016</v>
      </c>
      <c r="G583" s="110">
        <v>42899.791666666664</v>
      </c>
      <c r="H583" s="110">
        <v>42913.958333333336</v>
      </c>
      <c r="I583" s="111">
        <v>42899</v>
      </c>
      <c r="J583" s="111">
        <v>42913</v>
      </c>
      <c r="K583" s="112" t="s">
        <v>526</v>
      </c>
      <c r="L583" s="112">
        <v>0.95833333333333337</v>
      </c>
      <c r="M583" s="112" t="s">
        <v>541</v>
      </c>
      <c r="N583" s="112" t="s">
        <v>532</v>
      </c>
      <c r="O583" s="112" t="s">
        <v>543</v>
      </c>
      <c r="P583" s="109" t="s">
        <v>23</v>
      </c>
      <c r="Q583" s="109" t="s">
        <v>38</v>
      </c>
      <c r="R583" s="109" t="s">
        <v>113</v>
      </c>
      <c r="S583" s="109">
        <v>4</v>
      </c>
      <c r="T583" s="109">
        <v>9</v>
      </c>
      <c r="U583" s="139">
        <v>48</v>
      </c>
      <c r="V583" s="140">
        <v>432</v>
      </c>
    </row>
    <row r="584" spans="1:22" x14ac:dyDescent="0.25">
      <c r="A584" s="103" t="s">
        <v>356</v>
      </c>
      <c r="B584" s="104" t="s">
        <v>7</v>
      </c>
      <c r="C584" s="104" t="s">
        <v>175</v>
      </c>
      <c r="D584" s="104" t="s">
        <v>89</v>
      </c>
      <c r="E584" s="104" t="s">
        <v>169</v>
      </c>
      <c r="F584" s="104">
        <v>2016</v>
      </c>
      <c r="G584" s="105">
        <v>42900.583333333336</v>
      </c>
      <c r="H584" s="105">
        <v>42914.75</v>
      </c>
      <c r="I584" s="106">
        <v>42900</v>
      </c>
      <c r="J584" s="106">
        <v>42914</v>
      </c>
      <c r="K584" s="107" t="s">
        <v>527</v>
      </c>
      <c r="L584" s="107">
        <v>0.75</v>
      </c>
      <c r="M584" s="107" t="s">
        <v>542</v>
      </c>
      <c r="N584" s="107" t="s">
        <v>532</v>
      </c>
      <c r="O584" s="107" t="s">
        <v>543</v>
      </c>
      <c r="P584" s="104" t="s">
        <v>23</v>
      </c>
      <c r="Q584" s="104" t="s">
        <v>37</v>
      </c>
      <c r="R584" s="104" t="s">
        <v>113</v>
      </c>
      <c r="S584" s="104">
        <v>4</v>
      </c>
      <c r="T584" s="104">
        <v>9</v>
      </c>
      <c r="U584" s="137">
        <v>62</v>
      </c>
      <c r="V584" s="138">
        <v>558</v>
      </c>
    </row>
    <row r="585" spans="1:22" x14ac:dyDescent="0.25">
      <c r="A585" s="108" t="s">
        <v>357</v>
      </c>
      <c r="B585" s="109" t="s">
        <v>19</v>
      </c>
      <c r="C585" s="109" t="s">
        <v>176</v>
      </c>
      <c r="D585" s="109" t="s">
        <v>83</v>
      </c>
      <c r="E585" s="109" t="s">
        <v>174</v>
      </c>
      <c r="F585" s="109">
        <v>2016</v>
      </c>
      <c r="G585" s="110">
        <v>42901.375</v>
      </c>
      <c r="H585" s="110">
        <v>42907.75</v>
      </c>
      <c r="I585" s="111">
        <v>42901</v>
      </c>
      <c r="J585" s="111">
        <v>42907</v>
      </c>
      <c r="K585" s="112" t="s">
        <v>525</v>
      </c>
      <c r="L585" s="112">
        <v>0.75</v>
      </c>
      <c r="M585" s="112" t="s">
        <v>540</v>
      </c>
      <c r="N585" s="112" t="s">
        <v>532</v>
      </c>
      <c r="O585" s="112" t="s">
        <v>543</v>
      </c>
      <c r="P585" s="109" t="s">
        <v>9</v>
      </c>
      <c r="Q585" s="109" t="s">
        <v>190</v>
      </c>
      <c r="R585" s="109" t="s">
        <v>109</v>
      </c>
      <c r="S585" s="109">
        <v>2</v>
      </c>
      <c r="T585" s="109">
        <v>12</v>
      </c>
      <c r="U585" s="139">
        <v>63</v>
      </c>
      <c r="V585" s="140">
        <v>756</v>
      </c>
    </row>
    <row r="586" spans="1:22" x14ac:dyDescent="0.25">
      <c r="A586" s="103" t="s">
        <v>358</v>
      </c>
      <c r="B586" s="104" t="s">
        <v>17</v>
      </c>
      <c r="C586" s="104" t="s">
        <v>176</v>
      </c>
      <c r="D586" s="104" t="s">
        <v>82</v>
      </c>
      <c r="E586" s="104" t="s">
        <v>172</v>
      </c>
      <c r="F586" s="104">
        <v>2016</v>
      </c>
      <c r="G586" s="105">
        <v>42902.333333333336</v>
      </c>
      <c r="H586" s="105">
        <v>42915.5</v>
      </c>
      <c r="I586" s="106">
        <v>42902</v>
      </c>
      <c r="J586" s="106">
        <v>42915</v>
      </c>
      <c r="K586" s="107" t="s">
        <v>522</v>
      </c>
      <c r="L586" s="107">
        <v>0.5</v>
      </c>
      <c r="M586" s="107" t="s">
        <v>539</v>
      </c>
      <c r="N586" s="107" t="s">
        <v>532</v>
      </c>
      <c r="O586" s="107" t="s">
        <v>543</v>
      </c>
      <c r="P586" s="104" t="s">
        <v>23</v>
      </c>
      <c r="Q586" s="104" t="s">
        <v>16</v>
      </c>
      <c r="R586" s="104" t="s">
        <v>109</v>
      </c>
      <c r="S586" s="104">
        <v>4</v>
      </c>
      <c r="T586" s="104">
        <v>9</v>
      </c>
      <c r="U586" s="137">
        <v>75</v>
      </c>
      <c r="V586" s="138">
        <v>675</v>
      </c>
    </row>
    <row r="587" spans="1:22" x14ac:dyDescent="0.25">
      <c r="A587" s="108" t="s">
        <v>359</v>
      </c>
      <c r="B587" s="109" t="s">
        <v>22</v>
      </c>
      <c r="C587" s="109" t="s">
        <v>176</v>
      </c>
      <c r="D587" s="109" t="s">
        <v>76</v>
      </c>
      <c r="E587" s="109" t="s">
        <v>174</v>
      </c>
      <c r="F587" s="109">
        <v>2016</v>
      </c>
      <c r="G587" s="110">
        <v>42903.375</v>
      </c>
      <c r="H587" s="110">
        <v>42908.75</v>
      </c>
      <c r="I587" s="111">
        <v>42903</v>
      </c>
      <c r="J587" s="111">
        <v>42908</v>
      </c>
      <c r="K587" s="112" t="s">
        <v>525</v>
      </c>
      <c r="L587" s="112">
        <v>0.75</v>
      </c>
      <c r="M587" s="112" t="s">
        <v>540</v>
      </c>
      <c r="N587" s="112" t="s">
        <v>532</v>
      </c>
      <c r="O587" s="112" t="s">
        <v>543</v>
      </c>
      <c r="P587" s="109" t="s">
        <v>9</v>
      </c>
      <c r="Q587" s="109" t="s">
        <v>38</v>
      </c>
      <c r="R587" s="109" t="s">
        <v>113</v>
      </c>
      <c r="S587" s="109">
        <v>4</v>
      </c>
      <c r="T587" s="109">
        <v>11</v>
      </c>
      <c r="U587" s="139">
        <v>53</v>
      </c>
      <c r="V587" s="140">
        <v>583</v>
      </c>
    </row>
    <row r="588" spans="1:22" x14ac:dyDescent="0.25">
      <c r="A588" s="103" t="s">
        <v>360</v>
      </c>
      <c r="B588" s="104" t="s">
        <v>39</v>
      </c>
      <c r="C588" s="104" t="s">
        <v>177</v>
      </c>
      <c r="D588" s="104" t="s">
        <v>83</v>
      </c>
      <c r="E588" s="104" t="s">
        <v>174</v>
      </c>
      <c r="F588" s="104">
        <v>2016</v>
      </c>
      <c r="G588" s="105">
        <v>42905.791666666664</v>
      </c>
      <c r="H588" s="105">
        <v>42916.958333333336</v>
      </c>
      <c r="I588" s="106">
        <v>42905</v>
      </c>
      <c r="J588" s="106">
        <v>42916</v>
      </c>
      <c r="K588" s="107" t="s">
        <v>526</v>
      </c>
      <c r="L588" s="107">
        <v>0.95833333333333337</v>
      </c>
      <c r="M588" s="107" t="s">
        <v>541</v>
      </c>
      <c r="N588" s="107" t="s">
        <v>532</v>
      </c>
      <c r="O588" s="107" t="s">
        <v>543</v>
      </c>
      <c r="P588" s="104" t="s">
        <v>9</v>
      </c>
      <c r="Q588" s="104" t="s">
        <v>44</v>
      </c>
      <c r="R588" s="104" t="s">
        <v>113</v>
      </c>
      <c r="S588" s="104">
        <v>5</v>
      </c>
      <c r="T588" s="104">
        <v>8</v>
      </c>
      <c r="U588" s="137">
        <v>63</v>
      </c>
      <c r="V588" s="138">
        <v>504</v>
      </c>
    </row>
    <row r="589" spans="1:22" x14ac:dyDescent="0.25">
      <c r="A589" s="108" t="s">
        <v>361</v>
      </c>
      <c r="B589" s="109" t="s">
        <v>19</v>
      </c>
      <c r="C589" s="109" t="s">
        <v>176</v>
      </c>
      <c r="D589" s="109" t="s">
        <v>83</v>
      </c>
      <c r="E589" s="109" t="s">
        <v>174</v>
      </c>
      <c r="F589" s="109">
        <v>2016</v>
      </c>
      <c r="G589" s="110">
        <v>42905.791666666664</v>
      </c>
      <c r="H589" s="110">
        <v>42916.958333333336</v>
      </c>
      <c r="I589" s="111">
        <v>42905</v>
      </c>
      <c r="J589" s="111">
        <v>42916</v>
      </c>
      <c r="K589" s="112" t="s">
        <v>526</v>
      </c>
      <c r="L589" s="112">
        <v>0.95833333333333337</v>
      </c>
      <c r="M589" s="112" t="s">
        <v>541</v>
      </c>
      <c r="N589" s="112" t="s">
        <v>532</v>
      </c>
      <c r="O589" s="112" t="s">
        <v>543</v>
      </c>
      <c r="P589" s="109" t="s">
        <v>9</v>
      </c>
      <c r="Q589" s="109" t="s">
        <v>18</v>
      </c>
      <c r="R589" s="109" t="s">
        <v>113</v>
      </c>
      <c r="S589" s="109">
        <v>2</v>
      </c>
      <c r="T589" s="109">
        <v>12</v>
      </c>
      <c r="U589" s="139">
        <v>63</v>
      </c>
      <c r="V589" s="140">
        <v>756</v>
      </c>
    </row>
    <row r="590" spans="1:22" x14ac:dyDescent="0.25">
      <c r="A590" s="103" t="s">
        <v>362</v>
      </c>
      <c r="B590" s="104" t="s">
        <v>14</v>
      </c>
      <c r="C590" s="104" t="s">
        <v>175</v>
      </c>
      <c r="D590" s="104" t="s">
        <v>79</v>
      </c>
      <c r="E590" s="104" t="s">
        <v>168</v>
      </c>
      <c r="F590" s="104">
        <v>2016</v>
      </c>
      <c r="G590" s="105">
        <v>42906.791666666664</v>
      </c>
      <c r="H590" s="105">
        <v>42919.958333333336</v>
      </c>
      <c r="I590" s="106">
        <v>42906</v>
      </c>
      <c r="J590" s="106">
        <v>42919</v>
      </c>
      <c r="K590" s="107" t="s">
        <v>526</v>
      </c>
      <c r="L590" s="107">
        <v>0.95833333333333337</v>
      </c>
      <c r="M590" s="107" t="s">
        <v>541</v>
      </c>
      <c r="N590" s="107" t="s">
        <v>532</v>
      </c>
      <c r="O590" s="107" t="s">
        <v>543</v>
      </c>
      <c r="P590" s="104" t="s">
        <v>9</v>
      </c>
      <c r="Q590" s="104" t="s">
        <v>22</v>
      </c>
      <c r="R590" s="104" t="s">
        <v>109</v>
      </c>
      <c r="S590" s="104">
        <v>5</v>
      </c>
      <c r="T590" s="104">
        <v>9</v>
      </c>
      <c r="U590" s="137">
        <v>48</v>
      </c>
      <c r="V590" s="138">
        <v>432</v>
      </c>
    </row>
    <row r="591" spans="1:22" x14ac:dyDescent="0.25">
      <c r="A591" s="108" t="s">
        <v>363</v>
      </c>
      <c r="B591" s="109" t="s">
        <v>14</v>
      </c>
      <c r="C591" s="109" t="s">
        <v>175</v>
      </c>
      <c r="D591" s="109" t="s">
        <v>86</v>
      </c>
      <c r="E591" s="109" t="s">
        <v>169</v>
      </c>
      <c r="F591" s="109">
        <v>2016</v>
      </c>
      <c r="G591" s="110">
        <v>42907.583333333336</v>
      </c>
      <c r="H591" s="110">
        <v>42920.75</v>
      </c>
      <c r="I591" s="111">
        <v>42907</v>
      </c>
      <c r="J591" s="111">
        <v>42920</v>
      </c>
      <c r="K591" s="112" t="s">
        <v>527</v>
      </c>
      <c r="L591" s="112">
        <v>0.75</v>
      </c>
      <c r="M591" s="112" t="s">
        <v>542</v>
      </c>
      <c r="N591" s="112" t="s">
        <v>532</v>
      </c>
      <c r="O591" s="112" t="s">
        <v>543</v>
      </c>
      <c r="P591" s="109" t="s">
        <v>23</v>
      </c>
      <c r="Q591" s="109" t="s">
        <v>38</v>
      </c>
      <c r="R591" s="109" t="s">
        <v>113</v>
      </c>
      <c r="S591" s="109">
        <v>3</v>
      </c>
      <c r="T591" s="109">
        <v>8</v>
      </c>
      <c r="U591" s="139">
        <v>48</v>
      </c>
      <c r="V591" s="140">
        <v>384</v>
      </c>
    </row>
    <row r="592" spans="1:22" x14ac:dyDescent="0.25">
      <c r="A592" s="103" t="s">
        <v>364</v>
      </c>
      <c r="B592" s="104" t="s">
        <v>19</v>
      </c>
      <c r="C592" s="104" t="s">
        <v>176</v>
      </c>
      <c r="D592" s="104" t="s">
        <v>85</v>
      </c>
      <c r="E592" s="104" t="s">
        <v>170</v>
      </c>
      <c r="F592" s="104">
        <v>2016</v>
      </c>
      <c r="G592" s="105">
        <v>42908.375</v>
      </c>
      <c r="H592" s="105">
        <v>42914.75</v>
      </c>
      <c r="I592" s="106">
        <v>42908</v>
      </c>
      <c r="J592" s="106">
        <v>42914</v>
      </c>
      <c r="K592" s="107" t="s">
        <v>525</v>
      </c>
      <c r="L592" s="107">
        <v>0.75</v>
      </c>
      <c r="M592" s="107" t="s">
        <v>540</v>
      </c>
      <c r="N592" s="107" t="s">
        <v>532</v>
      </c>
      <c r="O592" s="107" t="s">
        <v>543</v>
      </c>
      <c r="P592" s="104" t="s">
        <v>23</v>
      </c>
      <c r="Q592" s="104" t="s">
        <v>18</v>
      </c>
      <c r="R592" s="104" t="s">
        <v>113</v>
      </c>
      <c r="S592" s="104">
        <v>5</v>
      </c>
      <c r="T592" s="104">
        <v>10</v>
      </c>
      <c r="U592" s="137">
        <v>48</v>
      </c>
      <c r="V592" s="138">
        <v>480</v>
      </c>
    </row>
    <row r="593" spans="1:22" x14ac:dyDescent="0.25">
      <c r="A593" s="108" t="s">
        <v>365</v>
      </c>
      <c r="B593" s="109" t="s">
        <v>29</v>
      </c>
      <c r="C593" s="109" t="s">
        <v>177</v>
      </c>
      <c r="D593" s="109" t="s">
        <v>79</v>
      </c>
      <c r="E593" s="109" t="s">
        <v>168</v>
      </c>
      <c r="F593" s="109">
        <v>2016</v>
      </c>
      <c r="G593" s="110">
        <v>42909.333333333336</v>
      </c>
      <c r="H593" s="110">
        <v>42922.5</v>
      </c>
      <c r="I593" s="111">
        <v>42909</v>
      </c>
      <c r="J593" s="111">
        <v>42922</v>
      </c>
      <c r="K593" s="112" t="s">
        <v>522</v>
      </c>
      <c r="L593" s="112">
        <v>0.5</v>
      </c>
      <c r="M593" s="112" t="s">
        <v>539</v>
      </c>
      <c r="N593" s="112" t="s">
        <v>532</v>
      </c>
      <c r="O593" s="112" t="s">
        <v>543</v>
      </c>
      <c r="P593" s="109" t="s">
        <v>23</v>
      </c>
      <c r="Q593" s="109" t="s">
        <v>26</v>
      </c>
      <c r="R593" s="109" t="s">
        <v>113</v>
      </c>
      <c r="S593" s="109">
        <v>4</v>
      </c>
      <c r="T593" s="109">
        <v>9</v>
      </c>
      <c r="U593" s="139">
        <v>48</v>
      </c>
      <c r="V593" s="140">
        <v>432</v>
      </c>
    </row>
    <row r="594" spans="1:22" x14ac:dyDescent="0.25">
      <c r="A594" s="103" t="s">
        <v>366</v>
      </c>
      <c r="B594" s="104" t="s">
        <v>11</v>
      </c>
      <c r="C594" s="104" t="s">
        <v>175</v>
      </c>
      <c r="D594" s="104" t="s">
        <v>89</v>
      </c>
      <c r="E594" s="104" t="s">
        <v>169</v>
      </c>
      <c r="F594" s="104">
        <v>2016</v>
      </c>
      <c r="G594" s="105">
        <v>42910.375</v>
      </c>
      <c r="H594" s="105">
        <v>42915.75</v>
      </c>
      <c r="I594" s="106">
        <v>42910</v>
      </c>
      <c r="J594" s="106">
        <v>42915</v>
      </c>
      <c r="K594" s="107" t="s">
        <v>525</v>
      </c>
      <c r="L594" s="107">
        <v>0.75</v>
      </c>
      <c r="M594" s="107" t="s">
        <v>540</v>
      </c>
      <c r="N594" s="107" t="s">
        <v>532</v>
      </c>
      <c r="O594" s="107" t="s">
        <v>543</v>
      </c>
      <c r="P594" s="104" t="s">
        <v>23</v>
      </c>
      <c r="Q594" s="104" t="s">
        <v>22</v>
      </c>
      <c r="R594" s="104" t="s">
        <v>109</v>
      </c>
      <c r="S594" s="104">
        <v>4</v>
      </c>
      <c r="T594" s="104">
        <v>9</v>
      </c>
      <c r="U594" s="137">
        <v>62</v>
      </c>
      <c r="V594" s="138">
        <v>558</v>
      </c>
    </row>
    <row r="595" spans="1:22" x14ac:dyDescent="0.25">
      <c r="A595" s="108" t="s">
        <v>367</v>
      </c>
      <c r="B595" s="109" t="s">
        <v>11</v>
      </c>
      <c r="C595" s="109" t="s">
        <v>175</v>
      </c>
      <c r="D595" s="109" t="s">
        <v>76</v>
      </c>
      <c r="E595" s="109" t="s">
        <v>174</v>
      </c>
      <c r="F595" s="109">
        <v>2016</v>
      </c>
      <c r="G595" s="110">
        <v>42912.791666666664</v>
      </c>
      <c r="H595" s="110">
        <v>42923.958333333336</v>
      </c>
      <c r="I595" s="111">
        <v>42912</v>
      </c>
      <c r="J595" s="111">
        <v>42923</v>
      </c>
      <c r="K595" s="112" t="s">
        <v>526</v>
      </c>
      <c r="L595" s="112">
        <v>0.95833333333333337</v>
      </c>
      <c r="M595" s="112" t="s">
        <v>541</v>
      </c>
      <c r="N595" s="112" t="s">
        <v>532</v>
      </c>
      <c r="O595" s="112" t="s">
        <v>543</v>
      </c>
      <c r="P595" s="109" t="s">
        <v>9</v>
      </c>
      <c r="Q595" s="109" t="s">
        <v>190</v>
      </c>
      <c r="R595" s="109" t="s">
        <v>109</v>
      </c>
      <c r="S595" s="109">
        <v>5</v>
      </c>
      <c r="T595" s="109">
        <v>10</v>
      </c>
      <c r="U595" s="139">
        <v>53</v>
      </c>
      <c r="V595" s="140">
        <v>530</v>
      </c>
    </row>
    <row r="596" spans="1:22" x14ac:dyDescent="0.25">
      <c r="A596" s="103" t="s">
        <v>368</v>
      </c>
      <c r="B596" s="104" t="s">
        <v>17</v>
      </c>
      <c r="C596" s="104" t="s">
        <v>176</v>
      </c>
      <c r="D596" s="104" t="s">
        <v>88</v>
      </c>
      <c r="E596" s="104" t="s">
        <v>170</v>
      </c>
      <c r="F596" s="104">
        <v>2016</v>
      </c>
      <c r="G596" s="105">
        <v>42912.791666666664</v>
      </c>
      <c r="H596" s="105">
        <v>42923.958333333336</v>
      </c>
      <c r="I596" s="106">
        <v>42912</v>
      </c>
      <c r="J596" s="106">
        <v>42923</v>
      </c>
      <c r="K596" s="107" t="s">
        <v>526</v>
      </c>
      <c r="L596" s="107">
        <v>0.95833333333333337</v>
      </c>
      <c r="M596" s="107" t="s">
        <v>541</v>
      </c>
      <c r="N596" s="107" t="s">
        <v>532</v>
      </c>
      <c r="O596" s="107" t="s">
        <v>543</v>
      </c>
      <c r="P596" s="104" t="s">
        <v>9</v>
      </c>
      <c r="Q596" s="104" t="s">
        <v>190</v>
      </c>
      <c r="R596" s="104" t="s">
        <v>109</v>
      </c>
      <c r="S596" s="104">
        <v>3</v>
      </c>
      <c r="T596" s="104">
        <v>10</v>
      </c>
      <c r="U596" s="137">
        <v>42</v>
      </c>
      <c r="V596" s="138">
        <v>420</v>
      </c>
    </row>
    <row r="597" spans="1:22" x14ac:dyDescent="0.25">
      <c r="A597" s="108" t="s">
        <v>369</v>
      </c>
      <c r="B597" s="109" t="s">
        <v>14</v>
      </c>
      <c r="C597" s="109" t="s">
        <v>175</v>
      </c>
      <c r="D597" s="109" t="s">
        <v>88</v>
      </c>
      <c r="E597" s="109" t="s">
        <v>170</v>
      </c>
      <c r="F597" s="109">
        <v>2016</v>
      </c>
      <c r="G597" s="110">
        <v>42913.791666666664</v>
      </c>
      <c r="H597" s="110">
        <v>42926.958333333336</v>
      </c>
      <c r="I597" s="111">
        <v>42913</v>
      </c>
      <c r="J597" s="111">
        <v>42926</v>
      </c>
      <c r="K597" s="112" t="s">
        <v>526</v>
      </c>
      <c r="L597" s="112">
        <v>0.95833333333333337</v>
      </c>
      <c r="M597" s="112" t="s">
        <v>541</v>
      </c>
      <c r="N597" s="112" t="s">
        <v>532</v>
      </c>
      <c r="O597" s="112" t="s">
        <v>543</v>
      </c>
      <c r="P597" s="109" t="s">
        <v>9</v>
      </c>
      <c r="Q597" s="109" t="s">
        <v>21</v>
      </c>
      <c r="R597" s="109" t="s">
        <v>113</v>
      </c>
      <c r="S597" s="109">
        <v>2</v>
      </c>
      <c r="T597" s="109">
        <v>9</v>
      </c>
      <c r="U597" s="139">
        <v>42</v>
      </c>
      <c r="V597" s="140">
        <v>378</v>
      </c>
    </row>
    <row r="598" spans="1:22" x14ac:dyDescent="0.25">
      <c r="A598" s="103" t="s">
        <v>370</v>
      </c>
      <c r="B598" s="104" t="s">
        <v>19</v>
      </c>
      <c r="C598" s="104" t="s">
        <v>176</v>
      </c>
      <c r="D598" s="104" t="s">
        <v>89</v>
      </c>
      <c r="E598" s="104" t="s">
        <v>169</v>
      </c>
      <c r="F598" s="104">
        <v>2016</v>
      </c>
      <c r="G598" s="105">
        <v>42914.583333333336</v>
      </c>
      <c r="H598" s="105">
        <v>42927.75</v>
      </c>
      <c r="I598" s="106">
        <v>42914</v>
      </c>
      <c r="J598" s="106">
        <v>42927</v>
      </c>
      <c r="K598" s="107" t="s">
        <v>527</v>
      </c>
      <c r="L598" s="107">
        <v>0.75</v>
      </c>
      <c r="M598" s="107" t="s">
        <v>542</v>
      </c>
      <c r="N598" s="107" t="s">
        <v>532</v>
      </c>
      <c r="O598" s="107" t="s">
        <v>543</v>
      </c>
      <c r="P598" s="104" t="s">
        <v>23</v>
      </c>
      <c r="Q598" s="104" t="s">
        <v>190</v>
      </c>
      <c r="R598" s="104" t="s">
        <v>109</v>
      </c>
      <c r="S598" s="104">
        <v>3</v>
      </c>
      <c r="T598" s="104">
        <v>8</v>
      </c>
      <c r="U598" s="137">
        <v>62</v>
      </c>
      <c r="V598" s="138">
        <v>496</v>
      </c>
    </row>
    <row r="599" spans="1:22" x14ac:dyDescent="0.25">
      <c r="A599" s="108" t="s">
        <v>371</v>
      </c>
      <c r="B599" s="109" t="s">
        <v>17</v>
      </c>
      <c r="C599" s="109" t="s">
        <v>176</v>
      </c>
      <c r="D599" s="109" t="s">
        <v>80</v>
      </c>
      <c r="E599" s="109" t="s">
        <v>173</v>
      </c>
      <c r="F599" s="109">
        <v>2016</v>
      </c>
      <c r="G599" s="110">
        <v>42915.375</v>
      </c>
      <c r="H599" s="110">
        <v>42921.75</v>
      </c>
      <c r="I599" s="111">
        <v>42915</v>
      </c>
      <c r="J599" s="111">
        <v>42921</v>
      </c>
      <c r="K599" s="112" t="s">
        <v>525</v>
      </c>
      <c r="L599" s="112">
        <v>0.75</v>
      </c>
      <c r="M599" s="112" t="s">
        <v>540</v>
      </c>
      <c r="N599" s="112" t="s">
        <v>532</v>
      </c>
      <c r="O599" s="112" t="s">
        <v>543</v>
      </c>
      <c r="P599" s="109" t="s">
        <v>23</v>
      </c>
      <c r="Q599" s="109" t="s">
        <v>38</v>
      </c>
      <c r="R599" s="109" t="s">
        <v>113</v>
      </c>
      <c r="S599" s="109">
        <v>4</v>
      </c>
      <c r="T599" s="109">
        <v>8</v>
      </c>
      <c r="U599" s="139">
        <v>32</v>
      </c>
      <c r="V599" s="140">
        <v>256</v>
      </c>
    </row>
    <row r="600" spans="1:22" x14ac:dyDescent="0.25">
      <c r="A600" s="103" t="s">
        <v>372</v>
      </c>
      <c r="B600" s="104" t="s">
        <v>29</v>
      </c>
      <c r="C600" s="104" t="s">
        <v>177</v>
      </c>
      <c r="D600" s="104" t="s">
        <v>85</v>
      </c>
      <c r="E600" s="104" t="s">
        <v>170</v>
      </c>
      <c r="F600" s="104">
        <v>2016</v>
      </c>
      <c r="G600" s="105">
        <v>42916.333333333336</v>
      </c>
      <c r="H600" s="105">
        <v>42929.5</v>
      </c>
      <c r="I600" s="106">
        <v>42916</v>
      </c>
      <c r="J600" s="106">
        <v>42929</v>
      </c>
      <c r="K600" s="107" t="s">
        <v>522</v>
      </c>
      <c r="L600" s="107">
        <v>0.5</v>
      </c>
      <c r="M600" s="107" t="s">
        <v>539</v>
      </c>
      <c r="N600" s="107" t="s">
        <v>532</v>
      </c>
      <c r="O600" s="107" t="s">
        <v>543</v>
      </c>
      <c r="P600" s="104" t="s">
        <v>23</v>
      </c>
      <c r="Q600" s="104" t="s">
        <v>41</v>
      </c>
      <c r="R600" s="104" t="s">
        <v>113</v>
      </c>
      <c r="S600" s="104">
        <v>4</v>
      </c>
      <c r="T600" s="104">
        <v>8</v>
      </c>
      <c r="U600" s="137">
        <v>48</v>
      </c>
      <c r="V600" s="138">
        <v>384</v>
      </c>
    </row>
    <row r="601" spans="1:22" x14ac:dyDescent="0.25">
      <c r="A601" s="108" t="s">
        <v>373</v>
      </c>
      <c r="B601" s="109" t="s">
        <v>22</v>
      </c>
      <c r="C601" s="109" t="s">
        <v>176</v>
      </c>
      <c r="D601" s="109" t="s">
        <v>77</v>
      </c>
      <c r="E601" s="109" t="s">
        <v>172</v>
      </c>
      <c r="F601" s="109">
        <v>2016</v>
      </c>
      <c r="G601" s="110">
        <v>42935.791666666664</v>
      </c>
      <c r="H601" s="110">
        <v>42948.958333333336</v>
      </c>
      <c r="I601" s="111">
        <v>42935</v>
      </c>
      <c r="J601" s="111">
        <v>42948</v>
      </c>
      <c r="K601" s="112" t="s">
        <v>526</v>
      </c>
      <c r="L601" s="112">
        <v>0.95833333333333337</v>
      </c>
      <c r="M601" s="112" t="s">
        <v>541</v>
      </c>
      <c r="N601" s="112" t="s">
        <v>533</v>
      </c>
      <c r="O601" s="112" t="s">
        <v>543</v>
      </c>
      <c r="P601" s="109" t="s">
        <v>9</v>
      </c>
      <c r="Q601" s="109" t="s">
        <v>31</v>
      </c>
      <c r="R601" s="109" t="s">
        <v>113</v>
      </c>
      <c r="S601" s="109">
        <v>4</v>
      </c>
      <c r="T601" s="109">
        <v>9</v>
      </c>
      <c r="U601" s="139">
        <v>35</v>
      </c>
      <c r="V601" s="140">
        <v>315</v>
      </c>
    </row>
    <row r="602" spans="1:22" x14ac:dyDescent="0.25">
      <c r="A602" s="103" t="s">
        <v>374</v>
      </c>
      <c r="B602" s="104" t="s">
        <v>7</v>
      </c>
      <c r="C602" s="104" t="s">
        <v>175</v>
      </c>
      <c r="D602" s="104" t="s">
        <v>84</v>
      </c>
      <c r="E602" s="104" t="s">
        <v>172</v>
      </c>
      <c r="F602" s="104">
        <v>2016</v>
      </c>
      <c r="G602" s="105">
        <v>42936.583333333336</v>
      </c>
      <c r="H602" s="105">
        <v>42949.75</v>
      </c>
      <c r="I602" s="106">
        <v>42936</v>
      </c>
      <c r="J602" s="106">
        <v>42949</v>
      </c>
      <c r="K602" s="107" t="s">
        <v>527</v>
      </c>
      <c r="L602" s="107">
        <v>0.75</v>
      </c>
      <c r="M602" s="107" t="s">
        <v>542</v>
      </c>
      <c r="N602" s="107" t="s">
        <v>533</v>
      </c>
      <c r="O602" s="107" t="s">
        <v>543</v>
      </c>
      <c r="P602" s="104" t="s">
        <v>23</v>
      </c>
      <c r="Q602" s="104" t="s">
        <v>31</v>
      </c>
      <c r="R602" s="104" t="s">
        <v>113</v>
      </c>
      <c r="S602" s="104">
        <v>2</v>
      </c>
      <c r="T602" s="104">
        <v>10</v>
      </c>
      <c r="U602" s="137">
        <v>52</v>
      </c>
      <c r="V602" s="138">
        <v>520</v>
      </c>
    </row>
    <row r="603" spans="1:22" x14ac:dyDescent="0.25">
      <c r="A603" s="108" t="s">
        <v>375</v>
      </c>
      <c r="B603" s="109" t="s">
        <v>19</v>
      </c>
      <c r="C603" s="109" t="s">
        <v>176</v>
      </c>
      <c r="D603" s="109" t="s">
        <v>89</v>
      </c>
      <c r="E603" s="109" t="s">
        <v>169</v>
      </c>
      <c r="F603" s="109">
        <v>2016</v>
      </c>
      <c r="G603" s="110">
        <v>42938.333333333336</v>
      </c>
      <c r="H603" s="110">
        <v>42951.5</v>
      </c>
      <c r="I603" s="111">
        <v>42938</v>
      </c>
      <c r="J603" s="111">
        <v>42951</v>
      </c>
      <c r="K603" s="112" t="s">
        <v>522</v>
      </c>
      <c r="L603" s="112">
        <v>0.5</v>
      </c>
      <c r="M603" s="112" t="s">
        <v>539</v>
      </c>
      <c r="N603" s="112" t="s">
        <v>533</v>
      </c>
      <c r="O603" s="112" t="s">
        <v>543</v>
      </c>
      <c r="P603" s="109" t="s">
        <v>23</v>
      </c>
      <c r="Q603" s="109" t="s">
        <v>21</v>
      </c>
      <c r="R603" s="109" t="s">
        <v>113</v>
      </c>
      <c r="S603" s="109">
        <v>4</v>
      </c>
      <c r="T603" s="109">
        <v>12</v>
      </c>
      <c r="U603" s="139">
        <v>62</v>
      </c>
      <c r="V603" s="140">
        <v>744</v>
      </c>
    </row>
    <row r="604" spans="1:22" x14ac:dyDescent="0.25">
      <c r="A604" s="103" t="s">
        <v>376</v>
      </c>
      <c r="B604" s="104" t="s">
        <v>22</v>
      </c>
      <c r="C604" s="104" t="s">
        <v>176</v>
      </c>
      <c r="D604" s="104" t="s">
        <v>78</v>
      </c>
      <c r="E604" s="104" t="s">
        <v>172</v>
      </c>
      <c r="F604" s="104">
        <v>2016</v>
      </c>
      <c r="G604" s="105">
        <v>42941.791666666664</v>
      </c>
      <c r="H604" s="105">
        <v>42952.958333333336</v>
      </c>
      <c r="I604" s="106">
        <v>42941</v>
      </c>
      <c r="J604" s="106">
        <v>42952</v>
      </c>
      <c r="K604" s="107" t="s">
        <v>526</v>
      </c>
      <c r="L604" s="107">
        <v>0.95833333333333337</v>
      </c>
      <c r="M604" s="107" t="s">
        <v>541</v>
      </c>
      <c r="N604" s="107" t="s">
        <v>533</v>
      </c>
      <c r="O604" s="107" t="s">
        <v>543</v>
      </c>
      <c r="P604" s="104" t="s">
        <v>9</v>
      </c>
      <c r="Q604" s="104" t="s">
        <v>35</v>
      </c>
      <c r="R604" s="104" t="s">
        <v>109</v>
      </c>
      <c r="S604" s="104">
        <v>3</v>
      </c>
      <c r="T604" s="104">
        <v>9</v>
      </c>
      <c r="U604" s="137">
        <v>62</v>
      </c>
      <c r="V604" s="138">
        <v>558</v>
      </c>
    </row>
    <row r="605" spans="1:22" x14ac:dyDescent="0.25">
      <c r="A605" s="108" t="s">
        <v>377</v>
      </c>
      <c r="B605" s="109" t="s">
        <v>22</v>
      </c>
      <c r="C605" s="109" t="s">
        <v>176</v>
      </c>
      <c r="D605" s="109" t="s">
        <v>79</v>
      </c>
      <c r="E605" s="109" t="s">
        <v>168</v>
      </c>
      <c r="F605" s="109">
        <v>2016</v>
      </c>
      <c r="G605" s="110">
        <v>42941.791666666664</v>
      </c>
      <c r="H605" s="110">
        <v>42952.958333333336</v>
      </c>
      <c r="I605" s="111">
        <v>42941</v>
      </c>
      <c r="J605" s="111">
        <v>42952</v>
      </c>
      <c r="K605" s="112" t="s">
        <v>526</v>
      </c>
      <c r="L605" s="112">
        <v>0.95833333333333337</v>
      </c>
      <c r="M605" s="112" t="s">
        <v>541</v>
      </c>
      <c r="N605" s="112" t="s">
        <v>533</v>
      </c>
      <c r="O605" s="112" t="s">
        <v>543</v>
      </c>
      <c r="P605" s="109" t="s">
        <v>23</v>
      </c>
      <c r="Q605" s="109" t="s">
        <v>190</v>
      </c>
      <c r="R605" s="109" t="s">
        <v>109</v>
      </c>
      <c r="S605" s="109">
        <v>4</v>
      </c>
      <c r="T605" s="109">
        <v>12</v>
      </c>
      <c r="U605" s="139">
        <v>48</v>
      </c>
      <c r="V605" s="140">
        <v>576</v>
      </c>
    </row>
    <row r="606" spans="1:22" x14ac:dyDescent="0.25">
      <c r="A606" s="103" t="s">
        <v>378</v>
      </c>
      <c r="B606" s="104" t="s">
        <v>19</v>
      </c>
      <c r="C606" s="104" t="s">
        <v>176</v>
      </c>
      <c r="D606" s="104" t="s">
        <v>83</v>
      </c>
      <c r="E606" s="104" t="s">
        <v>174</v>
      </c>
      <c r="F606" s="104">
        <v>2016</v>
      </c>
      <c r="G606" s="105">
        <v>42942.791666666664</v>
      </c>
      <c r="H606" s="105">
        <v>42955.958333333336</v>
      </c>
      <c r="I606" s="106">
        <v>42942</v>
      </c>
      <c r="J606" s="106">
        <v>42955</v>
      </c>
      <c r="K606" s="107" t="s">
        <v>526</v>
      </c>
      <c r="L606" s="107">
        <v>0.95833333333333337</v>
      </c>
      <c r="M606" s="107" t="s">
        <v>541</v>
      </c>
      <c r="N606" s="107" t="s">
        <v>533</v>
      </c>
      <c r="O606" s="107" t="s">
        <v>543</v>
      </c>
      <c r="P606" s="104" t="s">
        <v>9</v>
      </c>
      <c r="Q606" s="104" t="s">
        <v>16</v>
      </c>
      <c r="R606" s="104" t="s">
        <v>109</v>
      </c>
      <c r="S606" s="104">
        <v>4</v>
      </c>
      <c r="T606" s="104">
        <v>8</v>
      </c>
      <c r="U606" s="137">
        <v>63</v>
      </c>
      <c r="V606" s="138">
        <v>504</v>
      </c>
    </row>
    <row r="607" spans="1:22" x14ac:dyDescent="0.25">
      <c r="A607" s="108" t="s">
        <v>379</v>
      </c>
      <c r="B607" s="109" t="s">
        <v>39</v>
      </c>
      <c r="C607" s="109" t="s">
        <v>177</v>
      </c>
      <c r="D607" s="109" t="s">
        <v>84</v>
      </c>
      <c r="E607" s="109" t="s">
        <v>172</v>
      </c>
      <c r="F607" s="109">
        <v>2016</v>
      </c>
      <c r="G607" s="110">
        <v>42943.583333333336</v>
      </c>
      <c r="H607" s="110">
        <v>42956.75</v>
      </c>
      <c r="I607" s="111">
        <v>42943</v>
      </c>
      <c r="J607" s="111">
        <v>42956</v>
      </c>
      <c r="K607" s="112" t="s">
        <v>527</v>
      </c>
      <c r="L607" s="112">
        <v>0.75</v>
      </c>
      <c r="M607" s="112" t="s">
        <v>542</v>
      </c>
      <c r="N607" s="112" t="s">
        <v>533</v>
      </c>
      <c r="O607" s="112" t="s">
        <v>543</v>
      </c>
      <c r="P607" s="109" t="s">
        <v>23</v>
      </c>
      <c r="Q607" s="109" t="s">
        <v>18</v>
      </c>
      <c r="R607" s="109" t="s">
        <v>113</v>
      </c>
      <c r="S607" s="109">
        <v>5</v>
      </c>
      <c r="T607" s="109">
        <v>11</v>
      </c>
      <c r="U607" s="139">
        <v>52</v>
      </c>
      <c r="V607" s="140">
        <v>572</v>
      </c>
    </row>
    <row r="608" spans="1:22" x14ac:dyDescent="0.25">
      <c r="A608" s="103" t="s">
        <v>380</v>
      </c>
      <c r="B608" s="104" t="s">
        <v>45</v>
      </c>
      <c r="C608" s="104" t="s">
        <v>177</v>
      </c>
      <c r="D608" s="104" t="s">
        <v>89</v>
      </c>
      <c r="E608" s="104" t="s">
        <v>169</v>
      </c>
      <c r="F608" s="104">
        <v>2016</v>
      </c>
      <c r="G608" s="105">
        <v>42944.375</v>
      </c>
      <c r="H608" s="105">
        <v>42950.75</v>
      </c>
      <c r="I608" s="106">
        <v>42944</v>
      </c>
      <c r="J608" s="106">
        <v>42950</v>
      </c>
      <c r="K608" s="107" t="s">
        <v>525</v>
      </c>
      <c r="L608" s="107">
        <v>0.75</v>
      </c>
      <c r="M608" s="107" t="s">
        <v>540</v>
      </c>
      <c r="N608" s="107" t="s">
        <v>533</v>
      </c>
      <c r="O608" s="107" t="s">
        <v>543</v>
      </c>
      <c r="P608" s="104" t="s">
        <v>23</v>
      </c>
      <c r="Q608" s="104" t="s">
        <v>38</v>
      </c>
      <c r="R608" s="104" t="s">
        <v>113</v>
      </c>
      <c r="S608" s="104">
        <v>4</v>
      </c>
      <c r="T608" s="104">
        <v>9</v>
      </c>
      <c r="U608" s="137">
        <v>62</v>
      </c>
      <c r="V608" s="138">
        <v>558</v>
      </c>
    </row>
    <row r="609" spans="1:22" x14ac:dyDescent="0.25">
      <c r="A609" s="108" t="s">
        <v>381</v>
      </c>
      <c r="B609" s="109" t="s">
        <v>7</v>
      </c>
      <c r="C609" s="109" t="s">
        <v>175</v>
      </c>
      <c r="D609" s="109" t="s">
        <v>82</v>
      </c>
      <c r="E609" s="109" t="s">
        <v>172</v>
      </c>
      <c r="F609" s="109">
        <v>2016</v>
      </c>
      <c r="G609" s="110">
        <v>42945.333333333336</v>
      </c>
      <c r="H609" s="110">
        <v>42958.5</v>
      </c>
      <c r="I609" s="111">
        <v>42945</v>
      </c>
      <c r="J609" s="111">
        <v>42958</v>
      </c>
      <c r="K609" s="112" t="s">
        <v>522</v>
      </c>
      <c r="L609" s="112">
        <v>0.5</v>
      </c>
      <c r="M609" s="112" t="s">
        <v>539</v>
      </c>
      <c r="N609" s="112" t="s">
        <v>533</v>
      </c>
      <c r="O609" s="112" t="s">
        <v>543</v>
      </c>
      <c r="P609" s="109" t="s">
        <v>9</v>
      </c>
      <c r="Q609" s="109" t="s">
        <v>16</v>
      </c>
      <c r="R609" s="109" t="s">
        <v>109</v>
      </c>
      <c r="S609" s="109">
        <v>3</v>
      </c>
      <c r="T609" s="109">
        <v>12</v>
      </c>
      <c r="U609" s="139">
        <v>75</v>
      </c>
      <c r="V609" s="140">
        <v>900</v>
      </c>
    </row>
    <row r="610" spans="1:22" x14ac:dyDescent="0.25">
      <c r="A610" s="103" t="s">
        <v>382</v>
      </c>
      <c r="B610" s="104" t="s">
        <v>14</v>
      </c>
      <c r="C610" s="104" t="s">
        <v>175</v>
      </c>
      <c r="D610" s="104" t="s">
        <v>80</v>
      </c>
      <c r="E610" s="104" t="s">
        <v>173</v>
      </c>
      <c r="F610" s="104">
        <v>2016</v>
      </c>
      <c r="G610" s="105">
        <v>42946.375</v>
      </c>
      <c r="H610" s="105">
        <v>42951.75</v>
      </c>
      <c r="I610" s="106">
        <v>42946</v>
      </c>
      <c r="J610" s="106">
        <v>42951</v>
      </c>
      <c r="K610" s="107" t="s">
        <v>525</v>
      </c>
      <c r="L610" s="107">
        <v>0.75</v>
      </c>
      <c r="M610" s="107" t="s">
        <v>540</v>
      </c>
      <c r="N610" s="107" t="s">
        <v>533</v>
      </c>
      <c r="O610" s="107" t="s">
        <v>543</v>
      </c>
      <c r="P610" s="104" t="s">
        <v>23</v>
      </c>
      <c r="Q610" s="104" t="s">
        <v>16</v>
      </c>
      <c r="R610" s="104" t="s">
        <v>109</v>
      </c>
      <c r="S610" s="104">
        <v>5</v>
      </c>
      <c r="T610" s="104">
        <v>11</v>
      </c>
      <c r="U610" s="137">
        <v>32</v>
      </c>
      <c r="V610" s="138">
        <v>352</v>
      </c>
    </row>
    <row r="611" spans="1:22" x14ac:dyDescent="0.25">
      <c r="A611" s="108" t="s">
        <v>383</v>
      </c>
      <c r="B611" s="109" t="s">
        <v>45</v>
      </c>
      <c r="C611" s="109" t="s">
        <v>177</v>
      </c>
      <c r="D611" s="109" t="s">
        <v>86</v>
      </c>
      <c r="E611" s="109" t="s">
        <v>169</v>
      </c>
      <c r="F611" s="109">
        <v>2016</v>
      </c>
      <c r="G611" s="110">
        <v>42948.791666666664</v>
      </c>
      <c r="H611" s="110">
        <v>42962.958333333336</v>
      </c>
      <c r="I611" s="111">
        <v>42948</v>
      </c>
      <c r="J611" s="111">
        <v>42962</v>
      </c>
      <c r="K611" s="112" t="s">
        <v>526</v>
      </c>
      <c r="L611" s="112">
        <v>0.95833333333333337</v>
      </c>
      <c r="M611" s="112" t="s">
        <v>541</v>
      </c>
      <c r="N611" s="112" t="s">
        <v>534</v>
      </c>
      <c r="O611" s="112" t="s">
        <v>543</v>
      </c>
      <c r="P611" s="109" t="s">
        <v>9</v>
      </c>
      <c r="Q611" s="109" t="s">
        <v>26</v>
      </c>
      <c r="R611" s="109" t="s">
        <v>113</v>
      </c>
      <c r="S611" s="109">
        <v>4</v>
      </c>
      <c r="T611" s="109">
        <v>9</v>
      </c>
      <c r="U611" s="139">
        <v>48</v>
      </c>
      <c r="V611" s="140">
        <v>432</v>
      </c>
    </row>
    <row r="612" spans="1:22" x14ac:dyDescent="0.25">
      <c r="A612" s="103" t="s">
        <v>384</v>
      </c>
      <c r="B612" s="104" t="s">
        <v>39</v>
      </c>
      <c r="C612" s="104" t="s">
        <v>177</v>
      </c>
      <c r="D612" s="104" t="s">
        <v>89</v>
      </c>
      <c r="E612" s="104" t="s">
        <v>169</v>
      </c>
      <c r="F612" s="104">
        <v>2016</v>
      </c>
      <c r="G612" s="105">
        <v>42948.791666666664</v>
      </c>
      <c r="H612" s="105">
        <v>42962.958333333336</v>
      </c>
      <c r="I612" s="106">
        <v>42948</v>
      </c>
      <c r="J612" s="106">
        <v>42962</v>
      </c>
      <c r="K612" s="107" t="s">
        <v>526</v>
      </c>
      <c r="L612" s="107">
        <v>0.95833333333333337</v>
      </c>
      <c r="M612" s="107" t="s">
        <v>541</v>
      </c>
      <c r="N612" s="107" t="s">
        <v>534</v>
      </c>
      <c r="O612" s="107" t="s">
        <v>543</v>
      </c>
      <c r="P612" s="104" t="s">
        <v>23</v>
      </c>
      <c r="Q612" s="104" t="s">
        <v>41</v>
      </c>
      <c r="R612" s="104" t="s">
        <v>113</v>
      </c>
      <c r="S612" s="104">
        <v>3</v>
      </c>
      <c r="T612" s="104">
        <v>12</v>
      </c>
      <c r="U612" s="137">
        <v>62</v>
      </c>
      <c r="V612" s="138">
        <v>744</v>
      </c>
    </row>
    <row r="613" spans="1:22" x14ac:dyDescent="0.25">
      <c r="A613" s="108" t="s">
        <v>385</v>
      </c>
      <c r="B613" s="109" t="s">
        <v>39</v>
      </c>
      <c r="C613" s="109" t="s">
        <v>177</v>
      </c>
      <c r="D613" s="109" t="s">
        <v>84</v>
      </c>
      <c r="E613" s="109" t="s">
        <v>172</v>
      </c>
      <c r="F613" s="109">
        <v>2016</v>
      </c>
      <c r="G613" s="110">
        <v>42949.791666666664</v>
      </c>
      <c r="H613" s="110">
        <v>42963.958333333336</v>
      </c>
      <c r="I613" s="111">
        <v>42949</v>
      </c>
      <c r="J613" s="111">
        <v>42963</v>
      </c>
      <c r="K613" s="112" t="s">
        <v>526</v>
      </c>
      <c r="L613" s="112">
        <v>0.95833333333333337</v>
      </c>
      <c r="M613" s="112" t="s">
        <v>541</v>
      </c>
      <c r="N613" s="112" t="s">
        <v>534</v>
      </c>
      <c r="O613" s="112" t="s">
        <v>543</v>
      </c>
      <c r="P613" s="109" t="s">
        <v>9</v>
      </c>
      <c r="Q613" s="109" t="s">
        <v>22</v>
      </c>
      <c r="R613" s="109" t="s">
        <v>109</v>
      </c>
      <c r="S613" s="109">
        <v>2</v>
      </c>
      <c r="T613" s="109">
        <v>10</v>
      </c>
      <c r="U613" s="139">
        <v>52</v>
      </c>
      <c r="V613" s="140">
        <v>520</v>
      </c>
    </row>
    <row r="614" spans="1:22" x14ac:dyDescent="0.25">
      <c r="A614" s="103" t="s">
        <v>386</v>
      </c>
      <c r="B614" s="104" t="s">
        <v>7</v>
      </c>
      <c r="C614" s="104" t="s">
        <v>175</v>
      </c>
      <c r="D614" s="104" t="s">
        <v>85</v>
      </c>
      <c r="E614" s="104" t="s">
        <v>170</v>
      </c>
      <c r="F614" s="104">
        <v>2016</v>
      </c>
      <c r="G614" s="105">
        <v>42950.583333333336</v>
      </c>
      <c r="H614" s="105">
        <v>42964.75</v>
      </c>
      <c r="I614" s="106">
        <v>42950</v>
      </c>
      <c r="J614" s="106">
        <v>42964</v>
      </c>
      <c r="K614" s="107" t="s">
        <v>527</v>
      </c>
      <c r="L614" s="107">
        <v>0.75</v>
      </c>
      <c r="M614" s="107" t="s">
        <v>542</v>
      </c>
      <c r="N614" s="107" t="s">
        <v>534</v>
      </c>
      <c r="O614" s="107" t="s">
        <v>543</v>
      </c>
      <c r="P614" s="104" t="s">
        <v>23</v>
      </c>
      <c r="Q614" s="104" t="s">
        <v>38</v>
      </c>
      <c r="R614" s="104" t="s">
        <v>113</v>
      </c>
      <c r="S614" s="104">
        <v>2</v>
      </c>
      <c r="T614" s="104">
        <v>10</v>
      </c>
      <c r="U614" s="137">
        <v>48</v>
      </c>
      <c r="V614" s="138">
        <v>480</v>
      </c>
    </row>
    <row r="615" spans="1:22" x14ac:dyDescent="0.25">
      <c r="A615" s="108" t="s">
        <v>387</v>
      </c>
      <c r="B615" s="109" t="s">
        <v>39</v>
      </c>
      <c r="C615" s="109" t="s">
        <v>177</v>
      </c>
      <c r="D615" s="109" t="s">
        <v>81</v>
      </c>
      <c r="E615" s="109" t="s">
        <v>172</v>
      </c>
      <c r="F615" s="109">
        <v>2016</v>
      </c>
      <c r="G615" s="110">
        <v>42951.375</v>
      </c>
      <c r="H615" s="110">
        <v>42957.75</v>
      </c>
      <c r="I615" s="111">
        <v>42951</v>
      </c>
      <c r="J615" s="111">
        <v>42957</v>
      </c>
      <c r="K615" s="112" t="s">
        <v>525</v>
      </c>
      <c r="L615" s="112">
        <v>0.75</v>
      </c>
      <c r="M615" s="112" t="s">
        <v>540</v>
      </c>
      <c r="N615" s="112" t="s">
        <v>534</v>
      </c>
      <c r="O615" s="112" t="s">
        <v>543</v>
      </c>
      <c r="P615" s="109" t="s">
        <v>9</v>
      </c>
      <c r="Q615" s="109" t="s">
        <v>190</v>
      </c>
      <c r="R615" s="109" t="s">
        <v>109</v>
      </c>
      <c r="S615" s="109">
        <v>5</v>
      </c>
      <c r="T615" s="109">
        <v>9</v>
      </c>
      <c r="U615" s="139">
        <v>43</v>
      </c>
      <c r="V615" s="140">
        <v>387</v>
      </c>
    </row>
    <row r="616" spans="1:22" x14ac:dyDescent="0.25">
      <c r="A616" s="103" t="s">
        <v>388</v>
      </c>
      <c r="B616" s="104" t="s">
        <v>19</v>
      </c>
      <c r="C616" s="104" t="s">
        <v>176</v>
      </c>
      <c r="D616" s="104" t="s">
        <v>77</v>
      </c>
      <c r="E616" s="104" t="s">
        <v>172</v>
      </c>
      <c r="F616" s="104">
        <v>2016</v>
      </c>
      <c r="G616" s="105">
        <v>42952.333333333336</v>
      </c>
      <c r="H616" s="105">
        <v>42969.5</v>
      </c>
      <c r="I616" s="106">
        <v>42952</v>
      </c>
      <c r="J616" s="106">
        <v>42969</v>
      </c>
      <c r="K616" s="107" t="s">
        <v>522</v>
      </c>
      <c r="L616" s="107">
        <v>0.5</v>
      </c>
      <c r="M616" s="107" t="s">
        <v>539</v>
      </c>
      <c r="N616" s="107" t="s">
        <v>534</v>
      </c>
      <c r="O616" s="107" t="s">
        <v>543</v>
      </c>
      <c r="P616" s="104" t="s">
        <v>9</v>
      </c>
      <c r="Q616" s="104" t="s">
        <v>12</v>
      </c>
      <c r="R616" s="104" t="s">
        <v>113</v>
      </c>
      <c r="S616" s="104">
        <v>3</v>
      </c>
      <c r="T616" s="104">
        <v>12</v>
      </c>
      <c r="U616" s="137">
        <v>35</v>
      </c>
      <c r="V616" s="138">
        <v>420</v>
      </c>
    </row>
    <row r="617" spans="1:22" x14ac:dyDescent="0.25">
      <c r="A617" s="108" t="s">
        <v>389</v>
      </c>
      <c r="B617" s="109" t="s">
        <v>11</v>
      </c>
      <c r="C617" s="109" t="s">
        <v>175</v>
      </c>
      <c r="D617" s="109" t="s">
        <v>76</v>
      </c>
      <c r="E617" s="109" t="s">
        <v>174</v>
      </c>
      <c r="F617" s="109">
        <v>2016</v>
      </c>
      <c r="G617" s="110">
        <v>42953.375</v>
      </c>
      <c r="H617" s="110">
        <v>42958.75</v>
      </c>
      <c r="I617" s="111">
        <v>42953</v>
      </c>
      <c r="J617" s="111">
        <v>42958</v>
      </c>
      <c r="K617" s="112" t="s">
        <v>525</v>
      </c>
      <c r="L617" s="112">
        <v>0.75</v>
      </c>
      <c r="M617" s="112" t="s">
        <v>540</v>
      </c>
      <c r="N617" s="112" t="s">
        <v>534</v>
      </c>
      <c r="O617" s="112" t="s">
        <v>543</v>
      </c>
      <c r="P617" s="109" t="s">
        <v>23</v>
      </c>
      <c r="Q617" s="109" t="s">
        <v>18</v>
      </c>
      <c r="R617" s="109" t="s">
        <v>113</v>
      </c>
      <c r="S617" s="109">
        <v>4</v>
      </c>
      <c r="T617" s="109">
        <v>9</v>
      </c>
      <c r="U617" s="139">
        <v>53</v>
      </c>
      <c r="V617" s="140">
        <v>477</v>
      </c>
    </row>
    <row r="618" spans="1:22" x14ac:dyDescent="0.25">
      <c r="A618" s="103" t="s">
        <v>390</v>
      </c>
      <c r="B618" s="104" t="s">
        <v>11</v>
      </c>
      <c r="C618" s="104" t="s">
        <v>175</v>
      </c>
      <c r="D618" s="104" t="s">
        <v>79</v>
      </c>
      <c r="E618" s="104" t="s">
        <v>168</v>
      </c>
      <c r="F618" s="104">
        <v>2016</v>
      </c>
      <c r="G618" s="105">
        <v>42955.791666666664</v>
      </c>
      <c r="H618" s="105">
        <v>42970.958333333336</v>
      </c>
      <c r="I618" s="106">
        <v>42955</v>
      </c>
      <c r="J618" s="106">
        <v>42970</v>
      </c>
      <c r="K618" s="107" t="s">
        <v>526</v>
      </c>
      <c r="L618" s="107">
        <v>0.95833333333333337</v>
      </c>
      <c r="M618" s="107" t="s">
        <v>541</v>
      </c>
      <c r="N618" s="107" t="s">
        <v>534</v>
      </c>
      <c r="O618" s="107" t="s">
        <v>543</v>
      </c>
      <c r="P618" s="104" t="s">
        <v>23</v>
      </c>
      <c r="Q618" s="104" t="s">
        <v>35</v>
      </c>
      <c r="R618" s="104" t="s">
        <v>109</v>
      </c>
      <c r="S618" s="104">
        <v>5</v>
      </c>
      <c r="T618" s="104">
        <v>8</v>
      </c>
      <c r="U618" s="137">
        <v>48</v>
      </c>
      <c r="V618" s="138">
        <v>384</v>
      </c>
    </row>
    <row r="619" spans="1:22" x14ac:dyDescent="0.25">
      <c r="A619" s="108" t="s">
        <v>391</v>
      </c>
      <c r="B619" s="109" t="s">
        <v>39</v>
      </c>
      <c r="C619" s="109" t="s">
        <v>177</v>
      </c>
      <c r="D619" s="109" t="s">
        <v>78</v>
      </c>
      <c r="E619" s="109" t="s">
        <v>172</v>
      </c>
      <c r="F619" s="109">
        <v>2016</v>
      </c>
      <c r="G619" s="110">
        <v>42955.791666666664</v>
      </c>
      <c r="H619" s="110">
        <v>42970.958333333336</v>
      </c>
      <c r="I619" s="111">
        <v>42955</v>
      </c>
      <c r="J619" s="111">
        <v>42970</v>
      </c>
      <c r="K619" s="112" t="s">
        <v>526</v>
      </c>
      <c r="L619" s="112">
        <v>0.95833333333333337</v>
      </c>
      <c r="M619" s="112" t="s">
        <v>541</v>
      </c>
      <c r="N619" s="112" t="s">
        <v>534</v>
      </c>
      <c r="O619" s="112" t="s">
        <v>543</v>
      </c>
      <c r="P619" s="109" t="s">
        <v>9</v>
      </c>
      <c r="Q619" s="109" t="s">
        <v>38</v>
      </c>
      <c r="R619" s="109" t="s">
        <v>113</v>
      </c>
      <c r="S619" s="109">
        <v>4</v>
      </c>
      <c r="T619" s="109">
        <v>8</v>
      </c>
      <c r="U619" s="139">
        <v>62</v>
      </c>
      <c r="V619" s="140">
        <v>496</v>
      </c>
    </row>
    <row r="620" spans="1:22" x14ac:dyDescent="0.25">
      <c r="A620" s="103" t="s">
        <v>392</v>
      </c>
      <c r="B620" s="104" t="s">
        <v>39</v>
      </c>
      <c r="C620" s="104" t="s">
        <v>177</v>
      </c>
      <c r="D620" s="104" t="s">
        <v>84</v>
      </c>
      <c r="E620" s="104" t="s">
        <v>172</v>
      </c>
      <c r="F620" s="104">
        <v>2016</v>
      </c>
      <c r="G620" s="105">
        <v>42956.791666666664</v>
      </c>
      <c r="H620" s="105">
        <v>42971.958333333336</v>
      </c>
      <c r="I620" s="106">
        <v>42956</v>
      </c>
      <c r="J620" s="106">
        <v>42971</v>
      </c>
      <c r="K620" s="107" t="s">
        <v>526</v>
      </c>
      <c r="L620" s="107">
        <v>0.95833333333333337</v>
      </c>
      <c r="M620" s="107" t="s">
        <v>541</v>
      </c>
      <c r="N620" s="107" t="s">
        <v>534</v>
      </c>
      <c r="O620" s="107" t="s">
        <v>543</v>
      </c>
      <c r="P620" s="104" t="s">
        <v>23</v>
      </c>
      <c r="Q620" s="104" t="s">
        <v>190</v>
      </c>
      <c r="R620" s="104" t="s">
        <v>109</v>
      </c>
      <c r="S620" s="104">
        <v>4</v>
      </c>
      <c r="T620" s="104">
        <v>8</v>
      </c>
      <c r="U620" s="137">
        <v>52</v>
      </c>
      <c r="V620" s="138">
        <v>416</v>
      </c>
    </row>
    <row r="621" spans="1:22" x14ac:dyDescent="0.25">
      <c r="A621" s="108" t="s">
        <v>393</v>
      </c>
      <c r="B621" s="109" t="s">
        <v>17</v>
      </c>
      <c r="C621" s="109" t="s">
        <v>176</v>
      </c>
      <c r="D621" s="109" t="s">
        <v>80</v>
      </c>
      <c r="E621" s="109" t="s">
        <v>173</v>
      </c>
      <c r="F621" s="109">
        <v>2016</v>
      </c>
      <c r="G621" s="110">
        <v>42957.583333333336</v>
      </c>
      <c r="H621" s="110">
        <v>42972.75</v>
      </c>
      <c r="I621" s="111">
        <v>42957</v>
      </c>
      <c r="J621" s="111">
        <v>42972</v>
      </c>
      <c r="K621" s="112" t="s">
        <v>527</v>
      </c>
      <c r="L621" s="112">
        <v>0.75</v>
      </c>
      <c r="M621" s="112" t="s">
        <v>542</v>
      </c>
      <c r="N621" s="112" t="s">
        <v>534</v>
      </c>
      <c r="O621" s="112" t="s">
        <v>543</v>
      </c>
      <c r="P621" s="109" t="s">
        <v>23</v>
      </c>
      <c r="Q621" s="109" t="s">
        <v>37</v>
      </c>
      <c r="R621" s="109" t="s">
        <v>113</v>
      </c>
      <c r="S621" s="109">
        <v>5</v>
      </c>
      <c r="T621" s="109">
        <v>12</v>
      </c>
      <c r="U621" s="139">
        <v>32</v>
      </c>
      <c r="V621" s="140">
        <v>384</v>
      </c>
    </row>
    <row r="622" spans="1:22" x14ac:dyDescent="0.25">
      <c r="A622" s="103" t="s">
        <v>394</v>
      </c>
      <c r="B622" s="104" t="s">
        <v>11</v>
      </c>
      <c r="C622" s="104" t="s">
        <v>175</v>
      </c>
      <c r="D622" s="104" t="s">
        <v>78</v>
      </c>
      <c r="E622" s="104" t="s">
        <v>172</v>
      </c>
      <c r="F622" s="104">
        <v>2016</v>
      </c>
      <c r="G622" s="105">
        <v>42958.375</v>
      </c>
      <c r="H622" s="105">
        <v>42965.75</v>
      </c>
      <c r="I622" s="106">
        <v>42958</v>
      </c>
      <c r="J622" s="106">
        <v>42965</v>
      </c>
      <c r="K622" s="107" t="s">
        <v>525</v>
      </c>
      <c r="L622" s="107">
        <v>0.75</v>
      </c>
      <c r="M622" s="107" t="s">
        <v>540</v>
      </c>
      <c r="N622" s="107" t="s">
        <v>534</v>
      </c>
      <c r="O622" s="107" t="s">
        <v>543</v>
      </c>
      <c r="P622" s="104" t="s">
        <v>23</v>
      </c>
      <c r="Q622" s="104" t="s">
        <v>44</v>
      </c>
      <c r="R622" s="104" t="s">
        <v>113</v>
      </c>
      <c r="S622" s="104">
        <v>2</v>
      </c>
      <c r="T622" s="104">
        <v>8</v>
      </c>
      <c r="U622" s="137">
        <v>62</v>
      </c>
      <c r="V622" s="138">
        <v>496</v>
      </c>
    </row>
    <row r="623" spans="1:22" x14ac:dyDescent="0.25">
      <c r="A623" s="108" t="s">
        <v>395</v>
      </c>
      <c r="B623" s="109" t="s">
        <v>7</v>
      </c>
      <c r="C623" s="109" t="s">
        <v>175</v>
      </c>
      <c r="D623" s="109" t="s">
        <v>77</v>
      </c>
      <c r="E623" s="109" t="s">
        <v>172</v>
      </c>
      <c r="F623" s="109">
        <v>2016</v>
      </c>
      <c r="G623" s="110">
        <v>42959.333333333336</v>
      </c>
      <c r="H623" s="110">
        <v>42973.5</v>
      </c>
      <c r="I623" s="111">
        <v>42959</v>
      </c>
      <c r="J623" s="111">
        <v>42973</v>
      </c>
      <c r="K623" s="112" t="s">
        <v>522</v>
      </c>
      <c r="L623" s="112">
        <v>0.5</v>
      </c>
      <c r="M623" s="112" t="s">
        <v>539</v>
      </c>
      <c r="N623" s="112" t="s">
        <v>534</v>
      </c>
      <c r="O623" s="112" t="s">
        <v>543</v>
      </c>
      <c r="P623" s="109" t="s">
        <v>9</v>
      </c>
      <c r="Q623" s="109" t="s">
        <v>22</v>
      </c>
      <c r="R623" s="109" t="s">
        <v>109</v>
      </c>
      <c r="S623" s="109">
        <v>4</v>
      </c>
      <c r="T623" s="109">
        <v>11</v>
      </c>
      <c r="U623" s="139">
        <v>35</v>
      </c>
      <c r="V623" s="140">
        <v>385</v>
      </c>
    </row>
    <row r="624" spans="1:22" x14ac:dyDescent="0.25">
      <c r="A624" s="103" t="s">
        <v>396</v>
      </c>
      <c r="B624" s="104" t="s">
        <v>14</v>
      </c>
      <c r="C624" s="104" t="s">
        <v>175</v>
      </c>
      <c r="D624" s="104" t="s">
        <v>78</v>
      </c>
      <c r="E624" s="104" t="s">
        <v>172</v>
      </c>
      <c r="F624" s="104">
        <v>2016</v>
      </c>
      <c r="G624" s="105">
        <v>42960.375</v>
      </c>
      <c r="H624" s="105">
        <v>42965.75</v>
      </c>
      <c r="I624" s="106">
        <v>42960</v>
      </c>
      <c r="J624" s="106">
        <v>42965</v>
      </c>
      <c r="K624" s="107" t="s">
        <v>525</v>
      </c>
      <c r="L624" s="107">
        <v>0.75</v>
      </c>
      <c r="M624" s="107" t="s">
        <v>540</v>
      </c>
      <c r="N624" s="107" t="s">
        <v>534</v>
      </c>
      <c r="O624" s="107" t="s">
        <v>543</v>
      </c>
      <c r="P624" s="104" t="s">
        <v>9</v>
      </c>
      <c r="Q624" s="104" t="s">
        <v>41</v>
      </c>
      <c r="R624" s="104" t="s">
        <v>113</v>
      </c>
      <c r="S624" s="104">
        <v>5</v>
      </c>
      <c r="T624" s="104">
        <v>12</v>
      </c>
      <c r="U624" s="137">
        <v>62</v>
      </c>
      <c r="V624" s="138">
        <v>744</v>
      </c>
    </row>
    <row r="625" spans="1:22" x14ac:dyDescent="0.25">
      <c r="A625" s="108" t="s">
        <v>397</v>
      </c>
      <c r="B625" s="109" t="s">
        <v>11</v>
      </c>
      <c r="C625" s="109" t="s">
        <v>175</v>
      </c>
      <c r="D625" s="109" t="s">
        <v>88</v>
      </c>
      <c r="E625" s="109" t="s">
        <v>170</v>
      </c>
      <c r="F625" s="109">
        <v>2016</v>
      </c>
      <c r="G625" s="110">
        <v>42962.791666666664</v>
      </c>
      <c r="H625" s="110">
        <v>42977.958333333336</v>
      </c>
      <c r="I625" s="111">
        <v>42962</v>
      </c>
      <c r="J625" s="111">
        <v>42977</v>
      </c>
      <c r="K625" s="112" t="s">
        <v>526</v>
      </c>
      <c r="L625" s="112">
        <v>0.95833333333333337</v>
      </c>
      <c r="M625" s="112" t="s">
        <v>541</v>
      </c>
      <c r="N625" s="112" t="s">
        <v>534</v>
      </c>
      <c r="O625" s="112" t="s">
        <v>543</v>
      </c>
      <c r="P625" s="109" t="s">
        <v>23</v>
      </c>
      <c r="Q625" s="109" t="s">
        <v>16</v>
      </c>
      <c r="R625" s="109" t="s">
        <v>109</v>
      </c>
      <c r="S625" s="109">
        <v>3</v>
      </c>
      <c r="T625" s="109">
        <v>11</v>
      </c>
      <c r="U625" s="139">
        <v>42</v>
      </c>
      <c r="V625" s="140">
        <v>462</v>
      </c>
    </row>
    <row r="626" spans="1:22" x14ac:dyDescent="0.25">
      <c r="A626" s="103" t="s">
        <v>398</v>
      </c>
      <c r="B626" s="104" t="s">
        <v>19</v>
      </c>
      <c r="C626" s="104" t="s">
        <v>176</v>
      </c>
      <c r="D626" s="104" t="s">
        <v>80</v>
      </c>
      <c r="E626" s="104" t="s">
        <v>173</v>
      </c>
      <c r="F626" s="104">
        <v>2016</v>
      </c>
      <c r="G626" s="105">
        <v>42962.791666666664</v>
      </c>
      <c r="H626" s="105">
        <v>42977.958333333336</v>
      </c>
      <c r="I626" s="106">
        <v>42962</v>
      </c>
      <c r="J626" s="106">
        <v>42977</v>
      </c>
      <c r="K626" s="107" t="s">
        <v>526</v>
      </c>
      <c r="L626" s="107">
        <v>0.95833333333333337</v>
      </c>
      <c r="M626" s="107" t="s">
        <v>541</v>
      </c>
      <c r="N626" s="107" t="s">
        <v>534</v>
      </c>
      <c r="O626" s="107" t="s">
        <v>543</v>
      </c>
      <c r="P626" s="104" t="s">
        <v>23</v>
      </c>
      <c r="Q626" s="104" t="s">
        <v>190</v>
      </c>
      <c r="R626" s="104" t="s">
        <v>109</v>
      </c>
      <c r="S626" s="104">
        <v>5</v>
      </c>
      <c r="T626" s="104">
        <v>12</v>
      </c>
      <c r="U626" s="137">
        <v>32</v>
      </c>
      <c r="V626" s="138">
        <v>384</v>
      </c>
    </row>
    <row r="627" spans="1:22" x14ac:dyDescent="0.25">
      <c r="A627" s="108" t="s">
        <v>399</v>
      </c>
      <c r="B627" s="109" t="s">
        <v>11</v>
      </c>
      <c r="C627" s="109" t="s">
        <v>175</v>
      </c>
      <c r="D627" s="109" t="s">
        <v>84</v>
      </c>
      <c r="E627" s="109" t="s">
        <v>172</v>
      </c>
      <c r="F627" s="109">
        <v>2016</v>
      </c>
      <c r="G627" s="110">
        <v>42963.791666666664</v>
      </c>
      <c r="H627" s="110">
        <v>42978.958333333336</v>
      </c>
      <c r="I627" s="111">
        <v>42963</v>
      </c>
      <c r="J627" s="111">
        <v>42978</v>
      </c>
      <c r="K627" s="112" t="s">
        <v>526</v>
      </c>
      <c r="L627" s="112">
        <v>0.95833333333333337</v>
      </c>
      <c r="M627" s="112" t="s">
        <v>541</v>
      </c>
      <c r="N627" s="112" t="s">
        <v>534</v>
      </c>
      <c r="O627" s="112" t="s">
        <v>543</v>
      </c>
      <c r="P627" s="109" t="s">
        <v>23</v>
      </c>
      <c r="Q627" s="109" t="s">
        <v>37</v>
      </c>
      <c r="R627" s="109" t="s">
        <v>113</v>
      </c>
      <c r="S627" s="109">
        <v>3</v>
      </c>
      <c r="T627" s="109">
        <v>12</v>
      </c>
      <c r="U627" s="139">
        <v>52</v>
      </c>
      <c r="V627" s="140">
        <v>624</v>
      </c>
    </row>
    <row r="628" spans="1:22" x14ac:dyDescent="0.25">
      <c r="A628" s="103" t="s">
        <v>400</v>
      </c>
      <c r="B628" s="104" t="s">
        <v>39</v>
      </c>
      <c r="C628" s="104" t="s">
        <v>177</v>
      </c>
      <c r="D628" s="104" t="s">
        <v>82</v>
      </c>
      <c r="E628" s="104" t="s">
        <v>172</v>
      </c>
      <c r="F628" s="104">
        <v>2016</v>
      </c>
      <c r="G628" s="105">
        <v>42964.583333333336</v>
      </c>
      <c r="H628" s="105">
        <v>42979.75</v>
      </c>
      <c r="I628" s="106">
        <v>42964</v>
      </c>
      <c r="J628" s="106">
        <v>42979</v>
      </c>
      <c r="K628" s="107" t="s">
        <v>527</v>
      </c>
      <c r="L628" s="107">
        <v>0.75</v>
      </c>
      <c r="M628" s="107" t="s">
        <v>542</v>
      </c>
      <c r="N628" s="107" t="s">
        <v>534</v>
      </c>
      <c r="O628" s="107" t="s">
        <v>543</v>
      </c>
      <c r="P628" s="104" t="s">
        <v>23</v>
      </c>
      <c r="Q628" s="104" t="s">
        <v>190</v>
      </c>
      <c r="R628" s="104" t="s">
        <v>109</v>
      </c>
      <c r="S628" s="104">
        <v>3</v>
      </c>
      <c r="T628" s="104">
        <v>11</v>
      </c>
      <c r="U628" s="137">
        <v>75</v>
      </c>
      <c r="V628" s="138">
        <v>825</v>
      </c>
    </row>
    <row r="629" spans="1:22" x14ac:dyDescent="0.25">
      <c r="A629" s="108" t="s">
        <v>401</v>
      </c>
      <c r="B629" s="109" t="s">
        <v>19</v>
      </c>
      <c r="C629" s="109" t="s">
        <v>176</v>
      </c>
      <c r="D629" s="109" t="s">
        <v>84</v>
      </c>
      <c r="E629" s="109" t="s">
        <v>172</v>
      </c>
      <c r="F629" s="109">
        <v>2016</v>
      </c>
      <c r="G629" s="110">
        <v>42965.375</v>
      </c>
      <c r="H629" s="110">
        <v>42972.75</v>
      </c>
      <c r="I629" s="111">
        <v>42965</v>
      </c>
      <c r="J629" s="111">
        <v>42972</v>
      </c>
      <c r="K629" s="112" t="s">
        <v>525</v>
      </c>
      <c r="L629" s="112">
        <v>0.75</v>
      </c>
      <c r="M629" s="112" t="s">
        <v>540</v>
      </c>
      <c r="N629" s="112" t="s">
        <v>534</v>
      </c>
      <c r="O629" s="112" t="s">
        <v>543</v>
      </c>
      <c r="P629" s="109" t="s">
        <v>9</v>
      </c>
      <c r="Q629" s="109" t="s">
        <v>190</v>
      </c>
      <c r="R629" s="109" t="s">
        <v>109</v>
      </c>
      <c r="S629" s="109">
        <v>2</v>
      </c>
      <c r="T629" s="109">
        <v>11</v>
      </c>
      <c r="U629" s="139">
        <v>52</v>
      </c>
      <c r="V629" s="140">
        <v>572</v>
      </c>
    </row>
    <row r="630" spans="1:22" x14ac:dyDescent="0.25">
      <c r="A630" s="103" t="s">
        <v>402</v>
      </c>
      <c r="B630" s="104" t="s">
        <v>11</v>
      </c>
      <c r="C630" s="104" t="s">
        <v>175</v>
      </c>
      <c r="D630" s="104" t="s">
        <v>88</v>
      </c>
      <c r="E630" s="104" t="s">
        <v>170</v>
      </c>
      <c r="F630" s="104">
        <v>2016</v>
      </c>
      <c r="G630" s="105">
        <v>42966.333333333336</v>
      </c>
      <c r="H630" s="105">
        <v>42980.5</v>
      </c>
      <c r="I630" s="106">
        <v>42966</v>
      </c>
      <c r="J630" s="106">
        <v>42980</v>
      </c>
      <c r="K630" s="107" t="s">
        <v>522</v>
      </c>
      <c r="L630" s="107">
        <v>0.5</v>
      </c>
      <c r="M630" s="107" t="s">
        <v>539</v>
      </c>
      <c r="N630" s="107" t="s">
        <v>534</v>
      </c>
      <c r="O630" s="107" t="s">
        <v>543</v>
      </c>
      <c r="P630" s="104" t="s">
        <v>23</v>
      </c>
      <c r="Q630" s="104" t="s">
        <v>16</v>
      </c>
      <c r="R630" s="104" t="s">
        <v>109</v>
      </c>
      <c r="S630" s="104">
        <v>3</v>
      </c>
      <c r="T630" s="104">
        <v>11</v>
      </c>
      <c r="U630" s="137">
        <v>42</v>
      </c>
      <c r="V630" s="138">
        <v>462</v>
      </c>
    </row>
    <row r="631" spans="1:22" x14ac:dyDescent="0.25">
      <c r="A631" s="108" t="s">
        <v>403</v>
      </c>
      <c r="B631" s="109" t="s">
        <v>7</v>
      </c>
      <c r="C631" s="109" t="s">
        <v>175</v>
      </c>
      <c r="D631" s="109" t="s">
        <v>76</v>
      </c>
      <c r="E631" s="109" t="s">
        <v>174</v>
      </c>
      <c r="F631" s="109">
        <v>2016</v>
      </c>
      <c r="G631" s="110">
        <v>42967.375</v>
      </c>
      <c r="H631" s="110">
        <v>42972.75</v>
      </c>
      <c r="I631" s="111">
        <v>42967</v>
      </c>
      <c r="J631" s="111">
        <v>42972</v>
      </c>
      <c r="K631" s="112" t="s">
        <v>525</v>
      </c>
      <c r="L631" s="112">
        <v>0.75</v>
      </c>
      <c r="M631" s="112" t="s">
        <v>540</v>
      </c>
      <c r="N631" s="112" t="s">
        <v>534</v>
      </c>
      <c r="O631" s="112" t="s">
        <v>543</v>
      </c>
      <c r="P631" s="109" t="s">
        <v>9</v>
      </c>
      <c r="Q631" s="109" t="s">
        <v>18</v>
      </c>
      <c r="R631" s="109" t="s">
        <v>113</v>
      </c>
      <c r="S631" s="109">
        <v>4</v>
      </c>
      <c r="T631" s="109">
        <v>12</v>
      </c>
      <c r="U631" s="139">
        <v>53</v>
      </c>
      <c r="V631" s="140">
        <v>636</v>
      </c>
    </row>
    <row r="632" spans="1:22" x14ac:dyDescent="0.25">
      <c r="A632" s="103" t="s">
        <v>404</v>
      </c>
      <c r="B632" s="104" t="s">
        <v>39</v>
      </c>
      <c r="C632" s="104" t="s">
        <v>177</v>
      </c>
      <c r="D632" s="104" t="s">
        <v>80</v>
      </c>
      <c r="E632" s="104" t="s">
        <v>173</v>
      </c>
      <c r="F632" s="104">
        <v>2016</v>
      </c>
      <c r="G632" s="105">
        <v>42969.791666666664</v>
      </c>
      <c r="H632" s="105">
        <v>42983.958333333336</v>
      </c>
      <c r="I632" s="106">
        <v>42969</v>
      </c>
      <c r="J632" s="106">
        <v>42983</v>
      </c>
      <c r="K632" s="107" t="s">
        <v>526</v>
      </c>
      <c r="L632" s="107">
        <v>0.95833333333333337</v>
      </c>
      <c r="M632" s="107" t="s">
        <v>541</v>
      </c>
      <c r="N632" s="107" t="s">
        <v>534</v>
      </c>
      <c r="O632" s="107" t="s">
        <v>543</v>
      </c>
      <c r="P632" s="104" t="s">
        <v>23</v>
      </c>
      <c r="Q632" s="104" t="s">
        <v>16</v>
      </c>
      <c r="R632" s="104" t="s">
        <v>109</v>
      </c>
      <c r="S632" s="104">
        <v>5</v>
      </c>
      <c r="T632" s="104">
        <v>12</v>
      </c>
      <c r="U632" s="137">
        <v>32</v>
      </c>
      <c r="V632" s="138">
        <v>384</v>
      </c>
    </row>
    <row r="633" spans="1:22" x14ac:dyDescent="0.25">
      <c r="A633" s="108" t="s">
        <v>405</v>
      </c>
      <c r="B633" s="109" t="s">
        <v>39</v>
      </c>
      <c r="C633" s="109" t="s">
        <v>177</v>
      </c>
      <c r="D633" s="109" t="s">
        <v>88</v>
      </c>
      <c r="E633" s="109" t="s">
        <v>170</v>
      </c>
      <c r="F633" s="109">
        <v>2016</v>
      </c>
      <c r="G633" s="110">
        <v>42969.791666666664</v>
      </c>
      <c r="H633" s="110">
        <v>42983.958333333336</v>
      </c>
      <c r="I633" s="111">
        <v>42969</v>
      </c>
      <c r="J633" s="111">
        <v>42983</v>
      </c>
      <c r="K633" s="112" t="s">
        <v>526</v>
      </c>
      <c r="L633" s="112">
        <v>0.95833333333333337</v>
      </c>
      <c r="M633" s="112" t="s">
        <v>541</v>
      </c>
      <c r="N633" s="112" t="s">
        <v>534</v>
      </c>
      <c r="O633" s="112" t="s">
        <v>543</v>
      </c>
      <c r="P633" s="109" t="s">
        <v>9</v>
      </c>
      <c r="Q633" s="109" t="s">
        <v>190</v>
      </c>
      <c r="R633" s="109" t="s">
        <v>109</v>
      </c>
      <c r="S633" s="109">
        <v>4</v>
      </c>
      <c r="T633" s="109">
        <v>8</v>
      </c>
      <c r="U633" s="139">
        <v>42</v>
      </c>
      <c r="V633" s="140">
        <v>336</v>
      </c>
    </row>
    <row r="634" spans="1:22" x14ac:dyDescent="0.25">
      <c r="A634" s="103" t="s">
        <v>406</v>
      </c>
      <c r="B634" s="104" t="s">
        <v>45</v>
      </c>
      <c r="C634" s="104" t="s">
        <v>177</v>
      </c>
      <c r="D634" s="104" t="s">
        <v>82</v>
      </c>
      <c r="E634" s="104" t="s">
        <v>172</v>
      </c>
      <c r="F634" s="104">
        <v>2016</v>
      </c>
      <c r="G634" s="105">
        <v>42970.791666666664</v>
      </c>
      <c r="H634" s="105">
        <v>42984.958333333336</v>
      </c>
      <c r="I634" s="106">
        <v>42970</v>
      </c>
      <c r="J634" s="106">
        <v>42984</v>
      </c>
      <c r="K634" s="107" t="s">
        <v>526</v>
      </c>
      <c r="L634" s="107">
        <v>0.95833333333333337</v>
      </c>
      <c r="M634" s="107" t="s">
        <v>541</v>
      </c>
      <c r="N634" s="107" t="s">
        <v>534</v>
      </c>
      <c r="O634" s="107" t="s">
        <v>543</v>
      </c>
      <c r="P634" s="104" t="s">
        <v>23</v>
      </c>
      <c r="Q634" s="104" t="s">
        <v>37</v>
      </c>
      <c r="R634" s="104" t="s">
        <v>113</v>
      </c>
      <c r="S634" s="104">
        <v>3</v>
      </c>
      <c r="T634" s="104">
        <v>11</v>
      </c>
      <c r="U634" s="137">
        <v>75</v>
      </c>
      <c r="V634" s="138">
        <v>825</v>
      </c>
    </row>
    <row r="635" spans="1:22" x14ac:dyDescent="0.25">
      <c r="A635" s="108" t="s">
        <v>407</v>
      </c>
      <c r="B635" s="109" t="s">
        <v>7</v>
      </c>
      <c r="C635" s="109" t="s">
        <v>175</v>
      </c>
      <c r="D635" s="109" t="s">
        <v>80</v>
      </c>
      <c r="E635" s="109" t="s">
        <v>173</v>
      </c>
      <c r="F635" s="109">
        <v>2016</v>
      </c>
      <c r="G635" s="110">
        <v>42971.583333333336</v>
      </c>
      <c r="H635" s="110">
        <v>42985.75</v>
      </c>
      <c r="I635" s="111">
        <v>42971</v>
      </c>
      <c r="J635" s="111">
        <v>42985</v>
      </c>
      <c r="K635" s="112" t="s">
        <v>527</v>
      </c>
      <c r="L635" s="112">
        <v>0.75</v>
      </c>
      <c r="M635" s="112" t="s">
        <v>542</v>
      </c>
      <c r="N635" s="112" t="s">
        <v>534</v>
      </c>
      <c r="O635" s="112" t="s">
        <v>543</v>
      </c>
      <c r="P635" s="109" t="s">
        <v>23</v>
      </c>
      <c r="Q635" s="109" t="s">
        <v>37</v>
      </c>
      <c r="R635" s="109" t="s">
        <v>113</v>
      </c>
      <c r="S635" s="109">
        <v>5</v>
      </c>
      <c r="T635" s="109">
        <v>9</v>
      </c>
      <c r="U635" s="139">
        <v>32</v>
      </c>
      <c r="V635" s="140">
        <v>288</v>
      </c>
    </row>
    <row r="636" spans="1:22" x14ac:dyDescent="0.25">
      <c r="A636" s="103" t="s">
        <v>408</v>
      </c>
      <c r="B636" s="104" t="s">
        <v>14</v>
      </c>
      <c r="C636" s="104" t="s">
        <v>175</v>
      </c>
      <c r="D636" s="104" t="s">
        <v>77</v>
      </c>
      <c r="E636" s="104" t="s">
        <v>172</v>
      </c>
      <c r="F636" s="104">
        <v>2016</v>
      </c>
      <c r="G636" s="105">
        <v>42972.375</v>
      </c>
      <c r="H636" s="105">
        <v>42979.75</v>
      </c>
      <c r="I636" s="106">
        <v>42972</v>
      </c>
      <c r="J636" s="106">
        <v>42979</v>
      </c>
      <c r="K636" s="107" t="s">
        <v>525</v>
      </c>
      <c r="L636" s="107">
        <v>0.75</v>
      </c>
      <c r="M636" s="107" t="s">
        <v>540</v>
      </c>
      <c r="N636" s="107" t="s">
        <v>534</v>
      </c>
      <c r="O636" s="107" t="s">
        <v>543</v>
      </c>
      <c r="P636" s="104" t="s">
        <v>9</v>
      </c>
      <c r="Q636" s="104" t="s">
        <v>31</v>
      </c>
      <c r="R636" s="104" t="s">
        <v>113</v>
      </c>
      <c r="S636" s="104">
        <v>2</v>
      </c>
      <c r="T636" s="104">
        <v>8</v>
      </c>
      <c r="U636" s="137">
        <v>35</v>
      </c>
      <c r="V636" s="138">
        <v>280</v>
      </c>
    </row>
    <row r="637" spans="1:22" x14ac:dyDescent="0.25">
      <c r="A637" s="108" t="s">
        <v>409</v>
      </c>
      <c r="B637" s="109" t="s">
        <v>7</v>
      </c>
      <c r="C637" s="109" t="s">
        <v>175</v>
      </c>
      <c r="D637" s="109" t="s">
        <v>86</v>
      </c>
      <c r="E637" s="109" t="s">
        <v>169</v>
      </c>
      <c r="F637" s="109">
        <v>2016</v>
      </c>
      <c r="G637" s="110">
        <v>42973.333333333336</v>
      </c>
      <c r="H637" s="110">
        <v>42987.5</v>
      </c>
      <c r="I637" s="111">
        <v>42973</v>
      </c>
      <c r="J637" s="111">
        <v>42987</v>
      </c>
      <c r="K637" s="112" t="s">
        <v>522</v>
      </c>
      <c r="L637" s="112">
        <v>0.5</v>
      </c>
      <c r="M637" s="112" t="s">
        <v>539</v>
      </c>
      <c r="N637" s="112" t="s">
        <v>534</v>
      </c>
      <c r="O637" s="112" t="s">
        <v>543</v>
      </c>
      <c r="P637" s="109" t="s">
        <v>9</v>
      </c>
      <c r="Q637" s="109" t="s">
        <v>44</v>
      </c>
      <c r="R637" s="109" t="s">
        <v>113</v>
      </c>
      <c r="S637" s="109">
        <v>2</v>
      </c>
      <c r="T637" s="109">
        <v>8</v>
      </c>
      <c r="U637" s="139">
        <v>48</v>
      </c>
      <c r="V637" s="140">
        <v>384</v>
      </c>
    </row>
    <row r="638" spans="1:22" x14ac:dyDescent="0.25">
      <c r="A638" s="103" t="s">
        <v>410</v>
      </c>
      <c r="B638" s="104" t="s">
        <v>29</v>
      </c>
      <c r="C638" s="104" t="s">
        <v>177</v>
      </c>
      <c r="D638" s="104" t="s">
        <v>82</v>
      </c>
      <c r="E638" s="104" t="s">
        <v>172</v>
      </c>
      <c r="F638" s="104">
        <v>2016</v>
      </c>
      <c r="G638" s="105">
        <v>42974.375</v>
      </c>
      <c r="H638" s="105">
        <v>42980.75</v>
      </c>
      <c r="I638" s="106">
        <v>42974</v>
      </c>
      <c r="J638" s="106">
        <v>42980</v>
      </c>
      <c r="K638" s="107" t="s">
        <v>525</v>
      </c>
      <c r="L638" s="107">
        <v>0.75</v>
      </c>
      <c r="M638" s="107" t="s">
        <v>540</v>
      </c>
      <c r="N638" s="107" t="s">
        <v>534</v>
      </c>
      <c r="O638" s="107" t="s">
        <v>543</v>
      </c>
      <c r="P638" s="104" t="s">
        <v>23</v>
      </c>
      <c r="Q638" s="104" t="s">
        <v>38</v>
      </c>
      <c r="R638" s="104" t="s">
        <v>113</v>
      </c>
      <c r="S638" s="104">
        <v>2</v>
      </c>
      <c r="T638" s="104">
        <v>11</v>
      </c>
      <c r="U638" s="137">
        <v>75</v>
      </c>
      <c r="V638" s="138">
        <v>825</v>
      </c>
    </row>
    <row r="639" spans="1:22" x14ac:dyDescent="0.25">
      <c r="A639" s="108" t="s">
        <v>411</v>
      </c>
      <c r="B639" s="109" t="s">
        <v>11</v>
      </c>
      <c r="C639" s="109" t="s">
        <v>175</v>
      </c>
      <c r="D639" s="109" t="s">
        <v>88</v>
      </c>
      <c r="E639" s="109" t="s">
        <v>170</v>
      </c>
      <c r="F639" s="109">
        <v>2016</v>
      </c>
      <c r="G639" s="110">
        <v>42976.791666666664</v>
      </c>
      <c r="H639" s="110">
        <v>42987.958333333336</v>
      </c>
      <c r="I639" s="111">
        <v>42976</v>
      </c>
      <c r="J639" s="111">
        <v>42987</v>
      </c>
      <c r="K639" s="112" t="s">
        <v>526</v>
      </c>
      <c r="L639" s="112">
        <v>0.95833333333333337</v>
      </c>
      <c r="M639" s="112" t="s">
        <v>541</v>
      </c>
      <c r="N639" s="112" t="s">
        <v>534</v>
      </c>
      <c r="O639" s="112" t="s">
        <v>543</v>
      </c>
      <c r="P639" s="109" t="s">
        <v>9</v>
      </c>
      <c r="Q639" s="109" t="s">
        <v>18</v>
      </c>
      <c r="R639" s="109" t="s">
        <v>113</v>
      </c>
      <c r="S639" s="109">
        <v>5</v>
      </c>
      <c r="T639" s="109">
        <v>12</v>
      </c>
      <c r="U639" s="139">
        <v>42</v>
      </c>
      <c r="V639" s="140">
        <v>504</v>
      </c>
    </row>
    <row r="640" spans="1:22" x14ac:dyDescent="0.25">
      <c r="A640" s="103" t="s">
        <v>412</v>
      </c>
      <c r="B640" s="104" t="s">
        <v>19</v>
      </c>
      <c r="C640" s="104" t="s">
        <v>176</v>
      </c>
      <c r="D640" s="104" t="s">
        <v>82</v>
      </c>
      <c r="E640" s="104" t="s">
        <v>172</v>
      </c>
      <c r="F640" s="104">
        <v>2016</v>
      </c>
      <c r="G640" s="105">
        <v>42976.791666666664</v>
      </c>
      <c r="H640" s="105">
        <v>42987.958333333336</v>
      </c>
      <c r="I640" s="106">
        <v>42976</v>
      </c>
      <c r="J640" s="106">
        <v>42987</v>
      </c>
      <c r="K640" s="107" t="s">
        <v>526</v>
      </c>
      <c r="L640" s="107">
        <v>0.95833333333333337</v>
      </c>
      <c r="M640" s="107" t="s">
        <v>541</v>
      </c>
      <c r="N640" s="107" t="s">
        <v>534</v>
      </c>
      <c r="O640" s="107" t="s">
        <v>543</v>
      </c>
      <c r="P640" s="104" t="s">
        <v>23</v>
      </c>
      <c r="Q640" s="104" t="s">
        <v>16</v>
      </c>
      <c r="R640" s="104" t="s">
        <v>109</v>
      </c>
      <c r="S640" s="104">
        <v>4</v>
      </c>
      <c r="T640" s="104">
        <v>12</v>
      </c>
      <c r="U640" s="137">
        <v>75</v>
      </c>
      <c r="V640" s="138">
        <v>900</v>
      </c>
    </row>
    <row r="641" spans="1:22" x14ac:dyDescent="0.25">
      <c r="A641" s="108" t="s">
        <v>413</v>
      </c>
      <c r="B641" s="109" t="s">
        <v>22</v>
      </c>
      <c r="C641" s="109" t="s">
        <v>176</v>
      </c>
      <c r="D641" s="109" t="s">
        <v>89</v>
      </c>
      <c r="E641" s="109" t="s">
        <v>169</v>
      </c>
      <c r="F641" s="109">
        <v>2016</v>
      </c>
      <c r="G641" s="110">
        <v>42977.791666666664</v>
      </c>
      <c r="H641" s="110">
        <v>42990.958333333336</v>
      </c>
      <c r="I641" s="111">
        <v>42977</v>
      </c>
      <c r="J641" s="111">
        <v>42990</v>
      </c>
      <c r="K641" s="112" t="s">
        <v>526</v>
      </c>
      <c r="L641" s="112">
        <v>0.95833333333333337</v>
      </c>
      <c r="M641" s="112" t="s">
        <v>541</v>
      </c>
      <c r="N641" s="112" t="s">
        <v>534</v>
      </c>
      <c r="O641" s="112" t="s">
        <v>543</v>
      </c>
      <c r="P641" s="109" t="s">
        <v>23</v>
      </c>
      <c r="Q641" s="109" t="s">
        <v>18</v>
      </c>
      <c r="R641" s="109" t="s">
        <v>113</v>
      </c>
      <c r="S641" s="109">
        <v>3</v>
      </c>
      <c r="T641" s="109">
        <v>12</v>
      </c>
      <c r="U641" s="139">
        <v>62</v>
      </c>
      <c r="V641" s="140">
        <v>744</v>
      </c>
    </row>
    <row r="642" spans="1:22" x14ac:dyDescent="0.25">
      <c r="A642" s="103" t="s">
        <v>414</v>
      </c>
      <c r="B642" s="104" t="s">
        <v>7</v>
      </c>
      <c r="C642" s="104" t="s">
        <v>175</v>
      </c>
      <c r="D642" s="104" t="s">
        <v>78</v>
      </c>
      <c r="E642" s="104" t="s">
        <v>172</v>
      </c>
      <c r="F642" s="104">
        <v>2016</v>
      </c>
      <c r="G642" s="105">
        <v>42978.583333333336</v>
      </c>
      <c r="H642" s="105">
        <v>42991.75</v>
      </c>
      <c r="I642" s="106">
        <v>42978</v>
      </c>
      <c r="J642" s="106">
        <v>42991</v>
      </c>
      <c r="K642" s="107" t="s">
        <v>527</v>
      </c>
      <c r="L642" s="107">
        <v>0.75</v>
      </c>
      <c r="M642" s="107" t="s">
        <v>542</v>
      </c>
      <c r="N642" s="107" t="s">
        <v>534</v>
      </c>
      <c r="O642" s="107" t="s">
        <v>543</v>
      </c>
      <c r="P642" s="104" t="s">
        <v>9</v>
      </c>
      <c r="Q642" s="104" t="s">
        <v>38</v>
      </c>
      <c r="R642" s="104" t="s">
        <v>113</v>
      </c>
      <c r="S642" s="104">
        <v>2</v>
      </c>
      <c r="T642" s="104">
        <v>11</v>
      </c>
      <c r="U642" s="137">
        <v>62</v>
      </c>
      <c r="V642" s="138">
        <v>682</v>
      </c>
    </row>
    <row r="643" spans="1:22" x14ac:dyDescent="0.25">
      <c r="A643" s="108" t="s">
        <v>415</v>
      </c>
      <c r="B643" s="109" t="s">
        <v>29</v>
      </c>
      <c r="C643" s="109" t="s">
        <v>177</v>
      </c>
      <c r="D643" s="109" t="s">
        <v>80</v>
      </c>
      <c r="E643" s="109" t="s">
        <v>173</v>
      </c>
      <c r="F643" s="109">
        <v>2016</v>
      </c>
      <c r="G643" s="110">
        <v>42979.375</v>
      </c>
      <c r="H643" s="110">
        <v>42985.75</v>
      </c>
      <c r="I643" s="111">
        <v>42979</v>
      </c>
      <c r="J643" s="111">
        <v>42985</v>
      </c>
      <c r="K643" s="112" t="s">
        <v>525</v>
      </c>
      <c r="L643" s="112">
        <v>0.75</v>
      </c>
      <c r="M643" s="112" t="s">
        <v>540</v>
      </c>
      <c r="N643" s="112" t="s">
        <v>535</v>
      </c>
      <c r="O643" s="112" t="s">
        <v>543</v>
      </c>
      <c r="P643" s="109" t="s">
        <v>23</v>
      </c>
      <c r="Q643" s="109" t="s">
        <v>18</v>
      </c>
      <c r="R643" s="109" t="s">
        <v>113</v>
      </c>
      <c r="S643" s="109">
        <v>3</v>
      </c>
      <c r="T643" s="109">
        <v>12</v>
      </c>
      <c r="U643" s="139">
        <v>32</v>
      </c>
      <c r="V643" s="140">
        <v>384</v>
      </c>
    </row>
    <row r="644" spans="1:22" x14ac:dyDescent="0.25">
      <c r="A644" s="103" t="s">
        <v>416</v>
      </c>
      <c r="B644" s="104" t="s">
        <v>45</v>
      </c>
      <c r="C644" s="104" t="s">
        <v>177</v>
      </c>
      <c r="D644" s="104" t="s">
        <v>78</v>
      </c>
      <c r="E644" s="104" t="s">
        <v>172</v>
      </c>
      <c r="F644" s="104">
        <v>2016</v>
      </c>
      <c r="G644" s="105">
        <v>42980.333333333336</v>
      </c>
      <c r="H644" s="105">
        <v>42993.5</v>
      </c>
      <c r="I644" s="106">
        <v>42980</v>
      </c>
      <c r="J644" s="106">
        <v>42993</v>
      </c>
      <c r="K644" s="107" t="s">
        <v>522</v>
      </c>
      <c r="L644" s="107">
        <v>0.5</v>
      </c>
      <c r="M644" s="107" t="s">
        <v>539</v>
      </c>
      <c r="N644" s="107" t="s">
        <v>535</v>
      </c>
      <c r="O644" s="107" t="s">
        <v>543</v>
      </c>
      <c r="P644" s="104" t="s">
        <v>9</v>
      </c>
      <c r="Q644" s="104" t="s">
        <v>44</v>
      </c>
      <c r="R644" s="104" t="s">
        <v>113</v>
      </c>
      <c r="S644" s="104">
        <v>2</v>
      </c>
      <c r="T644" s="104">
        <v>8</v>
      </c>
      <c r="U644" s="137">
        <v>62</v>
      </c>
      <c r="V644" s="138">
        <v>496</v>
      </c>
    </row>
    <row r="645" spans="1:22" x14ac:dyDescent="0.25">
      <c r="A645" s="108" t="s">
        <v>417</v>
      </c>
      <c r="B645" s="109" t="s">
        <v>29</v>
      </c>
      <c r="C645" s="109" t="s">
        <v>177</v>
      </c>
      <c r="D645" s="109" t="s">
        <v>77</v>
      </c>
      <c r="E645" s="109" t="s">
        <v>172</v>
      </c>
      <c r="F645" s="109">
        <v>2016</v>
      </c>
      <c r="G645" s="110">
        <v>42981.375</v>
      </c>
      <c r="H645" s="110">
        <v>42986.75</v>
      </c>
      <c r="I645" s="111">
        <v>42981</v>
      </c>
      <c r="J645" s="111">
        <v>42986</v>
      </c>
      <c r="K645" s="112" t="s">
        <v>525</v>
      </c>
      <c r="L645" s="112">
        <v>0.75</v>
      </c>
      <c r="M645" s="112" t="s">
        <v>540</v>
      </c>
      <c r="N645" s="112" t="s">
        <v>535</v>
      </c>
      <c r="O645" s="112" t="s">
        <v>543</v>
      </c>
      <c r="P645" s="109" t="s">
        <v>9</v>
      </c>
      <c r="Q645" s="109" t="s">
        <v>21</v>
      </c>
      <c r="R645" s="109" t="s">
        <v>113</v>
      </c>
      <c r="S645" s="109">
        <v>4</v>
      </c>
      <c r="T645" s="109">
        <v>12</v>
      </c>
      <c r="U645" s="139">
        <v>35</v>
      </c>
      <c r="V645" s="140">
        <v>420</v>
      </c>
    </row>
    <row r="646" spans="1:22" x14ac:dyDescent="0.25">
      <c r="A646" s="103" t="s">
        <v>418</v>
      </c>
      <c r="B646" s="104" t="s">
        <v>11</v>
      </c>
      <c r="C646" s="104" t="s">
        <v>175</v>
      </c>
      <c r="D646" s="104" t="s">
        <v>85</v>
      </c>
      <c r="E646" s="104" t="s">
        <v>170</v>
      </c>
      <c r="F646" s="104">
        <v>2016</v>
      </c>
      <c r="G646" s="105">
        <v>42983.791666666664</v>
      </c>
      <c r="H646" s="105">
        <v>42994.958333333336</v>
      </c>
      <c r="I646" s="106">
        <v>42983</v>
      </c>
      <c r="J646" s="106">
        <v>42994</v>
      </c>
      <c r="K646" s="107" t="s">
        <v>526</v>
      </c>
      <c r="L646" s="107">
        <v>0.95833333333333337</v>
      </c>
      <c r="M646" s="107" t="s">
        <v>541</v>
      </c>
      <c r="N646" s="107" t="s">
        <v>535</v>
      </c>
      <c r="O646" s="107" t="s">
        <v>543</v>
      </c>
      <c r="P646" s="104" t="s">
        <v>9</v>
      </c>
      <c r="Q646" s="104" t="s">
        <v>190</v>
      </c>
      <c r="R646" s="104" t="s">
        <v>109</v>
      </c>
      <c r="S646" s="104">
        <v>3</v>
      </c>
      <c r="T646" s="104">
        <v>11</v>
      </c>
      <c r="U646" s="137">
        <v>48</v>
      </c>
      <c r="V646" s="138">
        <v>528</v>
      </c>
    </row>
    <row r="647" spans="1:22" x14ac:dyDescent="0.25">
      <c r="A647" s="108" t="s">
        <v>419</v>
      </c>
      <c r="B647" s="109" t="s">
        <v>17</v>
      </c>
      <c r="C647" s="109" t="s">
        <v>176</v>
      </c>
      <c r="D647" s="109" t="s">
        <v>83</v>
      </c>
      <c r="E647" s="109" t="s">
        <v>174</v>
      </c>
      <c r="F647" s="109">
        <v>2016</v>
      </c>
      <c r="G647" s="110">
        <v>42983.791666666664</v>
      </c>
      <c r="H647" s="110">
        <v>42994.958333333336</v>
      </c>
      <c r="I647" s="111">
        <v>42983</v>
      </c>
      <c r="J647" s="111">
        <v>42994</v>
      </c>
      <c r="K647" s="112" t="s">
        <v>526</v>
      </c>
      <c r="L647" s="112">
        <v>0.95833333333333337</v>
      </c>
      <c r="M647" s="112" t="s">
        <v>541</v>
      </c>
      <c r="N647" s="112" t="s">
        <v>535</v>
      </c>
      <c r="O647" s="112" t="s">
        <v>543</v>
      </c>
      <c r="P647" s="109" t="s">
        <v>9</v>
      </c>
      <c r="Q647" s="109" t="s">
        <v>16</v>
      </c>
      <c r="R647" s="109" t="s">
        <v>109</v>
      </c>
      <c r="S647" s="109">
        <v>2</v>
      </c>
      <c r="T647" s="109">
        <v>8</v>
      </c>
      <c r="U647" s="139">
        <v>63</v>
      </c>
      <c r="V647" s="140">
        <v>504</v>
      </c>
    </row>
    <row r="648" spans="1:22" x14ac:dyDescent="0.25">
      <c r="A648" s="103" t="s">
        <v>420</v>
      </c>
      <c r="B648" s="104" t="s">
        <v>17</v>
      </c>
      <c r="C648" s="104" t="s">
        <v>176</v>
      </c>
      <c r="D648" s="104" t="s">
        <v>84</v>
      </c>
      <c r="E648" s="104" t="s">
        <v>172</v>
      </c>
      <c r="F648" s="104">
        <v>2016</v>
      </c>
      <c r="G648" s="105">
        <v>42984.791666666664</v>
      </c>
      <c r="H648" s="105">
        <v>42997.958333333336</v>
      </c>
      <c r="I648" s="106">
        <v>42984</v>
      </c>
      <c r="J648" s="106">
        <v>42997</v>
      </c>
      <c r="K648" s="107" t="s">
        <v>526</v>
      </c>
      <c r="L648" s="107">
        <v>0.95833333333333337</v>
      </c>
      <c r="M648" s="107" t="s">
        <v>541</v>
      </c>
      <c r="N648" s="107" t="s">
        <v>535</v>
      </c>
      <c r="O648" s="107" t="s">
        <v>543</v>
      </c>
      <c r="P648" s="104" t="s">
        <v>9</v>
      </c>
      <c r="Q648" s="104" t="s">
        <v>38</v>
      </c>
      <c r="R648" s="104" t="s">
        <v>113</v>
      </c>
      <c r="S648" s="104">
        <v>2</v>
      </c>
      <c r="T648" s="104">
        <v>11</v>
      </c>
      <c r="U648" s="137">
        <v>52</v>
      </c>
      <c r="V648" s="138">
        <v>572</v>
      </c>
    </row>
    <row r="649" spans="1:22" x14ac:dyDescent="0.25">
      <c r="A649" s="108" t="s">
        <v>421</v>
      </c>
      <c r="B649" s="109" t="s">
        <v>22</v>
      </c>
      <c r="C649" s="109" t="s">
        <v>176</v>
      </c>
      <c r="D649" s="109" t="s">
        <v>80</v>
      </c>
      <c r="E649" s="109" t="s">
        <v>173</v>
      </c>
      <c r="F649" s="109">
        <v>2016</v>
      </c>
      <c r="G649" s="110">
        <v>42985.583333333336</v>
      </c>
      <c r="H649" s="110">
        <v>42998.75</v>
      </c>
      <c r="I649" s="111">
        <v>42985</v>
      </c>
      <c r="J649" s="111">
        <v>42998</v>
      </c>
      <c r="K649" s="112" t="s">
        <v>527</v>
      </c>
      <c r="L649" s="112">
        <v>0.75</v>
      </c>
      <c r="M649" s="112" t="s">
        <v>542</v>
      </c>
      <c r="N649" s="112" t="s">
        <v>535</v>
      </c>
      <c r="O649" s="112" t="s">
        <v>543</v>
      </c>
      <c r="P649" s="109" t="s">
        <v>9</v>
      </c>
      <c r="Q649" s="109" t="s">
        <v>21</v>
      </c>
      <c r="R649" s="109" t="s">
        <v>113</v>
      </c>
      <c r="S649" s="109">
        <v>4</v>
      </c>
      <c r="T649" s="109">
        <v>9</v>
      </c>
      <c r="U649" s="139">
        <v>32</v>
      </c>
      <c r="V649" s="140">
        <v>288</v>
      </c>
    </row>
    <row r="650" spans="1:22" x14ac:dyDescent="0.25">
      <c r="A650" s="103" t="s">
        <v>422</v>
      </c>
      <c r="B650" s="104" t="s">
        <v>29</v>
      </c>
      <c r="C650" s="104" t="s">
        <v>177</v>
      </c>
      <c r="D650" s="104" t="s">
        <v>80</v>
      </c>
      <c r="E650" s="104" t="s">
        <v>173</v>
      </c>
      <c r="F650" s="104">
        <v>2016</v>
      </c>
      <c r="G650" s="105">
        <v>42986.375</v>
      </c>
      <c r="H650" s="105">
        <v>42992.75</v>
      </c>
      <c r="I650" s="106">
        <v>42986</v>
      </c>
      <c r="J650" s="106">
        <v>42992</v>
      </c>
      <c r="K650" s="107" t="s">
        <v>525</v>
      </c>
      <c r="L650" s="107">
        <v>0.75</v>
      </c>
      <c r="M650" s="107" t="s">
        <v>540</v>
      </c>
      <c r="N650" s="107" t="s">
        <v>535</v>
      </c>
      <c r="O650" s="107" t="s">
        <v>543</v>
      </c>
      <c r="P650" s="104" t="s">
        <v>23</v>
      </c>
      <c r="Q650" s="104" t="s">
        <v>12</v>
      </c>
      <c r="R650" s="104" t="s">
        <v>113</v>
      </c>
      <c r="S650" s="104">
        <v>3</v>
      </c>
      <c r="T650" s="104">
        <v>9</v>
      </c>
      <c r="U650" s="137">
        <v>32</v>
      </c>
      <c r="V650" s="138">
        <v>288</v>
      </c>
    </row>
    <row r="651" spans="1:22" x14ac:dyDescent="0.25">
      <c r="A651" s="108" t="s">
        <v>423</v>
      </c>
      <c r="B651" s="109" t="s">
        <v>14</v>
      </c>
      <c r="C651" s="109" t="s">
        <v>175</v>
      </c>
      <c r="D651" s="109" t="s">
        <v>82</v>
      </c>
      <c r="E651" s="109" t="s">
        <v>172</v>
      </c>
      <c r="F651" s="109">
        <v>2016</v>
      </c>
      <c r="G651" s="110">
        <v>42987.333333333336</v>
      </c>
      <c r="H651" s="110">
        <v>43000.5</v>
      </c>
      <c r="I651" s="111">
        <v>42987</v>
      </c>
      <c r="J651" s="111">
        <v>43000</v>
      </c>
      <c r="K651" s="112" t="s">
        <v>522</v>
      </c>
      <c r="L651" s="112">
        <v>0.5</v>
      </c>
      <c r="M651" s="112" t="s">
        <v>539</v>
      </c>
      <c r="N651" s="112" t="s">
        <v>535</v>
      </c>
      <c r="O651" s="112" t="s">
        <v>543</v>
      </c>
      <c r="P651" s="109" t="s">
        <v>9</v>
      </c>
      <c r="Q651" s="109" t="s">
        <v>24</v>
      </c>
      <c r="R651" s="109" t="s">
        <v>113</v>
      </c>
      <c r="S651" s="109">
        <v>5</v>
      </c>
      <c r="T651" s="109">
        <v>8</v>
      </c>
      <c r="U651" s="139">
        <v>75</v>
      </c>
      <c r="V651" s="140">
        <v>600</v>
      </c>
    </row>
    <row r="652" spans="1:22" x14ac:dyDescent="0.25">
      <c r="A652" s="103" t="s">
        <v>424</v>
      </c>
      <c r="B652" s="104" t="s">
        <v>45</v>
      </c>
      <c r="C652" s="104" t="s">
        <v>177</v>
      </c>
      <c r="D652" s="104" t="s">
        <v>84</v>
      </c>
      <c r="E652" s="104" t="s">
        <v>172</v>
      </c>
      <c r="F652" s="104">
        <v>2016</v>
      </c>
      <c r="G652" s="105">
        <v>42988.375</v>
      </c>
      <c r="H652" s="105">
        <v>42993.75</v>
      </c>
      <c r="I652" s="106">
        <v>42988</v>
      </c>
      <c r="J652" s="106">
        <v>42993</v>
      </c>
      <c r="K652" s="107" t="s">
        <v>525</v>
      </c>
      <c r="L652" s="107">
        <v>0.75</v>
      </c>
      <c r="M652" s="107" t="s">
        <v>540</v>
      </c>
      <c r="N652" s="107" t="s">
        <v>535</v>
      </c>
      <c r="O652" s="107" t="s">
        <v>543</v>
      </c>
      <c r="P652" s="104" t="s">
        <v>23</v>
      </c>
      <c r="Q652" s="104" t="s">
        <v>38</v>
      </c>
      <c r="R652" s="104" t="s">
        <v>113</v>
      </c>
      <c r="S652" s="104">
        <v>2</v>
      </c>
      <c r="T652" s="104">
        <v>10</v>
      </c>
      <c r="U652" s="137">
        <v>52</v>
      </c>
      <c r="V652" s="138">
        <v>520</v>
      </c>
    </row>
    <row r="653" spans="1:22" x14ac:dyDescent="0.25">
      <c r="A653" s="108" t="s">
        <v>425</v>
      </c>
      <c r="B653" s="109" t="s">
        <v>19</v>
      </c>
      <c r="C653" s="109" t="s">
        <v>176</v>
      </c>
      <c r="D653" s="109" t="s">
        <v>84</v>
      </c>
      <c r="E653" s="109" t="s">
        <v>172</v>
      </c>
      <c r="F653" s="109">
        <v>2016</v>
      </c>
      <c r="G653" s="110">
        <v>42990.791666666664</v>
      </c>
      <c r="H653" s="110">
        <v>43001.958333333336</v>
      </c>
      <c r="I653" s="111">
        <v>42990</v>
      </c>
      <c r="J653" s="111">
        <v>43001</v>
      </c>
      <c r="K653" s="112" t="s">
        <v>526</v>
      </c>
      <c r="L653" s="112">
        <v>0.95833333333333337</v>
      </c>
      <c r="M653" s="112" t="s">
        <v>541</v>
      </c>
      <c r="N653" s="112" t="s">
        <v>535</v>
      </c>
      <c r="O653" s="112" t="s">
        <v>543</v>
      </c>
      <c r="P653" s="109" t="s">
        <v>23</v>
      </c>
      <c r="Q653" s="109" t="s">
        <v>190</v>
      </c>
      <c r="R653" s="109" t="s">
        <v>109</v>
      </c>
      <c r="S653" s="109">
        <v>5</v>
      </c>
      <c r="T653" s="109">
        <v>11</v>
      </c>
      <c r="U653" s="139">
        <v>52</v>
      </c>
      <c r="V653" s="140">
        <v>572</v>
      </c>
    </row>
    <row r="654" spans="1:22" x14ac:dyDescent="0.25">
      <c r="A654" s="103" t="s">
        <v>426</v>
      </c>
      <c r="B654" s="104" t="s">
        <v>7</v>
      </c>
      <c r="C654" s="104" t="s">
        <v>175</v>
      </c>
      <c r="D654" s="104" t="s">
        <v>80</v>
      </c>
      <c r="E654" s="104" t="s">
        <v>173</v>
      </c>
      <c r="F654" s="104">
        <v>2016</v>
      </c>
      <c r="G654" s="105">
        <v>42990.791666666664</v>
      </c>
      <c r="H654" s="105">
        <v>43001.958333333336</v>
      </c>
      <c r="I654" s="106">
        <v>42990</v>
      </c>
      <c r="J654" s="106">
        <v>43001</v>
      </c>
      <c r="K654" s="107" t="s">
        <v>526</v>
      </c>
      <c r="L654" s="107">
        <v>0.95833333333333337</v>
      </c>
      <c r="M654" s="107" t="s">
        <v>541</v>
      </c>
      <c r="N654" s="107" t="s">
        <v>535</v>
      </c>
      <c r="O654" s="107" t="s">
        <v>543</v>
      </c>
      <c r="P654" s="104" t="s">
        <v>23</v>
      </c>
      <c r="Q654" s="104" t="s">
        <v>28</v>
      </c>
      <c r="R654" s="104" t="s">
        <v>109</v>
      </c>
      <c r="S654" s="104">
        <v>5</v>
      </c>
      <c r="T654" s="104">
        <v>8</v>
      </c>
      <c r="U654" s="137">
        <v>32</v>
      </c>
      <c r="V654" s="138">
        <v>256</v>
      </c>
    </row>
    <row r="655" spans="1:22" x14ac:dyDescent="0.25">
      <c r="A655" s="108" t="s">
        <v>427</v>
      </c>
      <c r="B655" s="109" t="s">
        <v>22</v>
      </c>
      <c r="C655" s="109" t="s">
        <v>176</v>
      </c>
      <c r="D655" s="109" t="s">
        <v>77</v>
      </c>
      <c r="E655" s="109" t="s">
        <v>172</v>
      </c>
      <c r="F655" s="109">
        <v>2016</v>
      </c>
      <c r="G655" s="110">
        <v>42991.791666666664</v>
      </c>
      <c r="H655" s="110">
        <v>43004.958333333336</v>
      </c>
      <c r="I655" s="111">
        <v>42991</v>
      </c>
      <c r="J655" s="111">
        <v>43004</v>
      </c>
      <c r="K655" s="112" t="s">
        <v>526</v>
      </c>
      <c r="L655" s="112">
        <v>0.95833333333333337</v>
      </c>
      <c r="M655" s="112" t="s">
        <v>541</v>
      </c>
      <c r="N655" s="112" t="s">
        <v>535</v>
      </c>
      <c r="O655" s="112" t="s">
        <v>543</v>
      </c>
      <c r="P655" s="109" t="s">
        <v>9</v>
      </c>
      <c r="Q655" s="109" t="s">
        <v>28</v>
      </c>
      <c r="R655" s="109" t="s">
        <v>109</v>
      </c>
      <c r="S655" s="109">
        <v>4</v>
      </c>
      <c r="T655" s="109">
        <v>12</v>
      </c>
      <c r="U655" s="139">
        <v>35</v>
      </c>
      <c r="V655" s="140">
        <v>420</v>
      </c>
    </row>
    <row r="656" spans="1:22" x14ac:dyDescent="0.25">
      <c r="A656" s="103" t="s">
        <v>428</v>
      </c>
      <c r="B656" s="104" t="s">
        <v>14</v>
      </c>
      <c r="C656" s="104" t="s">
        <v>175</v>
      </c>
      <c r="D656" s="104" t="s">
        <v>81</v>
      </c>
      <c r="E656" s="104" t="s">
        <v>172</v>
      </c>
      <c r="F656" s="104">
        <v>2016</v>
      </c>
      <c r="G656" s="105">
        <v>42992.583333333336</v>
      </c>
      <c r="H656" s="105">
        <v>43005.75</v>
      </c>
      <c r="I656" s="106">
        <v>42992</v>
      </c>
      <c r="J656" s="106">
        <v>43005</v>
      </c>
      <c r="K656" s="107" t="s">
        <v>527</v>
      </c>
      <c r="L656" s="107">
        <v>0.75</v>
      </c>
      <c r="M656" s="107" t="s">
        <v>542</v>
      </c>
      <c r="N656" s="107" t="s">
        <v>535</v>
      </c>
      <c r="O656" s="107" t="s">
        <v>543</v>
      </c>
      <c r="P656" s="104" t="s">
        <v>23</v>
      </c>
      <c r="Q656" s="104" t="s">
        <v>22</v>
      </c>
      <c r="R656" s="104" t="s">
        <v>109</v>
      </c>
      <c r="S656" s="104">
        <v>4</v>
      </c>
      <c r="T656" s="104">
        <v>10</v>
      </c>
      <c r="U656" s="137">
        <v>43</v>
      </c>
      <c r="V656" s="138">
        <v>430</v>
      </c>
    </row>
    <row r="657" spans="1:22" x14ac:dyDescent="0.25">
      <c r="A657" s="108" t="s">
        <v>429</v>
      </c>
      <c r="B657" s="109" t="s">
        <v>17</v>
      </c>
      <c r="C657" s="109" t="s">
        <v>176</v>
      </c>
      <c r="D657" s="109" t="s">
        <v>78</v>
      </c>
      <c r="E657" s="109" t="s">
        <v>172</v>
      </c>
      <c r="F657" s="109">
        <v>2016</v>
      </c>
      <c r="G657" s="110">
        <v>42993.375</v>
      </c>
      <c r="H657" s="110">
        <v>42999.75</v>
      </c>
      <c r="I657" s="111">
        <v>42993</v>
      </c>
      <c r="J657" s="111">
        <v>42999</v>
      </c>
      <c r="K657" s="112" t="s">
        <v>525</v>
      </c>
      <c r="L657" s="112">
        <v>0.75</v>
      </c>
      <c r="M657" s="112" t="s">
        <v>540</v>
      </c>
      <c r="N657" s="112" t="s">
        <v>535</v>
      </c>
      <c r="O657" s="112" t="s">
        <v>543</v>
      </c>
      <c r="P657" s="109" t="s">
        <v>9</v>
      </c>
      <c r="Q657" s="109" t="s">
        <v>18</v>
      </c>
      <c r="R657" s="109" t="s">
        <v>113</v>
      </c>
      <c r="S657" s="109">
        <v>5</v>
      </c>
      <c r="T657" s="109">
        <v>10</v>
      </c>
      <c r="U657" s="139">
        <v>62</v>
      </c>
      <c r="V657" s="140">
        <v>620</v>
      </c>
    </row>
    <row r="658" spans="1:22" x14ac:dyDescent="0.25">
      <c r="A658" s="103" t="s">
        <v>430</v>
      </c>
      <c r="B658" s="104" t="s">
        <v>39</v>
      </c>
      <c r="C658" s="104" t="s">
        <v>177</v>
      </c>
      <c r="D658" s="104" t="s">
        <v>78</v>
      </c>
      <c r="E658" s="104" t="s">
        <v>172</v>
      </c>
      <c r="F658" s="104">
        <v>2016</v>
      </c>
      <c r="G658" s="105">
        <v>42994.333333333336</v>
      </c>
      <c r="H658" s="105">
        <v>43007.5</v>
      </c>
      <c r="I658" s="106">
        <v>42994</v>
      </c>
      <c r="J658" s="106">
        <v>43007</v>
      </c>
      <c r="K658" s="107" t="s">
        <v>522</v>
      </c>
      <c r="L658" s="107">
        <v>0.5</v>
      </c>
      <c r="M658" s="107" t="s">
        <v>539</v>
      </c>
      <c r="N658" s="107" t="s">
        <v>535</v>
      </c>
      <c r="O658" s="107" t="s">
        <v>543</v>
      </c>
      <c r="P658" s="104" t="s">
        <v>23</v>
      </c>
      <c r="Q658" s="104" t="s">
        <v>18</v>
      </c>
      <c r="R658" s="104" t="s">
        <v>113</v>
      </c>
      <c r="S658" s="104">
        <v>2</v>
      </c>
      <c r="T658" s="104">
        <v>10</v>
      </c>
      <c r="U658" s="137">
        <v>62</v>
      </c>
      <c r="V658" s="138">
        <v>620</v>
      </c>
    </row>
    <row r="659" spans="1:22" x14ac:dyDescent="0.25">
      <c r="A659" s="108" t="s">
        <v>431</v>
      </c>
      <c r="B659" s="109" t="s">
        <v>19</v>
      </c>
      <c r="C659" s="109" t="s">
        <v>176</v>
      </c>
      <c r="D659" s="109" t="s">
        <v>78</v>
      </c>
      <c r="E659" s="109" t="s">
        <v>172</v>
      </c>
      <c r="F659" s="109">
        <v>2016</v>
      </c>
      <c r="G659" s="110">
        <v>42995.375</v>
      </c>
      <c r="H659" s="110">
        <v>43000.75</v>
      </c>
      <c r="I659" s="111">
        <v>42995</v>
      </c>
      <c r="J659" s="111">
        <v>43000</v>
      </c>
      <c r="K659" s="112" t="s">
        <v>525</v>
      </c>
      <c r="L659" s="112">
        <v>0.75</v>
      </c>
      <c r="M659" s="112" t="s">
        <v>540</v>
      </c>
      <c r="N659" s="112" t="s">
        <v>535</v>
      </c>
      <c r="O659" s="112" t="s">
        <v>543</v>
      </c>
      <c r="P659" s="109" t="s">
        <v>9</v>
      </c>
      <c r="Q659" s="109" t="s">
        <v>38</v>
      </c>
      <c r="R659" s="109" t="s">
        <v>113</v>
      </c>
      <c r="S659" s="109">
        <v>3</v>
      </c>
      <c r="T659" s="109">
        <v>11</v>
      </c>
      <c r="U659" s="139">
        <v>62</v>
      </c>
      <c r="V659" s="140">
        <v>682</v>
      </c>
    </row>
    <row r="660" spans="1:22" x14ac:dyDescent="0.25">
      <c r="A660" s="103" t="s">
        <v>432</v>
      </c>
      <c r="B660" s="104" t="s">
        <v>19</v>
      </c>
      <c r="C660" s="104" t="s">
        <v>176</v>
      </c>
      <c r="D660" s="104" t="s">
        <v>83</v>
      </c>
      <c r="E660" s="104" t="s">
        <v>174</v>
      </c>
      <c r="F660" s="104">
        <v>2016</v>
      </c>
      <c r="G660" s="105">
        <v>42997.791666666664</v>
      </c>
      <c r="H660" s="105">
        <v>43008.958333333336</v>
      </c>
      <c r="I660" s="106">
        <v>42997</v>
      </c>
      <c r="J660" s="106">
        <v>43008</v>
      </c>
      <c r="K660" s="107" t="s">
        <v>526</v>
      </c>
      <c r="L660" s="107">
        <v>0.95833333333333337</v>
      </c>
      <c r="M660" s="107" t="s">
        <v>541</v>
      </c>
      <c r="N660" s="107" t="s">
        <v>535</v>
      </c>
      <c r="O660" s="107" t="s">
        <v>543</v>
      </c>
      <c r="P660" s="104" t="s">
        <v>23</v>
      </c>
      <c r="Q660" s="104" t="s">
        <v>16</v>
      </c>
      <c r="R660" s="104" t="s">
        <v>109</v>
      </c>
      <c r="S660" s="104">
        <v>5</v>
      </c>
      <c r="T660" s="104">
        <v>10</v>
      </c>
      <c r="U660" s="137">
        <v>63</v>
      </c>
      <c r="V660" s="138">
        <v>630</v>
      </c>
    </row>
    <row r="661" spans="1:22" x14ac:dyDescent="0.25">
      <c r="A661" s="108" t="s">
        <v>433</v>
      </c>
      <c r="B661" s="109" t="s">
        <v>22</v>
      </c>
      <c r="C661" s="109" t="s">
        <v>176</v>
      </c>
      <c r="D661" s="109" t="s">
        <v>77</v>
      </c>
      <c r="E661" s="109" t="s">
        <v>172</v>
      </c>
      <c r="F661" s="109">
        <v>2016</v>
      </c>
      <c r="G661" s="110">
        <v>42997.791666666664</v>
      </c>
      <c r="H661" s="110">
        <v>43008.958333333336</v>
      </c>
      <c r="I661" s="111">
        <v>42997</v>
      </c>
      <c r="J661" s="111">
        <v>43008</v>
      </c>
      <c r="K661" s="112" t="s">
        <v>526</v>
      </c>
      <c r="L661" s="112">
        <v>0.95833333333333337</v>
      </c>
      <c r="M661" s="112" t="s">
        <v>541</v>
      </c>
      <c r="N661" s="112" t="s">
        <v>535</v>
      </c>
      <c r="O661" s="112" t="s">
        <v>543</v>
      </c>
      <c r="P661" s="109" t="s">
        <v>9</v>
      </c>
      <c r="Q661" s="109" t="s">
        <v>190</v>
      </c>
      <c r="R661" s="109" t="s">
        <v>109</v>
      </c>
      <c r="S661" s="109">
        <v>5</v>
      </c>
      <c r="T661" s="109">
        <v>9</v>
      </c>
      <c r="U661" s="139">
        <v>35</v>
      </c>
      <c r="V661" s="140">
        <v>315</v>
      </c>
    </row>
    <row r="662" spans="1:22" x14ac:dyDescent="0.25">
      <c r="A662" s="103" t="s">
        <v>434</v>
      </c>
      <c r="B662" s="104" t="s">
        <v>11</v>
      </c>
      <c r="C662" s="104" t="s">
        <v>175</v>
      </c>
      <c r="D662" s="104" t="s">
        <v>80</v>
      </c>
      <c r="E662" s="104" t="s">
        <v>173</v>
      </c>
      <c r="F662" s="104">
        <v>2016</v>
      </c>
      <c r="G662" s="105">
        <v>42998.791666666664</v>
      </c>
      <c r="H662" s="105">
        <v>43011.958333333336</v>
      </c>
      <c r="I662" s="106">
        <v>42998</v>
      </c>
      <c r="J662" s="106">
        <v>43011</v>
      </c>
      <c r="K662" s="107" t="s">
        <v>526</v>
      </c>
      <c r="L662" s="107">
        <v>0.95833333333333337</v>
      </c>
      <c r="M662" s="107" t="s">
        <v>541</v>
      </c>
      <c r="N662" s="107" t="s">
        <v>535</v>
      </c>
      <c r="O662" s="107" t="s">
        <v>543</v>
      </c>
      <c r="P662" s="104" t="s">
        <v>23</v>
      </c>
      <c r="Q662" s="104" t="s">
        <v>21</v>
      </c>
      <c r="R662" s="104" t="s">
        <v>113</v>
      </c>
      <c r="S662" s="104">
        <v>3</v>
      </c>
      <c r="T662" s="104">
        <v>9</v>
      </c>
      <c r="U662" s="137">
        <v>32</v>
      </c>
      <c r="V662" s="138">
        <v>288</v>
      </c>
    </row>
    <row r="663" spans="1:22" x14ac:dyDescent="0.25">
      <c r="A663" s="108" t="s">
        <v>435</v>
      </c>
      <c r="B663" s="109" t="s">
        <v>45</v>
      </c>
      <c r="C663" s="109" t="s">
        <v>177</v>
      </c>
      <c r="D663" s="109" t="s">
        <v>78</v>
      </c>
      <c r="E663" s="109" t="s">
        <v>172</v>
      </c>
      <c r="F663" s="109">
        <v>2016</v>
      </c>
      <c r="G663" s="110">
        <v>42999.583333333336</v>
      </c>
      <c r="H663" s="110">
        <v>43012.75</v>
      </c>
      <c r="I663" s="111">
        <v>42999</v>
      </c>
      <c r="J663" s="111">
        <v>43012</v>
      </c>
      <c r="K663" s="112" t="s">
        <v>527</v>
      </c>
      <c r="L663" s="112">
        <v>0.75</v>
      </c>
      <c r="M663" s="112" t="s">
        <v>542</v>
      </c>
      <c r="N663" s="112" t="s">
        <v>535</v>
      </c>
      <c r="O663" s="112" t="s">
        <v>543</v>
      </c>
      <c r="P663" s="109" t="s">
        <v>9</v>
      </c>
      <c r="Q663" s="109" t="s">
        <v>33</v>
      </c>
      <c r="R663" s="109" t="s">
        <v>113</v>
      </c>
      <c r="S663" s="109">
        <v>3</v>
      </c>
      <c r="T663" s="109">
        <v>9</v>
      </c>
      <c r="U663" s="139">
        <v>62</v>
      </c>
      <c r="V663" s="140">
        <v>558</v>
      </c>
    </row>
    <row r="664" spans="1:22" x14ac:dyDescent="0.25">
      <c r="A664" s="103" t="s">
        <v>436</v>
      </c>
      <c r="B664" s="104" t="s">
        <v>7</v>
      </c>
      <c r="C664" s="104" t="s">
        <v>175</v>
      </c>
      <c r="D664" s="104" t="s">
        <v>82</v>
      </c>
      <c r="E664" s="104" t="s">
        <v>172</v>
      </c>
      <c r="F664" s="104">
        <v>2016</v>
      </c>
      <c r="G664" s="105">
        <v>43000.375</v>
      </c>
      <c r="H664" s="105">
        <v>43006.75</v>
      </c>
      <c r="I664" s="106">
        <v>43000</v>
      </c>
      <c r="J664" s="106">
        <v>43006</v>
      </c>
      <c r="K664" s="107" t="s">
        <v>525</v>
      </c>
      <c r="L664" s="107">
        <v>0.75</v>
      </c>
      <c r="M664" s="107" t="s">
        <v>540</v>
      </c>
      <c r="N664" s="107" t="s">
        <v>535</v>
      </c>
      <c r="O664" s="107" t="s">
        <v>543</v>
      </c>
      <c r="P664" s="104" t="s">
        <v>23</v>
      </c>
      <c r="Q664" s="104" t="s">
        <v>21</v>
      </c>
      <c r="R664" s="104" t="s">
        <v>113</v>
      </c>
      <c r="S664" s="104">
        <v>5</v>
      </c>
      <c r="T664" s="104">
        <v>10</v>
      </c>
      <c r="U664" s="137">
        <v>75</v>
      </c>
      <c r="V664" s="138">
        <v>750</v>
      </c>
    </row>
    <row r="665" spans="1:22" x14ac:dyDescent="0.25">
      <c r="A665" s="108" t="s">
        <v>437</v>
      </c>
      <c r="B665" s="109" t="s">
        <v>22</v>
      </c>
      <c r="C665" s="109" t="s">
        <v>176</v>
      </c>
      <c r="D665" s="109" t="s">
        <v>89</v>
      </c>
      <c r="E665" s="109" t="s">
        <v>169</v>
      </c>
      <c r="F665" s="109">
        <v>2016</v>
      </c>
      <c r="G665" s="110">
        <v>43001.333333333336</v>
      </c>
      <c r="H665" s="110">
        <v>43014.5</v>
      </c>
      <c r="I665" s="111">
        <v>43001</v>
      </c>
      <c r="J665" s="111">
        <v>43014</v>
      </c>
      <c r="K665" s="112" t="s">
        <v>522</v>
      </c>
      <c r="L665" s="112">
        <v>0.5</v>
      </c>
      <c r="M665" s="112" t="s">
        <v>539</v>
      </c>
      <c r="N665" s="112" t="s">
        <v>535</v>
      </c>
      <c r="O665" s="112" t="s">
        <v>543</v>
      </c>
      <c r="P665" s="109" t="s">
        <v>9</v>
      </c>
      <c r="Q665" s="109" t="s">
        <v>28</v>
      </c>
      <c r="R665" s="109" t="s">
        <v>109</v>
      </c>
      <c r="S665" s="109">
        <v>4</v>
      </c>
      <c r="T665" s="109">
        <v>11</v>
      </c>
      <c r="U665" s="139">
        <v>62</v>
      </c>
      <c r="V665" s="140">
        <v>682</v>
      </c>
    </row>
    <row r="666" spans="1:22" x14ac:dyDescent="0.25">
      <c r="A666" s="103" t="s">
        <v>438</v>
      </c>
      <c r="B666" s="104" t="s">
        <v>19</v>
      </c>
      <c r="C666" s="104" t="s">
        <v>176</v>
      </c>
      <c r="D666" s="104" t="s">
        <v>80</v>
      </c>
      <c r="E666" s="104" t="s">
        <v>173</v>
      </c>
      <c r="F666" s="104">
        <v>2016</v>
      </c>
      <c r="G666" s="105">
        <v>43002.375</v>
      </c>
      <c r="H666" s="105">
        <v>43007.75</v>
      </c>
      <c r="I666" s="106">
        <v>43002</v>
      </c>
      <c r="J666" s="106">
        <v>43007</v>
      </c>
      <c r="K666" s="107" t="s">
        <v>525</v>
      </c>
      <c r="L666" s="107">
        <v>0.75</v>
      </c>
      <c r="M666" s="107" t="s">
        <v>540</v>
      </c>
      <c r="N666" s="107" t="s">
        <v>535</v>
      </c>
      <c r="O666" s="107" t="s">
        <v>543</v>
      </c>
      <c r="P666" s="104" t="s">
        <v>23</v>
      </c>
      <c r="Q666" s="104" t="s">
        <v>31</v>
      </c>
      <c r="R666" s="104" t="s">
        <v>113</v>
      </c>
      <c r="S666" s="104">
        <v>4</v>
      </c>
      <c r="T666" s="104">
        <v>12</v>
      </c>
      <c r="U666" s="137">
        <v>32</v>
      </c>
      <c r="V666" s="138">
        <v>384</v>
      </c>
    </row>
    <row r="667" spans="1:22" x14ac:dyDescent="0.25">
      <c r="A667" s="108" t="s">
        <v>439</v>
      </c>
      <c r="B667" s="109" t="s">
        <v>17</v>
      </c>
      <c r="C667" s="109" t="s">
        <v>176</v>
      </c>
      <c r="D667" s="109" t="s">
        <v>78</v>
      </c>
      <c r="E667" s="109" t="s">
        <v>172</v>
      </c>
      <c r="F667" s="109">
        <v>2016</v>
      </c>
      <c r="G667" s="110">
        <v>43004.791666666664</v>
      </c>
      <c r="H667" s="110">
        <v>43015.958333333336</v>
      </c>
      <c r="I667" s="111">
        <v>43004</v>
      </c>
      <c r="J667" s="111">
        <v>43015</v>
      </c>
      <c r="K667" s="112" t="s">
        <v>526</v>
      </c>
      <c r="L667" s="112">
        <v>0.95833333333333337</v>
      </c>
      <c r="M667" s="112" t="s">
        <v>541</v>
      </c>
      <c r="N667" s="112" t="s">
        <v>535</v>
      </c>
      <c r="O667" s="112" t="s">
        <v>543</v>
      </c>
      <c r="P667" s="109" t="s">
        <v>23</v>
      </c>
      <c r="Q667" s="109" t="s">
        <v>16</v>
      </c>
      <c r="R667" s="109" t="s">
        <v>109</v>
      </c>
      <c r="S667" s="109">
        <v>2</v>
      </c>
      <c r="T667" s="109">
        <v>9</v>
      </c>
      <c r="U667" s="139">
        <v>62</v>
      </c>
      <c r="V667" s="140">
        <v>558</v>
      </c>
    </row>
    <row r="668" spans="1:22" x14ac:dyDescent="0.25">
      <c r="A668" s="103" t="s">
        <v>440</v>
      </c>
      <c r="B668" s="104" t="s">
        <v>22</v>
      </c>
      <c r="C668" s="104" t="s">
        <v>176</v>
      </c>
      <c r="D668" s="104" t="s">
        <v>85</v>
      </c>
      <c r="E668" s="104" t="s">
        <v>170</v>
      </c>
      <c r="F668" s="104">
        <v>2016</v>
      </c>
      <c r="G668" s="105">
        <v>43004.791666666664</v>
      </c>
      <c r="H668" s="105">
        <v>43015.958333333336</v>
      </c>
      <c r="I668" s="106">
        <v>43004</v>
      </c>
      <c r="J668" s="106">
        <v>43015</v>
      </c>
      <c r="K668" s="107" t="s">
        <v>526</v>
      </c>
      <c r="L668" s="107">
        <v>0.95833333333333337</v>
      </c>
      <c r="M668" s="107" t="s">
        <v>541</v>
      </c>
      <c r="N668" s="107" t="s">
        <v>535</v>
      </c>
      <c r="O668" s="107" t="s">
        <v>543</v>
      </c>
      <c r="P668" s="104" t="s">
        <v>23</v>
      </c>
      <c r="Q668" s="104" t="s">
        <v>28</v>
      </c>
      <c r="R668" s="104" t="s">
        <v>109</v>
      </c>
      <c r="S668" s="104">
        <v>3</v>
      </c>
      <c r="T668" s="104">
        <v>10</v>
      </c>
      <c r="U668" s="137">
        <v>48</v>
      </c>
      <c r="V668" s="138">
        <v>480</v>
      </c>
    </row>
    <row r="669" spans="1:22" x14ac:dyDescent="0.25">
      <c r="A669" s="108" t="s">
        <v>441</v>
      </c>
      <c r="B669" s="109" t="s">
        <v>22</v>
      </c>
      <c r="C669" s="109" t="s">
        <v>176</v>
      </c>
      <c r="D669" s="109" t="s">
        <v>84</v>
      </c>
      <c r="E669" s="109" t="s">
        <v>172</v>
      </c>
      <c r="F669" s="109">
        <v>2016</v>
      </c>
      <c r="G669" s="110">
        <v>43005.791666666664</v>
      </c>
      <c r="H669" s="110">
        <v>43018.958333333336</v>
      </c>
      <c r="I669" s="111">
        <v>43005</v>
      </c>
      <c r="J669" s="111">
        <v>43018</v>
      </c>
      <c r="K669" s="112" t="s">
        <v>526</v>
      </c>
      <c r="L669" s="112">
        <v>0.95833333333333337</v>
      </c>
      <c r="M669" s="112" t="s">
        <v>541</v>
      </c>
      <c r="N669" s="112" t="s">
        <v>535</v>
      </c>
      <c r="O669" s="112" t="s">
        <v>543</v>
      </c>
      <c r="P669" s="109" t="s">
        <v>23</v>
      </c>
      <c r="Q669" s="109" t="s">
        <v>38</v>
      </c>
      <c r="R669" s="109" t="s">
        <v>113</v>
      </c>
      <c r="S669" s="109">
        <v>3</v>
      </c>
      <c r="T669" s="109">
        <v>11</v>
      </c>
      <c r="U669" s="139">
        <v>52</v>
      </c>
      <c r="V669" s="140">
        <v>572</v>
      </c>
    </row>
    <row r="670" spans="1:22" x14ac:dyDescent="0.25">
      <c r="A670" s="103" t="s">
        <v>442</v>
      </c>
      <c r="B670" s="104" t="s">
        <v>22</v>
      </c>
      <c r="C670" s="104" t="s">
        <v>176</v>
      </c>
      <c r="D670" s="104" t="s">
        <v>86</v>
      </c>
      <c r="E670" s="104" t="s">
        <v>169</v>
      </c>
      <c r="F670" s="104">
        <v>2016</v>
      </c>
      <c r="G670" s="105">
        <v>43006.583333333336</v>
      </c>
      <c r="H670" s="105">
        <v>43019.75</v>
      </c>
      <c r="I670" s="106">
        <v>43006</v>
      </c>
      <c r="J670" s="106">
        <v>43019</v>
      </c>
      <c r="K670" s="107" t="s">
        <v>527</v>
      </c>
      <c r="L670" s="107">
        <v>0.75</v>
      </c>
      <c r="M670" s="107" t="s">
        <v>542</v>
      </c>
      <c r="N670" s="107" t="s">
        <v>535</v>
      </c>
      <c r="O670" s="107" t="s">
        <v>543</v>
      </c>
      <c r="P670" s="104" t="s">
        <v>9</v>
      </c>
      <c r="Q670" s="104" t="s">
        <v>16</v>
      </c>
      <c r="R670" s="104" t="s">
        <v>109</v>
      </c>
      <c r="S670" s="104">
        <v>4</v>
      </c>
      <c r="T670" s="104">
        <v>12</v>
      </c>
      <c r="U670" s="137">
        <v>48</v>
      </c>
      <c r="V670" s="138">
        <v>576</v>
      </c>
    </row>
    <row r="671" spans="1:22" x14ac:dyDescent="0.25">
      <c r="A671" s="108" t="s">
        <v>443</v>
      </c>
      <c r="B671" s="109" t="s">
        <v>29</v>
      </c>
      <c r="C671" s="109" t="s">
        <v>177</v>
      </c>
      <c r="D671" s="109" t="s">
        <v>76</v>
      </c>
      <c r="E671" s="109" t="s">
        <v>174</v>
      </c>
      <c r="F671" s="109">
        <v>2016</v>
      </c>
      <c r="G671" s="110">
        <v>43007.375</v>
      </c>
      <c r="H671" s="110">
        <v>43013.75</v>
      </c>
      <c r="I671" s="111">
        <v>43007</v>
      </c>
      <c r="J671" s="111">
        <v>43013</v>
      </c>
      <c r="K671" s="112" t="s">
        <v>525</v>
      </c>
      <c r="L671" s="112">
        <v>0.75</v>
      </c>
      <c r="M671" s="112" t="s">
        <v>540</v>
      </c>
      <c r="N671" s="112" t="s">
        <v>535</v>
      </c>
      <c r="O671" s="112" t="s">
        <v>543</v>
      </c>
      <c r="P671" s="109" t="s">
        <v>9</v>
      </c>
      <c r="Q671" s="109" t="s">
        <v>12</v>
      </c>
      <c r="R671" s="109" t="s">
        <v>113</v>
      </c>
      <c r="S671" s="109">
        <v>4</v>
      </c>
      <c r="T671" s="109">
        <v>12</v>
      </c>
      <c r="U671" s="139">
        <v>53</v>
      </c>
      <c r="V671" s="140">
        <v>636</v>
      </c>
    </row>
    <row r="672" spans="1:22" x14ac:dyDescent="0.25">
      <c r="A672" s="103" t="s">
        <v>444</v>
      </c>
      <c r="B672" s="104" t="s">
        <v>14</v>
      </c>
      <c r="C672" s="104" t="s">
        <v>175</v>
      </c>
      <c r="D672" s="104" t="s">
        <v>76</v>
      </c>
      <c r="E672" s="104" t="s">
        <v>174</v>
      </c>
      <c r="F672" s="104">
        <v>2016</v>
      </c>
      <c r="G672" s="105">
        <v>43008.333333333336</v>
      </c>
      <c r="H672" s="105">
        <v>43022.5</v>
      </c>
      <c r="I672" s="106">
        <v>43008</v>
      </c>
      <c r="J672" s="106">
        <v>43022</v>
      </c>
      <c r="K672" s="107" t="s">
        <v>522</v>
      </c>
      <c r="L672" s="107">
        <v>0.5</v>
      </c>
      <c r="M672" s="107" t="s">
        <v>539</v>
      </c>
      <c r="N672" s="107" t="s">
        <v>535</v>
      </c>
      <c r="O672" s="107" t="s">
        <v>543</v>
      </c>
      <c r="P672" s="104" t="s">
        <v>23</v>
      </c>
      <c r="Q672" s="104" t="s">
        <v>190</v>
      </c>
      <c r="R672" s="104" t="s">
        <v>109</v>
      </c>
      <c r="S672" s="104">
        <v>5</v>
      </c>
      <c r="T672" s="104">
        <v>9</v>
      </c>
      <c r="U672" s="137">
        <v>53</v>
      </c>
      <c r="V672" s="138">
        <v>477</v>
      </c>
    </row>
    <row r="673" spans="1:22" x14ac:dyDescent="0.25">
      <c r="A673" s="108" t="s">
        <v>445</v>
      </c>
      <c r="B673" s="109" t="s">
        <v>22</v>
      </c>
      <c r="C673" s="109" t="s">
        <v>176</v>
      </c>
      <c r="D673" s="109" t="s">
        <v>77</v>
      </c>
      <c r="E673" s="109" t="s">
        <v>172</v>
      </c>
      <c r="F673" s="109">
        <v>2016</v>
      </c>
      <c r="G673" s="110">
        <v>43025.791666666664</v>
      </c>
      <c r="H673" s="110">
        <v>43038.958333333336</v>
      </c>
      <c r="I673" s="111">
        <v>43025</v>
      </c>
      <c r="J673" s="111">
        <v>43038</v>
      </c>
      <c r="K673" s="112" t="s">
        <v>526</v>
      </c>
      <c r="L673" s="112">
        <v>0.95833333333333337</v>
      </c>
      <c r="M673" s="112" t="s">
        <v>541</v>
      </c>
      <c r="N673" s="112" t="s">
        <v>536</v>
      </c>
      <c r="O673" s="112" t="s">
        <v>543</v>
      </c>
      <c r="P673" s="109" t="s">
        <v>9</v>
      </c>
      <c r="Q673" s="109" t="s">
        <v>31</v>
      </c>
      <c r="R673" s="109" t="s">
        <v>113</v>
      </c>
      <c r="S673" s="109">
        <v>4</v>
      </c>
      <c r="T673" s="109">
        <v>9</v>
      </c>
      <c r="U673" s="139">
        <v>35</v>
      </c>
      <c r="V673" s="140">
        <v>315</v>
      </c>
    </row>
    <row r="674" spans="1:22" x14ac:dyDescent="0.25">
      <c r="A674" s="103" t="s">
        <v>446</v>
      </c>
      <c r="B674" s="104" t="s">
        <v>7</v>
      </c>
      <c r="C674" s="104" t="s">
        <v>175</v>
      </c>
      <c r="D674" s="104" t="s">
        <v>84</v>
      </c>
      <c r="E674" s="104" t="s">
        <v>172</v>
      </c>
      <c r="F674" s="104">
        <v>2016</v>
      </c>
      <c r="G674" s="105">
        <v>43026.583333333336</v>
      </c>
      <c r="H674" s="105">
        <v>43039.75</v>
      </c>
      <c r="I674" s="106">
        <v>43026</v>
      </c>
      <c r="J674" s="106">
        <v>43039</v>
      </c>
      <c r="K674" s="107" t="s">
        <v>527</v>
      </c>
      <c r="L674" s="107">
        <v>0.75</v>
      </c>
      <c r="M674" s="107" t="s">
        <v>542</v>
      </c>
      <c r="N674" s="107" t="s">
        <v>536</v>
      </c>
      <c r="O674" s="107" t="s">
        <v>543</v>
      </c>
      <c r="P674" s="104" t="s">
        <v>23</v>
      </c>
      <c r="Q674" s="104" t="s">
        <v>31</v>
      </c>
      <c r="R674" s="104" t="s">
        <v>113</v>
      </c>
      <c r="S674" s="104">
        <v>2</v>
      </c>
      <c r="T674" s="104">
        <v>10</v>
      </c>
      <c r="U674" s="137">
        <v>52</v>
      </c>
      <c r="V674" s="138">
        <v>520</v>
      </c>
    </row>
    <row r="675" spans="1:22" x14ac:dyDescent="0.25">
      <c r="A675" s="108" t="s">
        <v>447</v>
      </c>
      <c r="B675" s="109" t="s">
        <v>19</v>
      </c>
      <c r="C675" s="109" t="s">
        <v>176</v>
      </c>
      <c r="D675" s="109" t="s">
        <v>89</v>
      </c>
      <c r="E675" s="109" t="s">
        <v>169</v>
      </c>
      <c r="F675" s="109">
        <v>2016</v>
      </c>
      <c r="G675" s="110">
        <v>43028.333333333336</v>
      </c>
      <c r="H675" s="110">
        <v>43041.5</v>
      </c>
      <c r="I675" s="111">
        <v>43028</v>
      </c>
      <c r="J675" s="111">
        <v>43041</v>
      </c>
      <c r="K675" s="112" t="s">
        <v>522</v>
      </c>
      <c r="L675" s="112">
        <v>0.5</v>
      </c>
      <c r="M675" s="112" t="s">
        <v>539</v>
      </c>
      <c r="N675" s="112" t="s">
        <v>536</v>
      </c>
      <c r="O675" s="112" t="s">
        <v>543</v>
      </c>
      <c r="P675" s="109" t="s">
        <v>23</v>
      </c>
      <c r="Q675" s="109" t="s">
        <v>21</v>
      </c>
      <c r="R675" s="109" t="s">
        <v>113</v>
      </c>
      <c r="S675" s="109">
        <v>4</v>
      </c>
      <c r="T675" s="109">
        <v>12</v>
      </c>
      <c r="U675" s="139">
        <v>62</v>
      </c>
      <c r="V675" s="140">
        <v>744</v>
      </c>
    </row>
    <row r="676" spans="1:22" x14ac:dyDescent="0.25">
      <c r="A676" s="103" t="s">
        <v>448</v>
      </c>
      <c r="B676" s="104" t="s">
        <v>22</v>
      </c>
      <c r="C676" s="104" t="s">
        <v>176</v>
      </c>
      <c r="D676" s="104" t="s">
        <v>78</v>
      </c>
      <c r="E676" s="104" t="s">
        <v>172</v>
      </c>
      <c r="F676" s="104">
        <v>2016</v>
      </c>
      <c r="G676" s="105">
        <v>43031.791666666664</v>
      </c>
      <c r="H676" s="105">
        <v>43042.958333333336</v>
      </c>
      <c r="I676" s="106">
        <v>43031</v>
      </c>
      <c r="J676" s="106">
        <v>43042</v>
      </c>
      <c r="K676" s="107" t="s">
        <v>526</v>
      </c>
      <c r="L676" s="107">
        <v>0.95833333333333337</v>
      </c>
      <c r="M676" s="107" t="s">
        <v>541</v>
      </c>
      <c r="N676" s="107" t="s">
        <v>536</v>
      </c>
      <c r="O676" s="107" t="s">
        <v>543</v>
      </c>
      <c r="P676" s="104" t="s">
        <v>9</v>
      </c>
      <c r="Q676" s="104" t="s">
        <v>35</v>
      </c>
      <c r="R676" s="104" t="s">
        <v>109</v>
      </c>
      <c r="S676" s="104">
        <v>3</v>
      </c>
      <c r="T676" s="104">
        <v>9</v>
      </c>
      <c r="U676" s="137">
        <v>62</v>
      </c>
      <c r="V676" s="138">
        <v>558</v>
      </c>
    </row>
    <row r="677" spans="1:22" x14ac:dyDescent="0.25">
      <c r="A677" s="108" t="s">
        <v>449</v>
      </c>
      <c r="B677" s="109" t="s">
        <v>22</v>
      </c>
      <c r="C677" s="109" t="s">
        <v>176</v>
      </c>
      <c r="D677" s="109" t="s">
        <v>79</v>
      </c>
      <c r="E677" s="109" t="s">
        <v>168</v>
      </c>
      <c r="F677" s="109">
        <v>2016</v>
      </c>
      <c r="G677" s="110">
        <v>43031.791666666664</v>
      </c>
      <c r="H677" s="110">
        <v>43042.958333333336</v>
      </c>
      <c r="I677" s="111">
        <v>43031</v>
      </c>
      <c r="J677" s="111">
        <v>43042</v>
      </c>
      <c r="K677" s="112" t="s">
        <v>526</v>
      </c>
      <c r="L677" s="112">
        <v>0.95833333333333337</v>
      </c>
      <c r="M677" s="112" t="s">
        <v>541</v>
      </c>
      <c r="N677" s="112" t="s">
        <v>536</v>
      </c>
      <c r="O677" s="112" t="s">
        <v>543</v>
      </c>
      <c r="P677" s="109" t="s">
        <v>23</v>
      </c>
      <c r="Q677" s="109" t="s">
        <v>190</v>
      </c>
      <c r="R677" s="109" t="s">
        <v>109</v>
      </c>
      <c r="S677" s="109">
        <v>4</v>
      </c>
      <c r="T677" s="109">
        <v>12</v>
      </c>
      <c r="U677" s="139">
        <v>48</v>
      </c>
      <c r="V677" s="140">
        <v>576</v>
      </c>
    </row>
    <row r="678" spans="1:22" x14ac:dyDescent="0.25">
      <c r="A678" s="103" t="s">
        <v>450</v>
      </c>
      <c r="B678" s="104" t="s">
        <v>19</v>
      </c>
      <c r="C678" s="104" t="s">
        <v>176</v>
      </c>
      <c r="D678" s="104" t="s">
        <v>83</v>
      </c>
      <c r="E678" s="104" t="s">
        <v>174</v>
      </c>
      <c r="F678" s="104">
        <v>2016</v>
      </c>
      <c r="G678" s="105">
        <v>43032.791666666664</v>
      </c>
      <c r="H678" s="105">
        <v>43045.958333333336</v>
      </c>
      <c r="I678" s="106">
        <v>43032</v>
      </c>
      <c r="J678" s="106">
        <v>43045</v>
      </c>
      <c r="K678" s="107" t="s">
        <v>526</v>
      </c>
      <c r="L678" s="107">
        <v>0.95833333333333337</v>
      </c>
      <c r="M678" s="107" t="s">
        <v>541</v>
      </c>
      <c r="N678" s="107" t="s">
        <v>536</v>
      </c>
      <c r="O678" s="107" t="s">
        <v>543</v>
      </c>
      <c r="P678" s="104" t="s">
        <v>9</v>
      </c>
      <c r="Q678" s="104" t="s">
        <v>16</v>
      </c>
      <c r="R678" s="104" t="s">
        <v>109</v>
      </c>
      <c r="S678" s="104">
        <v>4</v>
      </c>
      <c r="T678" s="104">
        <v>8</v>
      </c>
      <c r="U678" s="137">
        <v>63</v>
      </c>
      <c r="V678" s="138">
        <v>504</v>
      </c>
    </row>
    <row r="679" spans="1:22" x14ac:dyDescent="0.25">
      <c r="A679" s="108" t="s">
        <v>451</v>
      </c>
      <c r="B679" s="109" t="s">
        <v>39</v>
      </c>
      <c r="C679" s="109" t="s">
        <v>177</v>
      </c>
      <c r="D679" s="109" t="s">
        <v>84</v>
      </c>
      <c r="E679" s="109" t="s">
        <v>172</v>
      </c>
      <c r="F679" s="109">
        <v>2016</v>
      </c>
      <c r="G679" s="110">
        <v>43033.583333333336</v>
      </c>
      <c r="H679" s="110">
        <v>43046.75</v>
      </c>
      <c r="I679" s="111">
        <v>43033</v>
      </c>
      <c r="J679" s="111">
        <v>43046</v>
      </c>
      <c r="K679" s="112" t="s">
        <v>527</v>
      </c>
      <c r="L679" s="112">
        <v>0.75</v>
      </c>
      <c r="M679" s="112" t="s">
        <v>542</v>
      </c>
      <c r="N679" s="112" t="s">
        <v>536</v>
      </c>
      <c r="O679" s="112" t="s">
        <v>543</v>
      </c>
      <c r="P679" s="109" t="s">
        <v>23</v>
      </c>
      <c r="Q679" s="109" t="s">
        <v>18</v>
      </c>
      <c r="R679" s="109" t="s">
        <v>113</v>
      </c>
      <c r="S679" s="109">
        <v>5</v>
      </c>
      <c r="T679" s="109">
        <v>11</v>
      </c>
      <c r="U679" s="139">
        <v>52</v>
      </c>
      <c r="V679" s="140">
        <v>572</v>
      </c>
    </row>
    <row r="680" spans="1:22" x14ac:dyDescent="0.25">
      <c r="A680" s="103" t="s">
        <v>452</v>
      </c>
      <c r="B680" s="104" t="s">
        <v>45</v>
      </c>
      <c r="C680" s="104" t="s">
        <v>177</v>
      </c>
      <c r="D680" s="104" t="s">
        <v>89</v>
      </c>
      <c r="E680" s="104" t="s">
        <v>169</v>
      </c>
      <c r="F680" s="104">
        <v>2016</v>
      </c>
      <c r="G680" s="105">
        <v>43034.375</v>
      </c>
      <c r="H680" s="105">
        <v>43040.75</v>
      </c>
      <c r="I680" s="106">
        <v>43034</v>
      </c>
      <c r="J680" s="106">
        <v>43040</v>
      </c>
      <c r="K680" s="107" t="s">
        <v>525</v>
      </c>
      <c r="L680" s="107">
        <v>0.75</v>
      </c>
      <c r="M680" s="107" t="s">
        <v>540</v>
      </c>
      <c r="N680" s="107" t="s">
        <v>536</v>
      </c>
      <c r="O680" s="107" t="s">
        <v>543</v>
      </c>
      <c r="P680" s="104" t="s">
        <v>23</v>
      </c>
      <c r="Q680" s="104" t="s">
        <v>38</v>
      </c>
      <c r="R680" s="104" t="s">
        <v>113</v>
      </c>
      <c r="S680" s="104">
        <v>4</v>
      </c>
      <c r="T680" s="104">
        <v>9</v>
      </c>
      <c r="U680" s="137">
        <v>62</v>
      </c>
      <c r="V680" s="138">
        <v>558</v>
      </c>
    </row>
    <row r="681" spans="1:22" x14ac:dyDescent="0.25">
      <c r="A681" s="108" t="s">
        <v>453</v>
      </c>
      <c r="B681" s="109" t="s">
        <v>7</v>
      </c>
      <c r="C681" s="109" t="s">
        <v>175</v>
      </c>
      <c r="D681" s="109" t="s">
        <v>82</v>
      </c>
      <c r="E681" s="109" t="s">
        <v>172</v>
      </c>
      <c r="F681" s="109">
        <v>2016</v>
      </c>
      <c r="G681" s="110">
        <v>43035.333333333336</v>
      </c>
      <c r="H681" s="110">
        <v>43048.5</v>
      </c>
      <c r="I681" s="111">
        <v>43035</v>
      </c>
      <c r="J681" s="111">
        <v>43048</v>
      </c>
      <c r="K681" s="112" t="s">
        <v>522</v>
      </c>
      <c r="L681" s="112">
        <v>0.5</v>
      </c>
      <c r="M681" s="112" t="s">
        <v>539</v>
      </c>
      <c r="N681" s="112" t="s">
        <v>536</v>
      </c>
      <c r="O681" s="112" t="s">
        <v>543</v>
      </c>
      <c r="P681" s="109" t="s">
        <v>9</v>
      </c>
      <c r="Q681" s="109" t="s">
        <v>16</v>
      </c>
      <c r="R681" s="109" t="s">
        <v>109</v>
      </c>
      <c r="S681" s="109">
        <v>3</v>
      </c>
      <c r="T681" s="109">
        <v>12</v>
      </c>
      <c r="U681" s="139">
        <v>75</v>
      </c>
      <c r="V681" s="140">
        <v>900</v>
      </c>
    </row>
    <row r="682" spans="1:22" x14ac:dyDescent="0.25">
      <c r="A682" s="103" t="s">
        <v>454</v>
      </c>
      <c r="B682" s="104" t="s">
        <v>14</v>
      </c>
      <c r="C682" s="104" t="s">
        <v>175</v>
      </c>
      <c r="D682" s="104" t="s">
        <v>80</v>
      </c>
      <c r="E682" s="104" t="s">
        <v>173</v>
      </c>
      <c r="F682" s="104">
        <v>2016</v>
      </c>
      <c r="G682" s="105">
        <v>43036.375</v>
      </c>
      <c r="H682" s="105">
        <v>43041.75</v>
      </c>
      <c r="I682" s="106">
        <v>43036</v>
      </c>
      <c r="J682" s="106">
        <v>43041</v>
      </c>
      <c r="K682" s="107" t="s">
        <v>525</v>
      </c>
      <c r="L682" s="107">
        <v>0.75</v>
      </c>
      <c r="M682" s="107" t="s">
        <v>540</v>
      </c>
      <c r="N682" s="107" t="s">
        <v>536</v>
      </c>
      <c r="O682" s="107" t="s">
        <v>543</v>
      </c>
      <c r="P682" s="104" t="s">
        <v>23</v>
      </c>
      <c r="Q682" s="104" t="s">
        <v>16</v>
      </c>
      <c r="R682" s="104" t="s">
        <v>109</v>
      </c>
      <c r="S682" s="104">
        <v>5</v>
      </c>
      <c r="T682" s="104">
        <v>11</v>
      </c>
      <c r="U682" s="137">
        <v>32</v>
      </c>
      <c r="V682" s="138">
        <v>352</v>
      </c>
    </row>
    <row r="683" spans="1:22" x14ac:dyDescent="0.25">
      <c r="A683" s="108" t="s">
        <v>455</v>
      </c>
      <c r="B683" s="109" t="s">
        <v>45</v>
      </c>
      <c r="C683" s="109" t="s">
        <v>177</v>
      </c>
      <c r="D683" s="109" t="s">
        <v>86</v>
      </c>
      <c r="E683" s="109" t="s">
        <v>169</v>
      </c>
      <c r="F683" s="109">
        <v>2016</v>
      </c>
      <c r="G683" s="110">
        <v>43038.791666666664</v>
      </c>
      <c r="H683" s="110">
        <v>43052.958333333336</v>
      </c>
      <c r="I683" s="111">
        <v>43038</v>
      </c>
      <c r="J683" s="111">
        <v>43052</v>
      </c>
      <c r="K683" s="112" t="s">
        <v>526</v>
      </c>
      <c r="L683" s="112">
        <v>0.95833333333333337</v>
      </c>
      <c r="M683" s="112" t="s">
        <v>541</v>
      </c>
      <c r="N683" s="112" t="s">
        <v>536</v>
      </c>
      <c r="O683" s="112" t="s">
        <v>543</v>
      </c>
      <c r="P683" s="109" t="s">
        <v>9</v>
      </c>
      <c r="Q683" s="109" t="s">
        <v>26</v>
      </c>
      <c r="R683" s="109" t="s">
        <v>113</v>
      </c>
      <c r="S683" s="109">
        <v>4</v>
      </c>
      <c r="T683" s="109">
        <v>9</v>
      </c>
      <c r="U683" s="139">
        <v>48</v>
      </c>
      <c r="V683" s="140">
        <v>432</v>
      </c>
    </row>
    <row r="684" spans="1:22" x14ac:dyDescent="0.25">
      <c r="A684" s="103" t="s">
        <v>456</v>
      </c>
      <c r="B684" s="104" t="s">
        <v>39</v>
      </c>
      <c r="C684" s="104" t="s">
        <v>177</v>
      </c>
      <c r="D684" s="104" t="s">
        <v>89</v>
      </c>
      <c r="E684" s="104" t="s">
        <v>169</v>
      </c>
      <c r="F684" s="104">
        <v>2016</v>
      </c>
      <c r="G684" s="105">
        <v>43038.791666666664</v>
      </c>
      <c r="H684" s="105">
        <v>43052.958333333336</v>
      </c>
      <c r="I684" s="106">
        <v>43038</v>
      </c>
      <c r="J684" s="106">
        <v>43052</v>
      </c>
      <c r="K684" s="107" t="s">
        <v>526</v>
      </c>
      <c r="L684" s="107">
        <v>0.95833333333333337</v>
      </c>
      <c r="M684" s="107" t="s">
        <v>541</v>
      </c>
      <c r="N684" s="107" t="s">
        <v>536</v>
      </c>
      <c r="O684" s="107" t="s">
        <v>543</v>
      </c>
      <c r="P684" s="104" t="s">
        <v>23</v>
      </c>
      <c r="Q684" s="104" t="s">
        <v>41</v>
      </c>
      <c r="R684" s="104" t="s">
        <v>113</v>
      </c>
      <c r="S684" s="104">
        <v>3</v>
      </c>
      <c r="T684" s="104">
        <v>12</v>
      </c>
      <c r="U684" s="137">
        <v>62</v>
      </c>
      <c r="V684" s="138">
        <v>744</v>
      </c>
    </row>
    <row r="685" spans="1:22" x14ac:dyDescent="0.25">
      <c r="A685" s="108" t="s">
        <v>457</v>
      </c>
      <c r="B685" s="109" t="s">
        <v>39</v>
      </c>
      <c r="C685" s="109" t="s">
        <v>177</v>
      </c>
      <c r="D685" s="109" t="s">
        <v>84</v>
      </c>
      <c r="E685" s="109" t="s">
        <v>172</v>
      </c>
      <c r="F685" s="109">
        <v>2016</v>
      </c>
      <c r="G685" s="110">
        <v>43039.791666666664</v>
      </c>
      <c r="H685" s="110">
        <v>43053.958333333336</v>
      </c>
      <c r="I685" s="111">
        <v>43039</v>
      </c>
      <c r="J685" s="111">
        <v>43053</v>
      </c>
      <c r="K685" s="112" t="s">
        <v>526</v>
      </c>
      <c r="L685" s="112">
        <v>0.95833333333333337</v>
      </c>
      <c r="M685" s="112" t="s">
        <v>541</v>
      </c>
      <c r="N685" s="112" t="s">
        <v>536</v>
      </c>
      <c r="O685" s="112" t="s">
        <v>543</v>
      </c>
      <c r="P685" s="109" t="s">
        <v>9</v>
      </c>
      <c r="Q685" s="109" t="s">
        <v>22</v>
      </c>
      <c r="R685" s="109" t="s">
        <v>109</v>
      </c>
      <c r="S685" s="109">
        <v>2</v>
      </c>
      <c r="T685" s="109">
        <v>10</v>
      </c>
      <c r="U685" s="139">
        <v>52</v>
      </c>
      <c r="V685" s="140">
        <v>520</v>
      </c>
    </row>
    <row r="686" spans="1:22" x14ac:dyDescent="0.25">
      <c r="A686" s="103" t="s">
        <v>458</v>
      </c>
      <c r="B686" s="104" t="s">
        <v>7</v>
      </c>
      <c r="C686" s="104" t="s">
        <v>175</v>
      </c>
      <c r="D686" s="104" t="s">
        <v>85</v>
      </c>
      <c r="E686" s="104" t="s">
        <v>170</v>
      </c>
      <c r="F686" s="104">
        <v>2016</v>
      </c>
      <c r="G686" s="105">
        <v>43040.583333333336</v>
      </c>
      <c r="H686" s="105">
        <v>43054.75</v>
      </c>
      <c r="I686" s="106">
        <v>43040</v>
      </c>
      <c r="J686" s="106">
        <v>43054</v>
      </c>
      <c r="K686" s="107" t="s">
        <v>527</v>
      </c>
      <c r="L686" s="107">
        <v>0.75</v>
      </c>
      <c r="M686" s="107" t="s">
        <v>542</v>
      </c>
      <c r="N686" s="107" t="s">
        <v>537</v>
      </c>
      <c r="O686" s="107" t="s">
        <v>543</v>
      </c>
      <c r="P686" s="104" t="s">
        <v>23</v>
      </c>
      <c r="Q686" s="104" t="s">
        <v>38</v>
      </c>
      <c r="R686" s="104" t="s">
        <v>113</v>
      </c>
      <c r="S686" s="104">
        <v>2</v>
      </c>
      <c r="T686" s="104">
        <v>10</v>
      </c>
      <c r="U686" s="137">
        <v>48</v>
      </c>
      <c r="V686" s="138">
        <v>480</v>
      </c>
    </row>
    <row r="687" spans="1:22" x14ac:dyDescent="0.25">
      <c r="A687" s="108" t="s">
        <v>459</v>
      </c>
      <c r="B687" s="109" t="s">
        <v>39</v>
      </c>
      <c r="C687" s="109" t="s">
        <v>177</v>
      </c>
      <c r="D687" s="109" t="s">
        <v>81</v>
      </c>
      <c r="E687" s="109" t="s">
        <v>172</v>
      </c>
      <c r="F687" s="109">
        <v>2016</v>
      </c>
      <c r="G687" s="110">
        <v>43041.375</v>
      </c>
      <c r="H687" s="110">
        <v>43047.75</v>
      </c>
      <c r="I687" s="111">
        <v>43041</v>
      </c>
      <c r="J687" s="111">
        <v>43047</v>
      </c>
      <c r="K687" s="112" t="s">
        <v>525</v>
      </c>
      <c r="L687" s="112">
        <v>0.75</v>
      </c>
      <c r="M687" s="112" t="s">
        <v>540</v>
      </c>
      <c r="N687" s="112" t="s">
        <v>537</v>
      </c>
      <c r="O687" s="112" t="s">
        <v>543</v>
      </c>
      <c r="P687" s="109" t="s">
        <v>9</v>
      </c>
      <c r="Q687" s="109" t="s">
        <v>190</v>
      </c>
      <c r="R687" s="109" t="s">
        <v>109</v>
      </c>
      <c r="S687" s="109">
        <v>5</v>
      </c>
      <c r="T687" s="109">
        <v>9</v>
      </c>
      <c r="U687" s="139">
        <v>43</v>
      </c>
      <c r="V687" s="140">
        <v>387</v>
      </c>
    </row>
    <row r="688" spans="1:22" x14ac:dyDescent="0.25">
      <c r="A688" s="103" t="s">
        <v>460</v>
      </c>
      <c r="B688" s="104" t="s">
        <v>19</v>
      </c>
      <c r="C688" s="104" t="s">
        <v>176</v>
      </c>
      <c r="D688" s="104" t="s">
        <v>77</v>
      </c>
      <c r="E688" s="104" t="s">
        <v>172</v>
      </c>
      <c r="F688" s="104">
        <v>2016</v>
      </c>
      <c r="G688" s="105">
        <v>43042.333333333336</v>
      </c>
      <c r="H688" s="105">
        <v>43059.5</v>
      </c>
      <c r="I688" s="106">
        <v>43042</v>
      </c>
      <c r="J688" s="106">
        <v>43059</v>
      </c>
      <c r="K688" s="107" t="s">
        <v>522</v>
      </c>
      <c r="L688" s="107">
        <v>0.5</v>
      </c>
      <c r="M688" s="107" t="s">
        <v>539</v>
      </c>
      <c r="N688" s="107" t="s">
        <v>537</v>
      </c>
      <c r="O688" s="107" t="s">
        <v>543</v>
      </c>
      <c r="P688" s="104" t="s">
        <v>9</v>
      </c>
      <c r="Q688" s="104" t="s">
        <v>12</v>
      </c>
      <c r="R688" s="104" t="s">
        <v>113</v>
      </c>
      <c r="S688" s="104">
        <v>3</v>
      </c>
      <c r="T688" s="104">
        <v>12</v>
      </c>
      <c r="U688" s="137">
        <v>35</v>
      </c>
      <c r="V688" s="138">
        <v>420</v>
      </c>
    </row>
    <row r="689" spans="1:22" x14ac:dyDescent="0.25">
      <c r="A689" s="108" t="s">
        <v>461</v>
      </c>
      <c r="B689" s="109" t="s">
        <v>11</v>
      </c>
      <c r="C689" s="109" t="s">
        <v>175</v>
      </c>
      <c r="D689" s="109" t="s">
        <v>76</v>
      </c>
      <c r="E689" s="109" t="s">
        <v>174</v>
      </c>
      <c r="F689" s="109">
        <v>2016</v>
      </c>
      <c r="G689" s="110">
        <v>43043.375</v>
      </c>
      <c r="H689" s="110">
        <v>43048.75</v>
      </c>
      <c r="I689" s="111">
        <v>43043</v>
      </c>
      <c r="J689" s="111">
        <v>43048</v>
      </c>
      <c r="K689" s="112" t="s">
        <v>525</v>
      </c>
      <c r="L689" s="112">
        <v>0.75</v>
      </c>
      <c r="M689" s="112" t="s">
        <v>540</v>
      </c>
      <c r="N689" s="112" t="s">
        <v>537</v>
      </c>
      <c r="O689" s="112" t="s">
        <v>543</v>
      </c>
      <c r="P689" s="109" t="s">
        <v>23</v>
      </c>
      <c r="Q689" s="109" t="s">
        <v>18</v>
      </c>
      <c r="R689" s="109" t="s">
        <v>113</v>
      </c>
      <c r="S689" s="109">
        <v>4</v>
      </c>
      <c r="T689" s="109">
        <v>9</v>
      </c>
      <c r="U689" s="139">
        <v>53</v>
      </c>
      <c r="V689" s="140">
        <v>477</v>
      </c>
    </row>
    <row r="690" spans="1:22" x14ac:dyDescent="0.25">
      <c r="A690" s="103" t="s">
        <v>462</v>
      </c>
      <c r="B690" s="104" t="s">
        <v>11</v>
      </c>
      <c r="C690" s="104" t="s">
        <v>175</v>
      </c>
      <c r="D690" s="104" t="s">
        <v>79</v>
      </c>
      <c r="E690" s="104" t="s">
        <v>168</v>
      </c>
      <c r="F690" s="104">
        <v>2016</v>
      </c>
      <c r="G690" s="105">
        <v>43045.791666666664</v>
      </c>
      <c r="H690" s="105">
        <v>43060.958333333336</v>
      </c>
      <c r="I690" s="106">
        <v>43045</v>
      </c>
      <c r="J690" s="106">
        <v>43060</v>
      </c>
      <c r="K690" s="107" t="s">
        <v>526</v>
      </c>
      <c r="L690" s="107">
        <v>0.95833333333333337</v>
      </c>
      <c r="M690" s="107" t="s">
        <v>541</v>
      </c>
      <c r="N690" s="107" t="s">
        <v>537</v>
      </c>
      <c r="O690" s="107" t="s">
        <v>543</v>
      </c>
      <c r="P690" s="104" t="s">
        <v>23</v>
      </c>
      <c r="Q690" s="104" t="s">
        <v>35</v>
      </c>
      <c r="R690" s="104" t="s">
        <v>109</v>
      </c>
      <c r="S690" s="104">
        <v>5</v>
      </c>
      <c r="T690" s="104">
        <v>8</v>
      </c>
      <c r="U690" s="137">
        <v>48</v>
      </c>
      <c r="V690" s="138">
        <v>384</v>
      </c>
    </row>
    <row r="691" spans="1:22" x14ac:dyDescent="0.25">
      <c r="A691" s="108" t="s">
        <v>463</v>
      </c>
      <c r="B691" s="109" t="s">
        <v>39</v>
      </c>
      <c r="C691" s="109" t="s">
        <v>177</v>
      </c>
      <c r="D691" s="109" t="s">
        <v>78</v>
      </c>
      <c r="E691" s="109" t="s">
        <v>172</v>
      </c>
      <c r="F691" s="109">
        <v>2016</v>
      </c>
      <c r="G691" s="110">
        <v>43045.791666666664</v>
      </c>
      <c r="H691" s="110">
        <v>43060.958333333336</v>
      </c>
      <c r="I691" s="111">
        <v>43045</v>
      </c>
      <c r="J691" s="111">
        <v>43060</v>
      </c>
      <c r="K691" s="112" t="s">
        <v>526</v>
      </c>
      <c r="L691" s="112">
        <v>0.95833333333333337</v>
      </c>
      <c r="M691" s="112" t="s">
        <v>541</v>
      </c>
      <c r="N691" s="112" t="s">
        <v>537</v>
      </c>
      <c r="O691" s="112" t="s">
        <v>543</v>
      </c>
      <c r="P691" s="109" t="s">
        <v>9</v>
      </c>
      <c r="Q691" s="109" t="s">
        <v>38</v>
      </c>
      <c r="R691" s="109" t="s">
        <v>113</v>
      </c>
      <c r="S691" s="109">
        <v>4</v>
      </c>
      <c r="T691" s="109">
        <v>8</v>
      </c>
      <c r="U691" s="139">
        <v>62</v>
      </c>
      <c r="V691" s="140">
        <v>496</v>
      </c>
    </row>
    <row r="692" spans="1:22" x14ac:dyDescent="0.25">
      <c r="A692" s="103" t="s">
        <v>464</v>
      </c>
      <c r="B692" s="104" t="s">
        <v>39</v>
      </c>
      <c r="C692" s="104" t="s">
        <v>177</v>
      </c>
      <c r="D692" s="104" t="s">
        <v>84</v>
      </c>
      <c r="E692" s="104" t="s">
        <v>172</v>
      </c>
      <c r="F692" s="104">
        <v>2016</v>
      </c>
      <c r="G692" s="105">
        <v>43046.791666666664</v>
      </c>
      <c r="H692" s="105">
        <v>43061.958333333336</v>
      </c>
      <c r="I692" s="106">
        <v>43046</v>
      </c>
      <c r="J692" s="106">
        <v>43061</v>
      </c>
      <c r="K692" s="107" t="s">
        <v>526</v>
      </c>
      <c r="L692" s="107">
        <v>0.95833333333333337</v>
      </c>
      <c r="M692" s="107" t="s">
        <v>541</v>
      </c>
      <c r="N692" s="107" t="s">
        <v>537</v>
      </c>
      <c r="O692" s="107" t="s">
        <v>543</v>
      </c>
      <c r="P692" s="104" t="s">
        <v>23</v>
      </c>
      <c r="Q692" s="104" t="s">
        <v>190</v>
      </c>
      <c r="R692" s="104" t="s">
        <v>109</v>
      </c>
      <c r="S692" s="104">
        <v>4</v>
      </c>
      <c r="T692" s="104">
        <v>8</v>
      </c>
      <c r="U692" s="137">
        <v>52</v>
      </c>
      <c r="V692" s="138">
        <v>416</v>
      </c>
    </row>
    <row r="693" spans="1:22" x14ac:dyDescent="0.25">
      <c r="A693" s="108" t="s">
        <v>465</v>
      </c>
      <c r="B693" s="109" t="s">
        <v>17</v>
      </c>
      <c r="C693" s="109" t="s">
        <v>176</v>
      </c>
      <c r="D693" s="109" t="s">
        <v>80</v>
      </c>
      <c r="E693" s="109" t="s">
        <v>173</v>
      </c>
      <c r="F693" s="109">
        <v>2016</v>
      </c>
      <c r="G693" s="110">
        <v>43047.583333333336</v>
      </c>
      <c r="H693" s="110">
        <v>43062.75</v>
      </c>
      <c r="I693" s="111">
        <v>43047</v>
      </c>
      <c r="J693" s="111">
        <v>43062</v>
      </c>
      <c r="K693" s="112" t="s">
        <v>527</v>
      </c>
      <c r="L693" s="112">
        <v>0.75</v>
      </c>
      <c r="M693" s="112" t="s">
        <v>542</v>
      </c>
      <c r="N693" s="112" t="s">
        <v>537</v>
      </c>
      <c r="O693" s="112" t="s">
        <v>543</v>
      </c>
      <c r="P693" s="109" t="s">
        <v>23</v>
      </c>
      <c r="Q693" s="109" t="s">
        <v>37</v>
      </c>
      <c r="R693" s="109" t="s">
        <v>113</v>
      </c>
      <c r="S693" s="109">
        <v>5</v>
      </c>
      <c r="T693" s="109">
        <v>12</v>
      </c>
      <c r="U693" s="139">
        <v>32</v>
      </c>
      <c r="V693" s="140">
        <v>384</v>
      </c>
    </row>
    <row r="694" spans="1:22" x14ac:dyDescent="0.25">
      <c r="A694" s="103" t="s">
        <v>466</v>
      </c>
      <c r="B694" s="104" t="s">
        <v>11</v>
      </c>
      <c r="C694" s="104" t="s">
        <v>175</v>
      </c>
      <c r="D694" s="104" t="s">
        <v>78</v>
      </c>
      <c r="E694" s="104" t="s">
        <v>172</v>
      </c>
      <c r="F694" s="104">
        <v>2016</v>
      </c>
      <c r="G694" s="105">
        <v>43048.375</v>
      </c>
      <c r="H694" s="105">
        <v>43055.75</v>
      </c>
      <c r="I694" s="106">
        <v>43048</v>
      </c>
      <c r="J694" s="106">
        <v>43055</v>
      </c>
      <c r="K694" s="107" t="s">
        <v>525</v>
      </c>
      <c r="L694" s="107">
        <v>0.75</v>
      </c>
      <c r="M694" s="107" t="s">
        <v>540</v>
      </c>
      <c r="N694" s="107" t="s">
        <v>537</v>
      </c>
      <c r="O694" s="107" t="s">
        <v>543</v>
      </c>
      <c r="P694" s="104" t="s">
        <v>23</v>
      </c>
      <c r="Q694" s="104" t="s">
        <v>44</v>
      </c>
      <c r="R694" s="104" t="s">
        <v>113</v>
      </c>
      <c r="S694" s="104">
        <v>2</v>
      </c>
      <c r="T694" s="104">
        <v>8</v>
      </c>
      <c r="U694" s="137">
        <v>62</v>
      </c>
      <c r="V694" s="138">
        <v>496</v>
      </c>
    </row>
    <row r="695" spans="1:22" x14ac:dyDescent="0.25">
      <c r="A695" s="108" t="s">
        <v>467</v>
      </c>
      <c r="B695" s="109" t="s">
        <v>7</v>
      </c>
      <c r="C695" s="109" t="s">
        <v>175</v>
      </c>
      <c r="D695" s="109" t="s">
        <v>77</v>
      </c>
      <c r="E695" s="109" t="s">
        <v>172</v>
      </c>
      <c r="F695" s="109">
        <v>2016</v>
      </c>
      <c r="G695" s="110">
        <v>43049.333333333336</v>
      </c>
      <c r="H695" s="110">
        <v>43063.5</v>
      </c>
      <c r="I695" s="111">
        <v>43049</v>
      </c>
      <c r="J695" s="111">
        <v>43063</v>
      </c>
      <c r="K695" s="112" t="s">
        <v>522</v>
      </c>
      <c r="L695" s="112">
        <v>0.5</v>
      </c>
      <c r="M695" s="112" t="s">
        <v>539</v>
      </c>
      <c r="N695" s="112" t="s">
        <v>537</v>
      </c>
      <c r="O695" s="112" t="s">
        <v>543</v>
      </c>
      <c r="P695" s="109" t="s">
        <v>9</v>
      </c>
      <c r="Q695" s="109" t="s">
        <v>22</v>
      </c>
      <c r="R695" s="109" t="s">
        <v>109</v>
      </c>
      <c r="S695" s="109">
        <v>4</v>
      </c>
      <c r="T695" s="109">
        <v>11</v>
      </c>
      <c r="U695" s="139">
        <v>35</v>
      </c>
      <c r="V695" s="140">
        <v>385</v>
      </c>
    </row>
    <row r="696" spans="1:22" x14ac:dyDescent="0.25">
      <c r="A696" s="103" t="s">
        <v>468</v>
      </c>
      <c r="B696" s="104" t="s">
        <v>14</v>
      </c>
      <c r="C696" s="104" t="s">
        <v>175</v>
      </c>
      <c r="D696" s="104" t="s">
        <v>78</v>
      </c>
      <c r="E696" s="104" t="s">
        <v>172</v>
      </c>
      <c r="F696" s="104">
        <v>2016</v>
      </c>
      <c r="G696" s="105">
        <v>43050.375</v>
      </c>
      <c r="H696" s="105">
        <v>43055.75</v>
      </c>
      <c r="I696" s="106">
        <v>43050</v>
      </c>
      <c r="J696" s="106">
        <v>43055</v>
      </c>
      <c r="K696" s="107" t="s">
        <v>525</v>
      </c>
      <c r="L696" s="107">
        <v>0.75</v>
      </c>
      <c r="M696" s="107" t="s">
        <v>540</v>
      </c>
      <c r="N696" s="107" t="s">
        <v>537</v>
      </c>
      <c r="O696" s="107" t="s">
        <v>543</v>
      </c>
      <c r="P696" s="104" t="s">
        <v>9</v>
      </c>
      <c r="Q696" s="104" t="s">
        <v>41</v>
      </c>
      <c r="R696" s="104" t="s">
        <v>113</v>
      </c>
      <c r="S696" s="104">
        <v>5</v>
      </c>
      <c r="T696" s="104">
        <v>12</v>
      </c>
      <c r="U696" s="137">
        <v>62</v>
      </c>
      <c r="V696" s="138">
        <v>744</v>
      </c>
    </row>
    <row r="697" spans="1:22" x14ac:dyDescent="0.25">
      <c r="A697" s="108" t="s">
        <v>469</v>
      </c>
      <c r="B697" s="109" t="s">
        <v>11</v>
      </c>
      <c r="C697" s="109" t="s">
        <v>175</v>
      </c>
      <c r="D697" s="109" t="s">
        <v>88</v>
      </c>
      <c r="E697" s="109" t="s">
        <v>170</v>
      </c>
      <c r="F697" s="109">
        <v>2016</v>
      </c>
      <c r="G697" s="110">
        <v>43052.791666666664</v>
      </c>
      <c r="H697" s="110">
        <v>43067.958333333336</v>
      </c>
      <c r="I697" s="111">
        <v>43052</v>
      </c>
      <c r="J697" s="111">
        <v>43067</v>
      </c>
      <c r="K697" s="112" t="s">
        <v>526</v>
      </c>
      <c r="L697" s="112">
        <v>0.95833333333333337</v>
      </c>
      <c r="M697" s="112" t="s">
        <v>541</v>
      </c>
      <c r="N697" s="112" t="s">
        <v>537</v>
      </c>
      <c r="O697" s="112" t="s">
        <v>543</v>
      </c>
      <c r="P697" s="109" t="s">
        <v>23</v>
      </c>
      <c r="Q697" s="109" t="s">
        <v>16</v>
      </c>
      <c r="R697" s="109" t="s">
        <v>109</v>
      </c>
      <c r="S697" s="109">
        <v>3</v>
      </c>
      <c r="T697" s="109">
        <v>11</v>
      </c>
      <c r="U697" s="139">
        <v>42</v>
      </c>
      <c r="V697" s="140">
        <v>462</v>
      </c>
    </row>
    <row r="698" spans="1:22" x14ac:dyDescent="0.25">
      <c r="A698" s="103" t="s">
        <v>470</v>
      </c>
      <c r="B698" s="104" t="s">
        <v>19</v>
      </c>
      <c r="C698" s="104" t="s">
        <v>176</v>
      </c>
      <c r="D698" s="104" t="s">
        <v>80</v>
      </c>
      <c r="E698" s="104" t="s">
        <v>173</v>
      </c>
      <c r="F698" s="104">
        <v>2016</v>
      </c>
      <c r="G698" s="105">
        <v>43052.791666666664</v>
      </c>
      <c r="H698" s="105">
        <v>43067.958333333336</v>
      </c>
      <c r="I698" s="106">
        <v>43052</v>
      </c>
      <c r="J698" s="106">
        <v>43067</v>
      </c>
      <c r="K698" s="107" t="s">
        <v>526</v>
      </c>
      <c r="L698" s="107">
        <v>0.95833333333333337</v>
      </c>
      <c r="M698" s="107" t="s">
        <v>541</v>
      </c>
      <c r="N698" s="107" t="s">
        <v>537</v>
      </c>
      <c r="O698" s="107" t="s">
        <v>543</v>
      </c>
      <c r="P698" s="104" t="s">
        <v>23</v>
      </c>
      <c r="Q698" s="104" t="s">
        <v>190</v>
      </c>
      <c r="R698" s="104" t="s">
        <v>109</v>
      </c>
      <c r="S698" s="104">
        <v>5</v>
      </c>
      <c r="T698" s="104">
        <v>12</v>
      </c>
      <c r="U698" s="137">
        <v>32</v>
      </c>
      <c r="V698" s="138">
        <v>384</v>
      </c>
    </row>
    <row r="699" spans="1:22" x14ac:dyDescent="0.25">
      <c r="A699" s="108" t="s">
        <v>471</v>
      </c>
      <c r="B699" s="109" t="s">
        <v>11</v>
      </c>
      <c r="C699" s="109" t="s">
        <v>175</v>
      </c>
      <c r="D699" s="109" t="s">
        <v>84</v>
      </c>
      <c r="E699" s="109" t="s">
        <v>172</v>
      </c>
      <c r="F699" s="109">
        <v>2016</v>
      </c>
      <c r="G699" s="110">
        <v>43053.791666666664</v>
      </c>
      <c r="H699" s="110">
        <v>43068.958333333336</v>
      </c>
      <c r="I699" s="111">
        <v>43053</v>
      </c>
      <c r="J699" s="111">
        <v>43068</v>
      </c>
      <c r="K699" s="112" t="s">
        <v>526</v>
      </c>
      <c r="L699" s="112">
        <v>0.95833333333333337</v>
      </c>
      <c r="M699" s="112" t="s">
        <v>541</v>
      </c>
      <c r="N699" s="112" t="s">
        <v>537</v>
      </c>
      <c r="O699" s="112" t="s">
        <v>543</v>
      </c>
      <c r="P699" s="109" t="s">
        <v>23</v>
      </c>
      <c r="Q699" s="109" t="s">
        <v>37</v>
      </c>
      <c r="R699" s="109" t="s">
        <v>113</v>
      </c>
      <c r="S699" s="109">
        <v>3</v>
      </c>
      <c r="T699" s="109">
        <v>12</v>
      </c>
      <c r="U699" s="139">
        <v>52</v>
      </c>
      <c r="V699" s="140">
        <v>624</v>
      </c>
    </row>
    <row r="700" spans="1:22" x14ac:dyDescent="0.25">
      <c r="A700" s="103" t="s">
        <v>472</v>
      </c>
      <c r="B700" s="104" t="s">
        <v>39</v>
      </c>
      <c r="C700" s="104" t="s">
        <v>177</v>
      </c>
      <c r="D700" s="104" t="s">
        <v>82</v>
      </c>
      <c r="E700" s="104" t="s">
        <v>172</v>
      </c>
      <c r="F700" s="104">
        <v>2016</v>
      </c>
      <c r="G700" s="105">
        <v>43054.583333333336</v>
      </c>
      <c r="H700" s="105">
        <v>43069.75</v>
      </c>
      <c r="I700" s="106">
        <v>43054</v>
      </c>
      <c r="J700" s="106">
        <v>43069</v>
      </c>
      <c r="K700" s="107" t="s">
        <v>527</v>
      </c>
      <c r="L700" s="107">
        <v>0.75</v>
      </c>
      <c r="M700" s="107" t="s">
        <v>542</v>
      </c>
      <c r="N700" s="107" t="s">
        <v>537</v>
      </c>
      <c r="O700" s="107" t="s">
        <v>543</v>
      </c>
      <c r="P700" s="104" t="s">
        <v>23</v>
      </c>
      <c r="Q700" s="104" t="s">
        <v>190</v>
      </c>
      <c r="R700" s="104" t="s">
        <v>109</v>
      </c>
      <c r="S700" s="104">
        <v>3</v>
      </c>
      <c r="T700" s="104">
        <v>11</v>
      </c>
      <c r="U700" s="137">
        <v>75</v>
      </c>
      <c r="V700" s="138">
        <v>825</v>
      </c>
    </row>
    <row r="701" spans="1:22" x14ac:dyDescent="0.25">
      <c r="A701" s="108" t="s">
        <v>473</v>
      </c>
      <c r="B701" s="109" t="s">
        <v>19</v>
      </c>
      <c r="C701" s="109" t="s">
        <v>176</v>
      </c>
      <c r="D701" s="109" t="s">
        <v>84</v>
      </c>
      <c r="E701" s="109" t="s">
        <v>172</v>
      </c>
      <c r="F701" s="109">
        <v>2016</v>
      </c>
      <c r="G701" s="110">
        <v>43055.375</v>
      </c>
      <c r="H701" s="110">
        <v>43062.75</v>
      </c>
      <c r="I701" s="111">
        <v>43055</v>
      </c>
      <c r="J701" s="111">
        <v>43062</v>
      </c>
      <c r="K701" s="112" t="s">
        <v>525</v>
      </c>
      <c r="L701" s="112">
        <v>0.75</v>
      </c>
      <c r="M701" s="112" t="s">
        <v>540</v>
      </c>
      <c r="N701" s="112" t="s">
        <v>537</v>
      </c>
      <c r="O701" s="112" t="s">
        <v>543</v>
      </c>
      <c r="P701" s="109" t="s">
        <v>9</v>
      </c>
      <c r="Q701" s="109" t="s">
        <v>190</v>
      </c>
      <c r="R701" s="109" t="s">
        <v>109</v>
      </c>
      <c r="S701" s="109">
        <v>2</v>
      </c>
      <c r="T701" s="109">
        <v>11</v>
      </c>
      <c r="U701" s="139">
        <v>52</v>
      </c>
      <c r="V701" s="140">
        <v>572</v>
      </c>
    </row>
    <row r="702" spans="1:22" x14ac:dyDescent="0.25">
      <c r="A702" s="103" t="s">
        <v>474</v>
      </c>
      <c r="B702" s="104" t="s">
        <v>11</v>
      </c>
      <c r="C702" s="104" t="s">
        <v>175</v>
      </c>
      <c r="D702" s="104" t="s">
        <v>88</v>
      </c>
      <c r="E702" s="104" t="s">
        <v>170</v>
      </c>
      <c r="F702" s="104">
        <v>2016</v>
      </c>
      <c r="G702" s="105">
        <v>43056.333333333336</v>
      </c>
      <c r="H702" s="105">
        <v>43070.5</v>
      </c>
      <c r="I702" s="106">
        <v>43056</v>
      </c>
      <c r="J702" s="106">
        <v>43070</v>
      </c>
      <c r="K702" s="107" t="s">
        <v>522</v>
      </c>
      <c r="L702" s="107">
        <v>0.5</v>
      </c>
      <c r="M702" s="107" t="s">
        <v>539</v>
      </c>
      <c r="N702" s="107" t="s">
        <v>537</v>
      </c>
      <c r="O702" s="107" t="s">
        <v>543</v>
      </c>
      <c r="P702" s="104" t="s">
        <v>23</v>
      </c>
      <c r="Q702" s="104" t="s">
        <v>16</v>
      </c>
      <c r="R702" s="104" t="s">
        <v>109</v>
      </c>
      <c r="S702" s="104">
        <v>3</v>
      </c>
      <c r="T702" s="104">
        <v>11</v>
      </c>
      <c r="U702" s="137">
        <v>42</v>
      </c>
      <c r="V702" s="138">
        <v>462</v>
      </c>
    </row>
    <row r="703" spans="1:22" x14ac:dyDescent="0.25">
      <c r="A703" s="108" t="s">
        <v>475</v>
      </c>
      <c r="B703" s="109" t="s">
        <v>7</v>
      </c>
      <c r="C703" s="109" t="s">
        <v>175</v>
      </c>
      <c r="D703" s="109" t="s">
        <v>76</v>
      </c>
      <c r="E703" s="109" t="s">
        <v>174</v>
      </c>
      <c r="F703" s="109">
        <v>2016</v>
      </c>
      <c r="G703" s="110">
        <v>43057.375</v>
      </c>
      <c r="H703" s="110">
        <v>43062.75</v>
      </c>
      <c r="I703" s="111">
        <v>43057</v>
      </c>
      <c r="J703" s="111">
        <v>43062</v>
      </c>
      <c r="K703" s="112" t="s">
        <v>525</v>
      </c>
      <c r="L703" s="112">
        <v>0.75</v>
      </c>
      <c r="M703" s="112" t="s">
        <v>540</v>
      </c>
      <c r="N703" s="112" t="s">
        <v>537</v>
      </c>
      <c r="O703" s="112" t="s">
        <v>543</v>
      </c>
      <c r="P703" s="109" t="s">
        <v>9</v>
      </c>
      <c r="Q703" s="109" t="s">
        <v>18</v>
      </c>
      <c r="R703" s="109" t="s">
        <v>113</v>
      </c>
      <c r="S703" s="109">
        <v>4</v>
      </c>
      <c r="T703" s="109">
        <v>12</v>
      </c>
      <c r="U703" s="139">
        <v>53</v>
      </c>
      <c r="V703" s="140">
        <v>636</v>
      </c>
    </row>
    <row r="704" spans="1:22" x14ac:dyDescent="0.25">
      <c r="A704" s="103" t="s">
        <v>476</v>
      </c>
      <c r="B704" s="104" t="s">
        <v>39</v>
      </c>
      <c r="C704" s="104" t="s">
        <v>177</v>
      </c>
      <c r="D704" s="104" t="s">
        <v>80</v>
      </c>
      <c r="E704" s="104" t="s">
        <v>173</v>
      </c>
      <c r="F704" s="104">
        <v>2016</v>
      </c>
      <c r="G704" s="105">
        <v>43059.791666666664</v>
      </c>
      <c r="H704" s="105">
        <v>43073.958333333336</v>
      </c>
      <c r="I704" s="106">
        <v>43059</v>
      </c>
      <c r="J704" s="106">
        <v>43073</v>
      </c>
      <c r="K704" s="107" t="s">
        <v>526</v>
      </c>
      <c r="L704" s="107">
        <v>0.95833333333333337</v>
      </c>
      <c r="M704" s="107" t="s">
        <v>541</v>
      </c>
      <c r="N704" s="107" t="s">
        <v>537</v>
      </c>
      <c r="O704" s="107" t="s">
        <v>543</v>
      </c>
      <c r="P704" s="104" t="s">
        <v>23</v>
      </c>
      <c r="Q704" s="104" t="s">
        <v>16</v>
      </c>
      <c r="R704" s="104" t="s">
        <v>109</v>
      </c>
      <c r="S704" s="104">
        <v>5</v>
      </c>
      <c r="T704" s="104">
        <v>12</v>
      </c>
      <c r="U704" s="137">
        <v>32</v>
      </c>
      <c r="V704" s="138">
        <v>384</v>
      </c>
    </row>
    <row r="705" spans="1:22" x14ac:dyDescent="0.25">
      <c r="A705" s="108" t="s">
        <v>477</v>
      </c>
      <c r="B705" s="109" t="s">
        <v>39</v>
      </c>
      <c r="C705" s="109" t="s">
        <v>177</v>
      </c>
      <c r="D705" s="109" t="s">
        <v>88</v>
      </c>
      <c r="E705" s="109" t="s">
        <v>170</v>
      </c>
      <c r="F705" s="109">
        <v>2016</v>
      </c>
      <c r="G705" s="110">
        <v>43059.791666666664</v>
      </c>
      <c r="H705" s="110">
        <v>43073.958333333336</v>
      </c>
      <c r="I705" s="111">
        <v>43059</v>
      </c>
      <c r="J705" s="111">
        <v>43073</v>
      </c>
      <c r="K705" s="112" t="s">
        <v>526</v>
      </c>
      <c r="L705" s="112">
        <v>0.95833333333333337</v>
      </c>
      <c r="M705" s="112" t="s">
        <v>541</v>
      </c>
      <c r="N705" s="112" t="s">
        <v>537</v>
      </c>
      <c r="O705" s="112" t="s">
        <v>543</v>
      </c>
      <c r="P705" s="109" t="s">
        <v>9</v>
      </c>
      <c r="Q705" s="109" t="s">
        <v>190</v>
      </c>
      <c r="R705" s="109" t="s">
        <v>109</v>
      </c>
      <c r="S705" s="109">
        <v>4</v>
      </c>
      <c r="T705" s="109">
        <v>8</v>
      </c>
      <c r="U705" s="139">
        <v>42</v>
      </c>
      <c r="V705" s="140">
        <v>336</v>
      </c>
    </row>
    <row r="706" spans="1:22" x14ac:dyDescent="0.25">
      <c r="A706" s="103" t="s">
        <v>478</v>
      </c>
      <c r="B706" s="104" t="s">
        <v>45</v>
      </c>
      <c r="C706" s="104" t="s">
        <v>177</v>
      </c>
      <c r="D706" s="104" t="s">
        <v>82</v>
      </c>
      <c r="E706" s="104" t="s">
        <v>172</v>
      </c>
      <c r="F706" s="104">
        <v>2016</v>
      </c>
      <c r="G706" s="105">
        <v>43060.791666666664</v>
      </c>
      <c r="H706" s="105">
        <v>43074.958333333336</v>
      </c>
      <c r="I706" s="106">
        <v>43060</v>
      </c>
      <c r="J706" s="106">
        <v>43074</v>
      </c>
      <c r="K706" s="107" t="s">
        <v>526</v>
      </c>
      <c r="L706" s="107">
        <v>0.95833333333333337</v>
      </c>
      <c r="M706" s="107" t="s">
        <v>541</v>
      </c>
      <c r="N706" s="107" t="s">
        <v>537</v>
      </c>
      <c r="O706" s="107" t="s">
        <v>543</v>
      </c>
      <c r="P706" s="104" t="s">
        <v>23</v>
      </c>
      <c r="Q706" s="104" t="s">
        <v>37</v>
      </c>
      <c r="R706" s="104" t="s">
        <v>113</v>
      </c>
      <c r="S706" s="104">
        <v>3</v>
      </c>
      <c r="T706" s="104">
        <v>11</v>
      </c>
      <c r="U706" s="137">
        <v>75</v>
      </c>
      <c r="V706" s="138">
        <v>825</v>
      </c>
    </row>
    <row r="707" spans="1:22" x14ac:dyDescent="0.25">
      <c r="A707" s="108" t="s">
        <v>479</v>
      </c>
      <c r="B707" s="109" t="s">
        <v>7</v>
      </c>
      <c r="C707" s="109" t="s">
        <v>175</v>
      </c>
      <c r="D707" s="109" t="s">
        <v>80</v>
      </c>
      <c r="E707" s="109" t="s">
        <v>173</v>
      </c>
      <c r="F707" s="109">
        <v>2016</v>
      </c>
      <c r="G707" s="110">
        <v>43061.583333333336</v>
      </c>
      <c r="H707" s="110">
        <v>43075.75</v>
      </c>
      <c r="I707" s="111">
        <v>43061</v>
      </c>
      <c r="J707" s="111">
        <v>43075</v>
      </c>
      <c r="K707" s="112" t="s">
        <v>527</v>
      </c>
      <c r="L707" s="112">
        <v>0.75</v>
      </c>
      <c r="M707" s="112" t="s">
        <v>542</v>
      </c>
      <c r="N707" s="112" t="s">
        <v>537</v>
      </c>
      <c r="O707" s="112" t="s">
        <v>543</v>
      </c>
      <c r="P707" s="109" t="s">
        <v>23</v>
      </c>
      <c r="Q707" s="109" t="s">
        <v>37</v>
      </c>
      <c r="R707" s="109" t="s">
        <v>113</v>
      </c>
      <c r="S707" s="109">
        <v>5</v>
      </c>
      <c r="T707" s="109">
        <v>9</v>
      </c>
      <c r="U707" s="139">
        <v>32</v>
      </c>
      <c r="V707" s="140">
        <v>288</v>
      </c>
    </row>
    <row r="708" spans="1:22" x14ac:dyDescent="0.25">
      <c r="A708" s="103" t="s">
        <v>480</v>
      </c>
      <c r="B708" s="104" t="s">
        <v>14</v>
      </c>
      <c r="C708" s="104" t="s">
        <v>175</v>
      </c>
      <c r="D708" s="104" t="s">
        <v>77</v>
      </c>
      <c r="E708" s="104" t="s">
        <v>172</v>
      </c>
      <c r="F708" s="104">
        <v>2016</v>
      </c>
      <c r="G708" s="105">
        <v>43062.375</v>
      </c>
      <c r="H708" s="105">
        <v>43069.75</v>
      </c>
      <c r="I708" s="106">
        <v>43062</v>
      </c>
      <c r="J708" s="106">
        <v>43069</v>
      </c>
      <c r="K708" s="107" t="s">
        <v>525</v>
      </c>
      <c r="L708" s="107">
        <v>0.75</v>
      </c>
      <c r="M708" s="107" t="s">
        <v>540</v>
      </c>
      <c r="N708" s="107" t="s">
        <v>537</v>
      </c>
      <c r="O708" s="107" t="s">
        <v>543</v>
      </c>
      <c r="P708" s="104" t="s">
        <v>9</v>
      </c>
      <c r="Q708" s="104" t="s">
        <v>31</v>
      </c>
      <c r="R708" s="104" t="s">
        <v>113</v>
      </c>
      <c r="S708" s="104">
        <v>2</v>
      </c>
      <c r="T708" s="104">
        <v>8</v>
      </c>
      <c r="U708" s="137">
        <v>35</v>
      </c>
      <c r="V708" s="138">
        <v>280</v>
      </c>
    </row>
    <row r="709" spans="1:22" x14ac:dyDescent="0.25">
      <c r="A709" s="108" t="s">
        <v>481</v>
      </c>
      <c r="B709" s="109" t="s">
        <v>7</v>
      </c>
      <c r="C709" s="109" t="s">
        <v>175</v>
      </c>
      <c r="D709" s="109" t="s">
        <v>86</v>
      </c>
      <c r="E709" s="109" t="s">
        <v>169</v>
      </c>
      <c r="F709" s="109">
        <v>2016</v>
      </c>
      <c r="G709" s="110">
        <v>43063.333333333336</v>
      </c>
      <c r="H709" s="110">
        <v>43077.5</v>
      </c>
      <c r="I709" s="111">
        <v>43063</v>
      </c>
      <c r="J709" s="111">
        <v>43077</v>
      </c>
      <c r="K709" s="112" t="s">
        <v>522</v>
      </c>
      <c r="L709" s="112">
        <v>0.5</v>
      </c>
      <c r="M709" s="112" t="s">
        <v>539</v>
      </c>
      <c r="N709" s="112" t="s">
        <v>537</v>
      </c>
      <c r="O709" s="112" t="s">
        <v>543</v>
      </c>
      <c r="P709" s="109" t="s">
        <v>9</v>
      </c>
      <c r="Q709" s="109" t="s">
        <v>44</v>
      </c>
      <c r="R709" s="109" t="s">
        <v>113</v>
      </c>
      <c r="S709" s="109">
        <v>2</v>
      </c>
      <c r="T709" s="109">
        <v>8</v>
      </c>
      <c r="U709" s="139">
        <v>48</v>
      </c>
      <c r="V709" s="140">
        <v>384</v>
      </c>
    </row>
    <row r="710" spans="1:22" x14ac:dyDescent="0.25">
      <c r="A710" s="103" t="s">
        <v>482</v>
      </c>
      <c r="B710" s="104" t="s">
        <v>29</v>
      </c>
      <c r="C710" s="104" t="s">
        <v>177</v>
      </c>
      <c r="D710" s="104" t="s">
        <v>82</v>
      </c>
      <c r="E710" s="104" t="s">
        <v>172</v>
      </c>
      <c r="F710" s="104">
        <v>2016</v>
      </c>
      <c r="G710" s="105">
        <v>43064.375</v>
      </c>
      <c r="H710" s="105">
        <v>43070.75</v>
      </c>
      <c r="I710" s="106">
        <v>43064</v>
      </c>
      <c r="J710" s="106">
        <v>43070</v>
      </c>
      <c r="K710" s="107" t="s">
        <v>525</v>
      </c>
      <c r="L710" s="107">
        <v>0.75</v>
      </c>
      <c r="M710" s="107" t="s">
        <v>540</v>
      </c>
      <c r="N710" s="107" t="s">
        <v>537</v>
      </c>
      <c r="O710" s="107" t="s">
        <v>543</v>
      </c>
      <c r="P710" s="104" t="s">
        <v>23</v>
      </c>
      <c r="Q710" s="104" t="s">
        <v>38</v>
      </c>
      <c r="R710" s="104" t="s">
        <v>113</v>
      </c>
      <c r="S710" s="104">
        <v>2</v>
      </c>
      <c r="T710" s="104">
        <v>11</v>
      </c>
      <c r="U710" s="137">
        <v>75</v>
      </c>
      <c r="V710" s="138">
        <v>825</v>
      </c>
    </row>
    <row r="711" spans="1:22" x14ac:dyDescent="0.25">
      <c r="A711" s="108" t="s">
        <v>483</v>
      </c>
      <c r="B711" s="109" t="s">
        <v>11</v>
      </c>
      <c r="C711" s="109" t="s">
        <v>175</v>
      </c>
      <c r="D711" s="109" t="s">
        <v>88</v>
      </c>
      <c r="E711" s="109" t="s">
        <v>170</v>
      </c>
      <c r="F711" s="109">
        <v>2016</v>
      </c>
      <c r="G711" s="110">
        <v>43066.791666666664</v>
      </c>
      <c r="H711" s="110">
        <v>43077.958333333336</v>
      </c>
      <c r="I711" s="111">
        <v>43066</v>
      </c>
      <c r="J711" s="111">
        <v>43077</v>
      </c>
      <c r="K711" s="112" t="s">
        <v>526</v>
      </c>
      <c r="L711" s="112">
        <v>0.95833333333333337</v>
      </c>
      <c r="M711" s="112" t="s">
        <v>541</v>
      </c>
      <c r="N711" s="112" t="s">
        <v>537</v>
      </c>
      <c r="O711" s="112" t="s">
        <v>543</v>
      </c>
      <c r="P711" s="109" t="s">
        <v>9</v>
      </c>
      <c r="Q711" s="109" t="s">
        <v>18</v>
      </c>
      <c r="R711" s="109" t="s">
        <v>113</v>
      </c>
      <c r="S711" s="109">
        <v>5</v>
      </c>
      <c r="T711" s="109">
        <v>12</v>
      </c>
      <c r="U711" s="139">
        <v>42</v>
      </c>
      <c r="V711" s="140">
        <v>504</v>
      </c>
    </row>
    <row r="712" spans="1:22" x14ac:dyDescent="0.25">
      <c r="A712" s="103" t="s">
        <v>484</v>
      </c>
      <c r="B712" s="104" t="s">
        <v>19</v>
      </c>
      <c r="C712" s="104" t="s">
        <v>176</v>
      </c>
      <c r="D712" s="104" t="s">
        <v>82</v>
      </c>
      <c r="E712" s="104" t="s">
        <v>172</v>
      </c>
      <c r="F712" s="104">
        <v>2016</v>
      </c>
      <c r="G712" s="105">
        <v>43066.791666666664</v>
      </c>
      <c r="H712" s="105">
        <v>43077.958333333336</v>
      </c>
      <c r="I712" s="106">
        <v>43066</v>
      </c>
      <c r="J712" s="106">
        <v>43077</v>
      </c>
      <c r="K712" s="107" t="s">
        <v>526</v>
      </c>
      <c r="L712" s="107">
        <v>0.95833333333333337</v>
      </c>
      <c r="M712" s="107" t="s">
        <v>541</v>
      </c>
      <c r="N712" s="107" t="s">
        <v>537</v>
      </c>
      <c r="O712" s="107" t="s">
        <v>543</v>
      </c>
      <c r="P712" s="104" t="s">
        <v>23</v>
      </c>
      <c r="Q712" s="104" t="s">
        <v>16</v>
      </c>
      <c r="R712" s="104" t="s">
        <v>109</v>
      </c>
      <c r="S712" s="104">
        <v>4</v>
      </c>
      <c r="T712" s="104">
        <v>12</v>
      </c>
      <c r="U712" s="137">
        <v>75</v>
      </c>
      <c r="V712" s="138">
        <v>900</v>
      </c>
    </row>
    <row r="713" spans="1:22" x14ac:dyDescent="0.25">
      <c r="A713" s="108" t="s">
        <v>485</v>
      </c>
      <c r="B713" s="109" t="s">
        <v>22</v>
      </c>
      <c r="C713" s="109" t="s">
        <v>176</v>
      </c>
      <c r="D713" s="109" t="s">
        <v>89</v>
      </c>
      <c r="E713" s="109" t="s">
        <v>169</v>
      </c>
      <c r="F713" s="109">
        <v>2016</v>
      </c>
      <c r="G713" s="110">
        <v>43067.791666666664</v>
      </c>
      <c r="H713" s="110">
        <v>43080.958333333336</v>
      </c>
      <c r="I713" s="111">
        <v>43067</v>
      </c>
      <c r="J713" s="111">
        <v>43080</v>
      </c>
      <c r="K713" s="112" t="s">
        <v>526</v>
      </c>
      <c r="L713" s="112">
        <v>0.95833333333333337</v>
      </c>
      <c r="M713" s="112" t="s">
        <v>541</v>
      </c>
      <c r="N713" s="112" t="s">
        <v>537</v>
      </c>
      <c r="O713" s="112" t="s">
        <v>543</v>
      </c>
      <c r="P713" s="109" t="s">
        <v>23</v>
      </c>
      <c r="Q713" s="109" t="s">
        <v>18</v>
      </c>
      <c r="R713" s="109" t="s">
        <v>113</v>
      </c>
      <c r="S713" s="109">
        <v>3</v>
      </c>
      <c r="T713" s="109">
        <v>12</v>
      </c>
      <c r="U713" s="139">
        <v>62</v>
      </c>
      <c r="V713" s="140">
        <v>744</v>
      </c>
    </row>
    <row r="714" spans="1:22" x14ac:dyDescent="0.25">
      <c r="A714" s="103" t="s">
        <v>486</v>
      </c>
      <c r="B714" s="104" t="s">
        <v>7</v>
      </c>
      <c r="C714" s="104" t="s">
        <v>175</v>
      </c>
      <c r="D714" s="104" t="s">
        <v>78</v>
      </c>
      <c r="E714" s="104" t="s">
        <v>172</v>
      </c>
      <c r="F714" s="104">
        <v>2016</v>
      </c>
      <c r="G714" s="105">
        <v>43068.583333333336</v>
      </c>
      <c r="H714" s="105">
        <v>43081.75</v>
      </c>
      <c r="I714" s="106">
        <v>43068</v>
      </c>
      <c r="J714" s="106">
        <v>43081</v>
      </c>
      <c r="K714" s="107" t="s">
        <v>527</v>
      </c>
      <c r="L714" s="107">
        <v>0.75</v>
      </c>
      <c r="M714" s="107" t="s">
        <v>542</v>
      </c>
      <c r="N714" s="107" t="s">
        <v>537</v>
      </c>
      <c r="O714" s="107" t="s">
        <v>543</v>
      </c>
      <c r="P714" s="104" t="s">
        <v>9</v>
      </c>
      <c r="Q714" s="104" t="s">
        <v>38</v>
      </c>
      <c r="R714" s="104" t="s">
        <v>113</v>
      </c>
      <c r="S714" s="104">
        <v>2</v>
      </c>
      <c r="T714" s="104">
        <v>11</v>
      </c>
      <c r="U714" s="137">
        <v>62</v>
      </c>
      <c r="V714" s="138">
        <v>682</v>
      </c>
    </row>
    <row r="715" spans="1:22" x14ac:dyDescent="0.25">
      <c r="A715" s="108" t="s">
        <v>487</v>
      </c>
      <c r="B715" s="109" t="s">
        <v>29</v>
      </c>
      <c r="C715" s="109" t="s">
        <v>177</v>
      </c>
      <c r="D715" s="109" t="s">
        <v>80</v>
      </c>
      <c r="E715" s="109" t="s">
        <v>173</v>
      </c>
      <c r="F715" s="109">
        <v>2016</v>
      </c>
      <c r="G715" s="110">
        <v>43069.375</v>
      </c>
      <c r="H715" s="110">
        <v>43075.75</v>
      </c>
      <c r="I715" s="111">
        <v>43069</v>
      </c>
      <c r="J715" s="111">
        <v>43075</v>
      </c>
      <c r="K715" s="112" t="s">
        <v>525</v>
      </c>
      <c r="L715" s="112">
        <v>0.75</v>
      </c>
      <c r="M715" s="112" t="s">
        <v>540</v>
      </c>
      <c r="N715" s="112" t="s">
        <v>537</v>
      </c>
      <c r="O715" s="112" t="s">
        <v>543</v>
      </c>
      <c r="P715" s="109" t="s">
        <v>23</v>
      </c>
      <c r="Q715" s="109" t="s">
        <v>18</v>
      </c>
      <c r="R715" s="109" t="s">
        <v>113</v>
      </c>
      <c r="S715" s="109">
        <v>3</v>
      </c>
      <c r="T715" s="109">
        <v>12</v>
      </c>
      <c r="U715" s="139">
        <v>32</v>
      </c>
      <c r="V715" s="140">
        <v>384</v>
      </c>
    </row>
    <row r="716" spans="1:22" x14ac:dyDescent="0.25">
      <c r="A716" s="103" t="s">
        <v>488</v>
      </c>
      <c r="B716" s="104" t="s">
        <v>45</v>
      </c>
      <c r="C716" s="104" t="s">
        <v>177</v>
      </c>
      <c r="D716" s="104" t="s">
        <v>78</v>
      </c>
      <c r="E716" s="104" t="s">
        <v>172</v>
      </c>
      <c r="F716" s="104">
        <v>2016</v>
      </c>
      <c r="G716" s="105">
        <v>43070.333333333336</v>
      </c>
      <c r="H716" s="105">
        <v>43083.5</v>
      </c>
      <c r="I716" s="106">
        <v>43070</v>
      </c>
      <c r="J716" s="106">
        <v>43083</v>
      </c>
      <c r="K716" s="107" t="s">
        <v>522</v>
      </c>
      <c r="L716" s="107">
        <v>0.5</v>
      </c>
      <c r="M716" s="107" t="s">
        <v>539</v>
      </c>
      <c r="N716" s="107" t="s">
        <v>538</v>
      </c>
      <c r="O716" s="107" t="s">
        <v>543</v>
      </c>
      <c r="P716" s="104" t="s">
        <v>9</v>
      </c>
      <c r="Q716" s="104" t="s">
        <v>44</v>
      </c>
      <c r="R716" s="104" t="s">
        <v>113</v>
      </c>
      <c r="S716" s="104">
        <v>2</v>
      </c>
      <c r="T716" s="104">
        <v>8</v>
      </c>
      <c r="U716" s="137">
        <v>62</v>
      </c>
      <c r="V716" s="138">
        <v>496</v>
      </c>
    </row>
    <row r="717" spans="1:22" x14ac:dyDescent="0.25">
      <c r="A717" s="108" t="s">
        <v>489</v>
      </c>
      <c r="B717" s="109" t="s">
        <v>29</v>
      </c>
      <c r="C717" s="109" t="s">
        <v>177</v>
      </c>
      <c r="D717" s="109" t="s">
        <v>77</v>
      </c>
      <c r="E717" s="109" t="s">
        <v>172</v>
      </c>
      <c r="F717" s="109">
        <v>2016</v>
      </c>
      <c r="G717" s="110">
        <v>43071.375</v>
      </c>
      <c r="H717" s="110">
        <v>43076.75</v>
      </c>
      <c r="I717" s="111">
        <v>43071</v>
      </c>
      <c r="J717" s="111">
        <v>43076</v>
      </c>
      <c r="K717" s="112" t="s">
        <v>525</v>
      </c>
      <c r="L717" s="112">
        <v>0.75</v>
      </c>
      <c r="M717" s="112" t="s">
        <v>540</v>
      </c>
      <c r="N717" s="112" t="s">
        <v>538</v>
      </c>
      <c r="O717" s="112" t="s">
        <v>543</v>
      </c>
      <c r="P717" s="109" t="s">
        <v>9</v>
      </c>
      <c r="Q717" s="109" t="s">
        <v>21</v>
      </c>
      <c r="R717" s="109" t="s">
        <v>113</v>
      </c>
      <c r="S717" s="109">
        <v>4</v>
      </c>
      <c r="T717" s="109">
        <v>12</v>
      </c>
      <c r="U717" s="139">
        <v>35</v>
      </c>
      <c r="V717" s="140">
        <v>420</v>
      </c>
    </row>
    <row r="718" spans="1:22" x14ac:dyDescent="0.25">
      <c r="A718" s="103" t="s">
        <v>490</v>
      </c>
      <c r="B718" s="104" t="s">
        <v>11</v>
      </c>
      <c r="C718" s="104" t="s">
        <v>175</v>
      </c>
      <c r="D718" s="104" t="s">
        <v>85</v>
      </c>
      <c r="E718" s="104" t="s">
        <v>170</v>
      </c>
      <c r="F718" s="104">
        <v>2016</v>
      </c>
      <c r="G718" s="105">
        <v>43073.791666666664</v>
      </c>
      <c r="H718" s="105">
        <v>43084.958333333336</v>
      </c>
      <c r="I718" s="106">
        <v>43073</v>
      </c>
      <c r="J718" s="106">
        <v>43084</v>
      </c>
      <c r="K718" s="107" t="s">
        <v>526</v>
      </c>
      <c r="L718" s="107">
        <v>0.95833333333333337</v>
      </c>
      <c r="M718" s="107" t="s">
        <v>541</v>
      </c>
      <c r="N718" s="107" t="s">
        <v>538</v>
      </c>
      <c r="O718" s="107" t="s">
        <v>543</v>
      </c>
      <c r="P718" s="104" t="s">
        <v>9</v>
      </c>
      <c r="Q718" s="104" t="s">
        <v>190</v>
      </c>
      <c r="R718" s="104" t="s">
        <v>109</v>
      </c>
      <c r="S718" s="104">
        <v>3</v>
      </c>
      <c r="T718" s="104">
        <v>11</v>
      </c>
      <c r="U718" s="137">
        <v>48</v>
      </c>
      <c r="V718" s="138">
        <v>528</v>
      </c>
    </row>
    <row r="719" spans="1:22" x14ac:dyDescent="0.25">
      <c r="A719" s="108" t="s">
        <v>491</v>
      </c>
      <c r="B719" s="109" t="s">
        <v>17</v>
      </c>
      <c r="C719" s="109" t="s">
        <v>176</v>
      </c>
      <c r="D719" s="109" t="s">
        <v>83</v>
      </c>
      <c r="E719" s="109" t="s">
        <v>174</v>
      </c>
      <c r="F719" s="109">
        <v>2016</v>
      </c>
      <c r="G719" s="110">
        <v>43073.791666666664</v>
      </c>
      <c r="H719" s="110">
        <v>43084.958333333336</v>
      </c>
      <c r="I719" s="111">
        <v>43073</v>
      </c>
      <c r="J719" s="111">
        <v>43084</v>
      </c>
      <c r="K719" s="112" t="s">
        <v>526</v>
      </c>
      <c r="L719" s="112">
        <v>0.95833333333333337</v>
      </c>
      <c r="M719" s="112" t="s">
        <v>541</v>
      </c>
      <c r="N719" s="112" t="s">
        <v>538</v>
      </c>
      <c r="O719" s="112" t="s">
        <v>543</v>
      </c>
      <c r="P719" s="109" t="s">
        <v>9</v>
      </c>
      <c r="Q719" s="109" t="s">
        <v>16</v>
      </c>
      <c r="R719" s="109" t="s">
        <v>109</v>
      </c>
      <c r="S719" s="109">
        <v>2</v>
      </c>
      <c r="T719" s="109">
        <v>8</v>
      </c>
      <c r="U719" s="139">
        <v>63</v>
      </c>
      <c r="V719" s="140">
        <v>504</v>
      </c>
    </row>
    <row r="720" spans="1:22" x14ac:dyDescent="0.25">
      <c r="A720" s="103" t="s">
        <v>492</v>
      </c>
      <c r="B720" s="104" t="s">
        <v>17</v>
      </c>
      <c r="C720" s="104" t="s">
        <v>176</v>
      </c>
      <c r="D720" s="104" t="s">
        <v>84</v>
      </c>
      <c r="E720" s="104" t="s">
        <v>172</v>
      </c>
      <c r="F720" s="104">
        <v>2016</v>
      </c>
      <c r="G720" s="105">
        <v>43074.791666666664</v>
      </c>
      <c r="H720" s="105">
        <v>43087.958333333336</v>
      </c>
      <c r="I720" s="106">
        <v>43074</v>
      </c>
      <c r="J720" s="106">
        <v>43087</v>
      </c>
      <c r="K720" s="107" t="s">
        <v>526</v>
      </c>
      <c r="L720" s="107">
        <v>0.95833333333333337</v>
      </c>
      <c r="M720" s="107" t="s">
        <v>541</v>
      </c>
      <c r="N720" s="107" t="s">
        <v>538</v>
      </c>
      <c r="O720" s="107" t="s">
        <v>543</v>
      </c>
      <c r="P720" s="104" t="s">
        <v>9</v>
      </c>
      <c r="Q720" s="104" t="s">
        <v>38</v>
      </c>
      <c r="R720" s="104" t="s">
        <v>113</v>
      </c>
      <c r="S720" s="104">
        <v>2</v>
      </c>
      <c r="T720" s="104">
        <v>11</v>
      </c>
      <c r="U720" s="137">
        <v>52</v>
      </c>
      <c r="V720" s="138">
        <v>572</v>
      </c>
    </row>
    <row r="721" spans="1:22" x14ac:dyDescent="0.25">
      <c r="A721" s="108" t="s">
        <v>493</v>
      </c>
      <c r="B721" s="109" t="s">
        <v>22</v>
      </c>
      <c r="C721" s="109" t="s">
        <v>176</v>
      </c>
      <c r="D721" s="109" t="s">
        <v>80</v>
      </c>
      <c r="E721" s="109" t="s">
        <v>173</v>
      </c>
      <c r="F721" s="109">
        <v>2016</v>
      </c>
      <c r="G721" s="110">
        <v>43075.583333333336</v>
      </c>
      <c r="H721" s="110">
        <v>43088.75</v>
      </c>
      <c r="I721" s="111">
        <v>43075</v>
      </c>
      <c r="J721" s="111">
        <v>43088</v>
      </c>
      <c r="K721" s="112" t="s">
        <v>527</v>
      </c>
      <c r="L721" s="112">
        <v>0.75</v>
      </c>
      <c r="M721" s="112" t="s">
        <v>542</v>
      </c>
      <c r="N721" s="112" t="s">
        <v>538</v>
      </c>
      <c r="O721" s="112" t="s">
        <v>543</v>
      </c>
      <c r="P721" s="109" t="s">
        <v>9</v>
      </c>
      <c r="Q721" s="109" t="s">
        <v>21</v>
      </c>
      <c r="R721" s="109" t="s">
        <v>113</v>
      </c>
      <c r="S721" s="109">
        <v>4</v>
      </c>
      <c r="T721" s="109">
        <v>9</v>
      </c>
      <c r="U721" s="139">
        <v>32</v>
      </c>
      <c r="V721" s="140">
        <v>288</v>
      </c>
    </row>
    <row r="722" spans="1:22" x14ac:dyDescent="0.25">
      <c r="A722" s="103" t="s">
        <v>494</v>
      </c>
      <c r="B722" s="104" t="s">
        <v>29</v>
      </c>
      <c r="C722" s="104" t="s">
        <v>177</v>
      </c>
      <c r="D722" s="104" t="s">
        <v>80</v>
      </c>
      <c r="E722" s="104" t="s">
        <v>173</v>
      </c>
      <c r="F722" s="104">
        <v>2016</v>
      </c>
      <c r="G722" s="105">
        <v>43076.375</v>
      </c>
      <c r="H722" s="105">
        <v>43082.75</v>
      </c>
      <c r="I722" s="106">
        <v>43076</v>
      </c>
      <c r="J722" s="106">
        <v>43082</v>
      </c>
      <c r="K722" s="107" t="s">
        <v>525</v>
      </c>
      <c r="L722" s="107">
        <v>0.75</v>
      </c>
      <c r="M722" s="107" t="s">
        <v>540</v>
      </c>
      <c r="N722" s="107" t="s">
        <v>538</v>
      </c>
      <c r="O722" s="107" t="s">
        <v>543</v>
      </c>
      <c r="P722" s="104" t="s">
        <v>23</v>
      </c>
      <c r="Q722" s="104" t="s">
        <v>12</v>
      </c>
      <c r="R722" s="104" t="s">
        <v>113</v>
      </c>
      <c r="S722" s="104">
        <v>3</v>
      </c>
      <c r="T722" s="104">
        <v>9</v>
      </c>
      <c r="U722" s="137">
        <v>32</v>
      </c>
      <c r="V722" s="138">
        <v>288</v>
      </c>
    </row>
    <row r="723" spans="1:22" x14ac:dyDescent="0.25">
      <c r="A723" s="108" t="s">
        <v>495</v>
      </c>
      <c r="B723" s="109" t="s">
        <v>14</v>
      </c>
      <c r="C723" s="109" t="s">
        <v>175</v>
      </c>
      <c r="D723" s="109" t="s">
        <v>82</v>
      </c>
      <c r="E723" s="109" t="s">
        <v>172</v>
      </c>
      <c r="F723" s="109">
        <v>2016</v>
      </c>
      <c r="G723" s="110">
        <v>43077.333333333336</v>
      </c>
      <c r="H723" s="110">
        <v>43090.5</v>
      </c>
      <c r="I723" s="111">
        <v>43077</v>
      </c>
      <c r="J723" s="111">
        <v>43090</v>
      </c>
      <c r="K723" s="112" t="s">
        <v>522</v>
      </c>
      <c r="L723" s="112">
        <v>0.5</v>
      </c>
      <c r="M723" s="112" t="s">
        <v>539</v>
      </c>
      <c r="N723" s="112" t="s">
        <v>538</v>
      </c>
      <c r="O723" s="112" t="s">
        <v>543</v>
      </c>
      <c r="P723" s="109" t="s">
        <v>9</v>
      </c>
      <c r="Q723" s="109" t="s">
        <v>24</v>
      </c>
      <c r="R723" s="109" t="s">
        <v>113</v>
      </c>
      <c r="S723" s="109">
        <v>5</v>
      </c>
      <c r="T723" s="109">
        <v>8</v>
      </c>
      <c r="U723" s="139">
        <v>75</v>
      </c>
      <c r="V723" s="140">
        <v>600</v>
      </c>
    </row>
    <row r="724" spans="1:22" x14ac:dyDescent="0.25">
      <c r="A724" s="103" t="s">
        <v>496</v>
      </c>
      <c r="B724" s="104" t="s">
        <v>45</v>
      </c>
      <c r="C724" s="104" t="s">
        <v>177</v>
      </c>
      <c r="D724" s="104" t="s">
        <v>84</v>
      </c>
      <c r="E724" s="104" t="s">
        <v>172</v>
      </c>
      <c r="F724" s="104">
        <v>2016</v>
      </c>
      <c r="G724" s="105">
        <v>43078.375</v>
      </c>
      <c r="H724" s="105">
        <v>43083.75</v>
      </c>
      <c r="I724" s="106">
        <v>43078</v>
      </c>
      <c r="J724" s="106">
        <v>43083</v>
      </c>
      <c r="K724" s="107" t="s">
        <v>525</v>
      </c>
      <c r="L724" s="107">
        <v>0.75</v>
      </c>
      <c r="M724" s="107" t="s">
        <v>540</v>
      </c>
      <c r="N724" s="107" t="s">
        <v>538</v>
      </c>
      <c r="O724" s="107" t="s">
        <v>543</v>
      </c>
      <c r="P724" s="104" t="s">
        <v>23</v>
      </c>
      <c r="Q724" s="104" t="s">
        <v>38</v>
      </c>
      <c r="R724" s="104" t="s">
        <v>113</v>
      </c>
      <c r="S724" s="104">
        <v>2</v>
      </c>
      <c r="T724" s="104">
        <v>10</v>
      </c>
      <c r="U724" s="137">
        <v>52</v>
      </c>
      <c r="V724" s="138">
        <v>520</v>
      </c>
    </row>
    <row r="725" spans="1:22" x14ac:dyDescent="0.25">
      <c r="A725" s="108" t="s">
        <v>497</v>
      </c>
      <c r="B725" s="109" t="s">
        <v>19</v>
      </c>
      <c r="C725" s="109" t="s">
        <v>176</v>
      </c>
      <c r="D725" s="109" t="s">
        <v>84</v>
      </c>
      <c r="E725" s="109" t="s">
        <v>172</v>
      </c>
      <c r="F725" s="109">
        <v>2016</v>
      </c>
      <c r="G725" s="110">
        <v>43080.791666666664</v>
      </c>
      <c r="H725" s="110">
        <v>43091.958333333336</v>
      </c>
      <c r="I725" s="111">
        <v>43080</v>
      </c>
      <c r="J725" s="111">
        <v>43091</v>
      </c>
      <c r="K725" s="112" t="s">
        <v>526</v>
      </c>
      <c r="L725" s="112">
        <v>0.95833333333333337</v>
      </c>
      <c r="M725" s="112" t="s">
        <v>541</v>
      </c>
      <c r="N725" s="112" t="s">
        <v>538</v>
      </c>
      <c r="O725" s="112" t="s">
        <v>543</v>
      </c>
      <c r="P725" s="109" t="s">
        <v>23</v>
      </c>
      <c r="Q725" s="109" t="s">
        <v>190</v>
      </c>
      <c r="R725" s="109" t="s">
        <v>109</v>
      </c>
      <c r="S725" s="109">
        <v>5</v>
      </c>
      <c r="T725" s="109">
        <v>11</v>
      </c>
      <c r="U725" s="139">
        <v>52</v>
      </c>
      <c r="V725" s="140">
        <v>572</v>
      </c>
    </row>
    <row r="726" spans="1:22" x14ac:dyDescent="0.25">
      <c r="A726" s="103" t="s">
        <v>498</v>
      </c>
      <c r="B726" s="104" t="s">
        <v>7</v>
      </c>
      <c r="C726" s="104" t="s">
        <v>175</v>
      </c>
      <c r="D726" s="104" t="s">
        <v>80</v>
      </c>
      <c r="E726" s="104" t="s">
        <v>173</v>
      </c>
      <c r="F726" s="104">
        <v>2016</v>
      </c>
      <c r="G726" s="105">
        <v>43080.791666666664</v>
      </c>
      <c r="H726" s="105">
        <v>43091.958333333336</v>
      </c>
      <c r="I726" s="106">
        <v>43080</v>
      </c>
      <c r="J726" s="106">
        <v>43091</v>
      </c>
      <c r="K726" s="107" t="s">
        <v>526</v>
      </c>
      <c r="L726" s="107">
        <v>0.95833333333333337</v>
      </c>
      <c r="M726" s="107" t="s">
        <v>541</v>
      </c>
      <c r="N726" s="107" t="s">
        <v>538</v>
      </c>
      <c r="O726" s="107" t="s">
        <v>543</v>
      </c>
      <c r="P726" s="104" t="s">
        <v>23</v>
      </c>
      <c r="Q726" s="104" t="s">
        <v>28</v>
      </c>
      <c r="R726" s="104" t="s">
        <v>109</v>
      </c>
      <c r="S726" s="104">
        <v>5</v>
      </c>
      <c r="T726" s="104">
        <v>8</v>
      </c>
      <c r="U726" s="137">
        <v>32</v>
      </c>
      <c r="V726" s="138">
        <v>256</v>
      </c>
    </row>
    <row r="727" spans="1:22" x14ac:dyDescent="0.25">
      <c r="A727" s="108" t="s">
        <v>499</v>
      </c>
      <c r="B727" s="109" t="s">
        <v>22</v>
      </c>
      <c r="C727" s="109" t="s">
        <v>176</v>
      </c>
      <c r="D727" s="109" t="s">
        <v>77</v>
      </c>
      <c r="E727" s="109" t="s">
        <v>172</v>
      </c>
      <c r="F727" s="109">
        <v>2016</v>
      </c>
      <c r="G727" s="110">
        <v>43081.791666666664</v>
      </c>
      <c r="H727" s="110">
        <v>43094.958333333336</v>
      </c>
      <c r="I727" s="111">
        <v>43081</v>
      </c>
      <c r="J727" s="111">
        <v>43094</v>
      </c>
      <c r="K727" s="112" t="s">
        <v>526</v>
      </c>
      <c r="L727" s="112">
        <v>0.95833333333333337</v>
      </c>
      <c r="M727" s="112" t="s">
        <v>541</v>
      </c>
      <c r="N727" s="112" t="s">
        <v>538</v>
      </c>
      <c r="O727" s="112" t="s">
        <v>543</v>
      </c>
      <c r="P727" s="109" t="s">
        <v>9</v>
      </c>
      <c r="Q727" s="109" t="s">
        <v>28</v>
      </c>
      <c r="R727" s="109" t="s">
        <v>109</v>
      </c>
      <c r="S727" s="109">
        <v>4</v>
      </c>
      <c r="T727" s="109">
        <v>12</v>
      </c>
      <c r="U727" s="139">
        <v>35</v>
      </c>
      <c r="V727" s="140">
        <v>420</v>
      </c>
    </row>
    <row r="728" spans="1:22" x14ac:dyDescent="0.25">
      <c r="A728" s="103" t="s">
        <v>500</v>
      </c>
      <c r="B728" s="104" t="s">
        <v>14</v>
      </c>
      <c r="C728" s="104" t="s">
        <v>175</v>
      </c>
      <c r="D728" s="104" t="s">
        <v>81</v>
      </c>
      <c r="E728" s="104" t="s">
        <v>172</v>
      </c>
      <c r="F728" s="104">
        <v>2016</v>
      </c>
      <c r="G728" s="105">
        <v>43082.583333333336</v>
      </c>
      <c r="H728" s="105">
        <v>43095.75</v>
      </c>
      <c r="I728" s="106">
        <v>43082</v>
      </c>
      <c r="J728" s="106">
        <v>43095</v>
      </c>
      <c r="K728" s="107" t="s">
        <v>527</v>
      </c>
      <c r="L728" s="107">
        <v>0.75</v>
      </c>
      <c r="M728" s="107" t="s">
        <v>542</v>
      </c>
      <c r="N728" s="107" t="s">
        <v>538</v>
      </c>
      <c r="O728" s="107" t="s">
        <v>543</v>
      </c>
      <c r="P728" s="104" t="s">
        <v>23</v>
      </c>
      <c r="Q728" s="104" t="s">
        <v>22</v>
      </c>
      <c r="R728" s="104" t="s">
        <v>109</v>
      </c>
      <c r="S728" s="104">
        <v>4</v>
      </c>
      <c r="T728" s="104">
        <v>10</v>
      </c>
      <c r="U728" s="137">
        <v>43</v>
      </c>
      <c r="V728" s="138">
        <v>430</v>
      </c>
    </row>
    <row r="729" spans="1:22" x14ac:dyDescent="0.25">
      <c r="A729" s="108" t="s">
        <v>501</v>
      </c>
      <c r="B729" s="109" t="s">
        <v>17</v>
      </c>
      <c r="C729" s="109" t="s">
        <v>176</v>
      </c>
      <c r="D729" s="109" t="s">
        <v>78</v>
      </c>
      <c r="E729" s="109" t="s">
        <v>172</v>
      </c>
      <c r="F729" s="109">
        <v>2016</v>
      </c>
      <c r="G729" s="110">
        <v>43083.375</v>
      </c>
      <c r="H729" s="110">
        <v>43089.75</v>
      </c>
      <c r="I729" s="111">
        <v>43083</v>
      </c>
      <c r="J729" s="111">
        <v>43089</v>
      </c>
      <c r="K729" s="112" t="s">
        <v>525</v>
      </c>
      <c r="L729" s="112">
        <v>0.75</v>
      </c>
      <c r="M729" s="112" t="s">
        <v>540</v>
      </c>
      <c r="N729" s="112" t="s">
        <v>538</v>
      </c>
      <c r="O729" s="112" t="s">
        <v>543</v>
      </c>
      <c r="P729" s="109" t="s">
        <v>9</v>
      </c>
      <c r="Q729" s="109" t="s">
        <v>18</v>
      </c>
      <c r="R729" s="109" t="s">
        <v>113</v>
      </c>
      <c r="S729" s="109">
        <v>5</v>
      </c>
      <c r="T729" s="109">
        <v>10</v>
      </c>
      <c r="U729" s="139">
        <v>62</v>
      </c>
      <c r="V729" s="140">
        <v>620</v>
      </c>
    </row>
    <row r="730" spans="1:22" x14ac:dyDescent="0.25">
      <c r="A730" s="103" t="s">
        <v>502</v>
      </c>
      <c r="B730" s="104" t="s">
        <v>39</v>
      </c>
      <c r="C730" s="104" t="s">
        <v>177</v>
      </c>
      <c r="D730" s="104" t="s">
        <v>78</v>
      </c>
      <c r="E730" s="104" t="s">
        <v>172</v>
      </c>
      <c r="F730" s="104">
        <v>2016</v>
      </c>
      <c r="G730" s="105">
        <v>43084.333333333336</v>
      </c>
      <c r="H730" s="105">
        <v>43097.5</v>
      </c>
      <c r="I730" s="106">
        <v>43084</v>
      </c>
      <c r="J730" s="106">
        <v>43097</v>
      </c>
      <c r="K730" s="107" t="s">
        <v>522</v>
      </c>
      <c r="L730" s="107">
        <v>0.5</v>
      </c>
      <c r="M730" s="107" t="s">
        <v>539</v>
      </c>
      <c r="N730" s="107" t="s">
        <v>538</v>
      </c>
      <c r="O730" s="107" t="s">
        <v>543</v>
      </c>
      <c r="P730" s="104" t="s">
        <v>23</v>
      </c>
      <c r="Q730" s="104" t="s">
        <v>18</v>
      </c>
      <c r="R730" s="104" t="s">
        <v>113</v>
      </c>
      <c r="S730" s="104">
        <v>2</v>
      </c>
      <c r="T730" s="104">
        <v>10</v>
      </c>
      <c r="U730" s="137">
        <v>62</v>
      </c>
      <c r="V730" s="138">
        <v>620</v>
      </c>
    </row>
    <row r="731" spans="1:22" x14ac:dyDescent="0.25">
      <c r="A731" s="108" t="s">
        <v>503</v>
      </c>
      <c r="B731" s="109" t="s">
        <v>19</v>
      </c>
      <c r="C731" s="109" t="s">
        <v>176</v>
      </c>
      <c r="D731" s="109" t="s">
        <v>78</v>
      </c>
      <c r="E731" s="109" t="s">
        <v>172</v>
      </c>
      <c r="F731" s="109">
        <v>2016</v>
      </c>
      <c r="G731" s="110">
        <v>43085.375</v>
      </c>
      <c r="H731" s="110">
        <v>43090.75</v>
      </c>
      <c r="I731" s="111">
        <v>43085</v>
      </c>
      <c r="J731" s="111">
        <v>43090</v>
      </c>
      <c r="K731" s="112" t="s">
        <v>525</v>
      </c>
      <c r="L731" s="112">
        <v>0.75</v>
      </c>
      <c r="M731" s="112" t="s">
        <v>540</v>
      </c>
      <c r="N731" s="112" t="s">
        <v>538</v>
      </c>
      <c r="O731" s="112" t="s">
        <v>543</v>
      </c>
      <c r="P731" s="109" t="s">
        <v>9</v>
      </c>
      <c r="Q731" s="109" t="s">
        <v>38</v>
      </c>
      <c r="R731" s="109" t="s">
        <v>113</v>
      </c>
      <c r="S731" s="109">
        <v>3</v>
      </c>
      <c r="T731" s="109">
        <v>11</v>
      </c>
      <c r="U731" s="139">
        <v>62</v>
      </c>
      <c r="V731" s="140">
        <v>682</v>
      </c>
    </row>
    <row r="732" spans="1:22" x14ac:dyDescent="0.25">
      <c r="A732" s="103" t="s">
        <v>504</v>
      </c>
      <c r="B732" s="104" t="s">
        <v>19</v>
      </c>
      <c r="C732" s="104" t="s">
        <v>176</v>
      </c>
      <c r="D732" s="104" t="s">
        <v>83</v>
      </c>
      <c r="E732" s="104" t="s">
        <v>174</v>
      </c>
      <c r="F732" s="104">
        <v>2016</v>
      </c>
      <c r="G732" s="105">
        <v>43087.791666666664</v>
      </c>
      <c r="H732" s="105">
        <v>43098.958333333336</v>
      </c>
      <c r="I732" s="106">
        <v>43087</v>
      </c>
      <c r="J732" s="106">
        <v>43098</v>
      </c>
      <c r="K732" s="107" t="s">
        <v>526</v>
      </c>
      <c r="L732" s="107">
        <v>0.95833333333333337</v>
      </c>
      <c r="M732" s="107" t="s">
        <v>541</v>
      </c>
      <c r="N732" s="107" t="s">
        <v>538</v>
      </c>
      <c r="O732" s="107" t="s">
        <v>543</v>
      </c>
      <c r="P732" s="104" t="s">
        <v>23</v>
      </c>
      <c r="Q732" s="104" t="s">
        <v>16</v>
      </c>
      <c r="R732" s="104" t="s">
        <v>109</v>
      </c>
      <c r="S732" s="104">
        <v>5</v>
      </c>
      <c r="T732" s="104">
        <v>10</v>
      </c>
      <c r="U732" s="137">
        <v>63</v>
      </c>
      <c r="V732" s="138">
        <v>630</v>
      </c>
    </row>
    <row r="733" spans="1:22" x14ac:dyDescent="0.25">
      <c r="A733" s="108" t="s">
        <v>505</v>
      </c>
      <c r="B733" s="109" t="s">
        <v>22</v>
      </c>
      <c r="C733" s="109" t="s">
        <v>176</v>
      </c>
      <c r="D733" s="109" t="s">
        <v>77</v>
      </c>
      <c r="E733" s="109" t="s">
        <v>172</v>
      </c>
      <c r="F733" s="109">
        <v>2016</v>
      </c>
      <c r="G733" s="110">
        <v>43087.791666666664</v>
      </c>
      <c r="H733" s="110">
        <v>43098.958333333336</v>
      </c>
      <c r="I733" s="111">
        <v>43087</v>
      </c>
      <c r="J733" s="111">
        <v>43098</v>
      </c>
      <c r="K733" s="112" t="s">
        <v>526</v>
      </c>
      <c r="L733" s="112">
        <v>0.95833333333333337</v>
      </c>
      <c r="M733" s="112" t="s">
        <v>541</v>
      </c>
      <c r="N733" s="112" t="s">
        <v>538</v>
      </c>
      <c r="O733" s="112" t="s">
        <v>543</v>
      </c>
      <c r="P733" s="109" t="s">
        <v>9</v>
      </c>
      <c r="Q733" s="109" t="s">
        <v>190</v>
      </c>
      <c r="R733" s="109" t="s">
        <v>109</v>
      </c>
      <c r="S733" s="109">
        <v>5</v>
      </c>
      <c r="T733" s="109">
        <v>9</v>
      </c>
      <c r="U733" s="139">
        <v>35</v>
      </c>
      <c r="V733" s="140">
        <v>315</v>
      </c>
    </row>
    <row r="734" spans="1:22" x14ac:dyDescent="0.25">
      <c r="A734" s="103" t="s">
        <v>506</v>
      </c>
      <c r="B734" s="104" t="s">
        <v>11</v>
      </c>
      <c r="C734" s="104" t="s">
        <v>175</v>
      </c>
      <c r="D734" s="104" t="s">
        <v>80</v>
      </c>
      <c r="E734" s="104" t="s">
        <v>173</v>
      </c>
      <c r="F734" s="104">
        <v>2016</v>
      </c>
      <c r="G734" s="105">
        <v>43088.791666666664</v>
      </c>
      <c r="H734" s="105">
        <v>43101.958333333336</v>
      </c>
      <c r="I734" s="106">
        <v>43088</v>
      </c>
      <c r="J734" s="106">
        <v>43101</v>
      </c>
      <c r="K734" s="107" t="s">
        <v>526</v>
      </c>
      <c r="L734" s="107">
        <v>0.95833333333333337</v>
      </c>
      <c r="M734" s="107" t="s">
        <v>541</v>
      </c>
      <c r="N734" s="107" t="s">
        <v>538</v>
      </c>
      <c r="O734" s="107" t="s">
        <v>543</v>
      </c>
      <c r="P734" s="104" t="s">
        <v>23</v>
      </c>
      <c r="Q734" s="104" t="s">
        <v>21</v>
      </c>
      <c r="R734" s="104" t="s">
        <v>113</v>
      </c>
      <c r="S734" s="104">
        <v>3</v>
      </c>
      <c r="T734" s="104">
        <v>9</v>
      </c>
      <c r="U734" s="137">
        <v>32</v>
      </c>
      <c r="V734" s="138">
        <v>288</v>
      </c>
    </row>
    <row r="735" spans="1:22" x14ac:dyDescent="0.25">
      <c r="A735" s="108" t="s">
        <v>507</v>
      </c>
      <c r="B735" s="109" t="s">
        <v>45</v>
      </c>
      <c r="C735" s="109" t="s">
        <v>177</v>
      </c>
      <c r="D735" s="109" t="s">
        <v>78</v>
      </c>
      <c r="E735" s="109" t="s">
        <v>172</v>
      </c>
      <c r="F735" s="109">
        <v>2016</v>
      </c>
      <c r="G735" s="110">
        <v>43089.583333333336</v>
      </c>
      <c r="H735" s="110">
        <v>43102.75</v>
      </c>
      <c r="I735" s="111">
        <v>43089</v>
      </c>
      <c r="J735" s="111">
        <v>43102</v>
      </c>
      <c r="K735" s="112" t="s">
        <v>527</v>
      </c>
      <c r="L735" s="112">
        <v>0.75</v>
      </c>
      <c r="M735" s="112" t="s">
        <v>542</v>
      </c>
      <c r="N735" s="112" t="s">
        <v>538</v>
      </c>
      <c r="O735" s="112" t="s">
        <v>543</v>
      </c>
      <c r="P735" s="109" t="s">
        <v>9</v>
      </c>
      <c r="Q735" s="109" t="s">
        <v>33</v>
      </c>
      <c r="R735" s="109" t="s">
        <v>113</v>
      </c>
      <c r="S735" s="109">
        <v>3</v>
      </c>
      <c r="T735" s="109">
        <v>9</v>
      </c>
      <c r="U735" s="139">
        <v>62</v>
      </c>
      <c r="V735" s="140">
        <v>558</v>
      </c>
    </row>
    <row r="736" spans="1:22" x14ac:dyDescent="0.25">
      <c r="A736" s="103" t="s">
        <v>508</v>
      </c>
      <c r="B736" s="104" t="s">
        <v>7</v>
      </c>
      <c r="C736" s="104" t="s">
        <v>175</v>
      </c>
      <c r="D736" s="104" t="s">
        <v>82</v>
      </c>
      <c r="E736" s="104" t="s">
        <v>172</v>
      </c>
      <c r="F736" s="104">
        <v>2016</v>
      </c>
      <c r="G736" s="105">
        <v>43090.375</v>
      </c>
      <c r="H736" s="105">
        <v>43096.75</v>
      </c>
      <c r="I736" s="106">
        <v>43090</v>
      </c>
      <c r="J736" s="106">
        <v>43096</v>
      </c>
      <c r="K736" s="107" t="s">
        <v>525</v>
      </c>
      <c r="L736" s="107">
        <v>0.75</v>
      </c>
      <c r="M736" s="107" t="s">
        <v>540</v>
      </c>
      <c r="N736" s="107" t="s">
        <v>538</v>
      </c>
      <c r="O736" s="107" t="s">
        <v>543</v>
      </c>
      <c r="P736" s="104" t="s">
        <v>23</v>
      </c>
      <c r="Q736" s="104" t="s">
        <v>21</v>
      </c>
      <c r="R736" s="104" t="s">
        <v>113</v>
      </c>
      <c r="S736" s="104">
        <v>5</v>
      </c>
      <c r="T736" s="104">
        <v>10</v>
      </c>
      <c r="U736" s="137">
        <v>75</v>
      </c>
      <c r="V736" s="138">
        <v>750</v>
      </c>
    </row>
    <row r="737" spans="1:22" x14ac:dyDescent="0.25">
      <c r="A737" s="108" t="s">
        <v>509</v>
      </c>
      <c r="B737" s="109" t="s">
        <v>22</v>
      </c>
      <c r="C737" s="109" t="s">
        <v>176</v>
      </c>
      <c r="D737" s="109" t="s">
        <v>89</v>
      </c>
      <c r="E737" s="109" t="s">
        <v>169</v>
      </c>
      <c r="F737" s="109">
        <v>2016</v>
      </c>
      <c r="G737" s="110">
        <v>43091.333333333336</v>
      </c>
      <c r="H737" s="110">
        <v>43104.5</v>
      </c>
      <c r="I737" s="111">
        <v>43091</v>
      </c>
      <c r="J737" s="111">
        <v>43104</v>
      </c>
      <c r="K737" s="112" t="s">
        <v>522</v>
      </c>
      <c r="L737" s="112">
        <v>0.5</v>
      </c>
      <c r="M737" s="112" t="s">
        <v>539</v>
      </c>
      <c r="N737" s="112" t="s">
        <v>538</v>
      </c>
      <c r="O737" s="112" t="s">
        <v>543</v>
      </c>
      <c r="P737" s="109" t="s">
        <v>9</v>
      </c>
      <c r="Q737" s="109" t="s">
        <v>28</v>
      </c>
      <c r="R737" s="109" t="s">
        <v>109</v>
      </c>
      <c r="S737" s="109">
        <v>4</v>
      </c>
      <c r="T737" s="109">
        <v>11</v>
      </c>
      <c r="U737" s="139">
        <v>62</v>
      </c>
      <c r="V737" s="140">
        <v>682</v>
      </c>
    </row>
    <row r="738" spans="1:22" x14ac:dyDescent="0.25">
      <c r="A738" s="103" t="s">
        <v>510</v>
      </c>
      <c r="B738" s="104" t="s">
        <v>19</v>
      </c>
      <c r="C738" s="104" t="s">
        <v>176</v>
      </c>
      <c r="D738" s="104" t="s">
        <v>80</v>
      </c>
      <c r="E738" s="104" t="s">
        <v>173</v>
      </c>
      <c r="F738" s="104">
        <v>2016</v>
      </c>
      <c r="G738" s="105">
        <v>43092.375</v>
      </c>
      <c r="H738" s="105">
        <v>43097.75</v>
      </c>
      <c r="I738" s="106">
        <v>43092</v>
      </c>
      <c r="J738" s="106">
        <v>43097</v>
      </c>
      <c r="K738" s="107" t="s">
        <v>525</v>
      </c>
      <c r="L738" s="107">
        <v>0.75</v>
      </c>
      <c r="M738" s="107" t="s">
        <v>540</v>
      </c>
      <c r="N738" s="107" t="s">
        <v>538</v>
      </c>
      <c r="O738" s="107" t="s">
        <v>543</v>
      </c>
      <c r="P738" s="104" t="s">
        <v>23</v>
      </c>
      <c r="Q738" s="104" t="s">
        <v>31</v>
      </c>
      <c r="R738" s="104" t="s">
        <v>113</v>
      </c>
      <c r="S738" s="104">
        <v>4</v>
      </c>
      <c r="T738" s="104">
        <v>12</v>
      </c>
      <c r="U738" s="137">
        <v>32</v>
      </c>
      <c r="V738" s="138">
        <v>384</v>
      </c>
    </row>
    <row r="739" spans="1:22" x14ac:dyDescent="0.25">
      <c r="A739" s="108" t="s">
        <v>511</v>
      </c>
      <c r="B739" s="109" t="s">
        <v>17</v>
      </c>
      <c r="C739" s="109" t="s">
        <v>176</v>
      </c>
      <c r="D739" s="109" t="s">
        <v>78</v>
      </c>
      <c r="E739" s="109" t="s">
        <v>172</v>
      </c>
      <c r="F739" s="109">
        <v>2016</v>
      </c>
      <c r="G739" s="110">
        <v>43094.791666666664</v>
      </c>
      <c r="H739" s="110">
        <v>43105.958333333336</v>
      </c>
      <c r="I739" s="111">
        <v>43094</v>
      </c>
      <c r="J739" s="111">
        <v>43105</v>
      </c>
      <c r="K739" s="112" t="s">
        <v>526</v>
      </c>
      <c r="L739" s="112">
        <v>0.95833333333333337</v>
      </c>
      <c r="M739" s="112" t="s">
        <v>541</v>
      </c>
      <c r="N739" s="112" t="s">
        <v>538</v>
      </c>
      <c r="O739" s="112" t="s">
        <v>543</v>
      </c>
      <c r="P739" s="109" t="s">
        <v>23</v>
      </c>
      <c r="Q739" s="109" t="s">
        <v>16</v>
      </c>
      <c r="R739" s="109" t="s">
        <v>109</v>
      </c>
      <c r="S739" s="109">
        <v>2</v>
      </c>
      <c r="T739" s="109">
        <v>9</v>
      </c>
      <c r="U739" s="139">
        <v>62</v>
      </c>
      <c r="V739" s="140">
        <v>558</v>
      </c>
    </row>
    <row r="740" spans="1:22" x14ac:dyDescent="0.25">
      <c r="A740" s="103" t="s">
        <v>512</v>
      </c>
      <c r="B740" s="104" t="s">
        <v>22</v>
      </c>
      <c r="C740" s="104" t="s">
        <v>176</v>
      </c>
      <c r="D740" s="104" t="s">
        <v>85</v>
      </c>
      <c r="E740" s="104" t="s">
        <v>170</v>
      </c>
      <c r="F740" s="104">
        <v>2016</v>
      </c>
      <c r="G740" s="105">
        <v>43094.791666666664</v>
      </c>
      <c r="H740" s="105">
        <v>43105.958333333336</v>
      </c>
      <c r="I740" s="106">
        <v>43094</v>
      </c>
      <c r="J740" s="106">
        <v>43105</v>
      </c>
      <c r="K740" s="107" t="s">
        <v>526</v>
      </c>
      <c r="L740" s="107">
        <v>0.95833333333333337</v>
      </c>
      <c r="M740" s="107" t="s">
        <v>541</v>
      </c>
      <c r="N740" s="107" t="s">
        <v>538</v>
      </c>
      <c r="O740" s="107" t="s">
        <v>543</v>
      </c>
      <c r="P740" s="104" t="s">
        <v>23</v>
      </c>
      <c r="Q740" s="104" t="s">
        <v>28</v>
      </c>
      <c r="R740" s="104" t="s">
        <v>109</v>
      </c>
      <c r="S740" s="104">
        <v>3</v>
      </c>
      <c r="T740" s="104">
        <v>10</v>
      </c>
      <c r="U740" s="137">
        <v>48</v>
      </c>
      <c r="V740" s="138">
        <v>480</v>
      </c>
    </row>
    <row r="741" spans="1:22" x14ac:dyDescent="0.25">
      <c r="A741" s="108" t="s">
        <v>513</v>
      </c>
      <c r="B741" s="109" t="s">
        <v>22</v>
      </c>
      <c r="C741" s="109" t="s">
        <v>176</v>
      </c>
      <c r="D741" s="109" t="s">
        <v>84</v>
      </c>
      <c r="E741" s="109" t="s">
        <v>172</v>
      </c>
      <c r="F741" s="109">
        <v>2016</v>
      </c>
      <c r="G741" s="110">
        <v>43095.791666666664</v>
      </c>
      <c r="H741" s="110">
        <v>43108.958333333336</v>
      </c>
      <c r="I741" s="111">
        <v>43095</v>
      </c>
      <c r="J741" s="111">
        <v>43108</v>
      </c>
      <c r="K741" s="112" t="s">
        <v>526</v>
      </c>
      <c r="L741" s="112">
        <v>0.95833333333333337</v>
      </c>
      <c r="M741" s="112" t="s">
        <v>541</v>
      </c>
      <c r="N741" s="112" t="s">
        <v>538</v>
      </c>
      <c r="O741" s="112" t="s">
        <v>543</v>
      </c>
      <c r="P741" s="109" t="s">
        <v>23</v>
      </c>
      <c r="Q741" s="109" t="s">
        <v>38</v>
      </c>
      <c r="R741" s="109" t="s">
        <v>113</v>
      </c>
      <c r="S741" s="109">
        <v>3</v>
      </c>
      <c r="T741" s="109">
        <v>11</v>
      </c>
      <c r="U741" s="139">
        <v>52</v>
      </c>
      <c r="V741" s="140">
        <v>572</v>
      </c>
    </row>
    <row r="742" spans="1:22" x14ac:dyDescent="0.25">
      <c r="A742" s="103" t="s">
        <v>514</v>
      </c>
      <c r="B742" s="104" t="s">
        <v>22</v>
      </c>
      <c r="C742" s="104" t="s">
        <v>176</v>
      </c>
      <c r="D742" s="104" t="s">
        <v>86</v>
      </c>
      <c r="E742" s="104" t="s">
        <v>169</v>
      </c>
      <c r="F742" s="104">
        <v>2016</v>
      </c>
      <c r="G742" s="105">
        <v>43096.583333333336</v>
      </c>
      <c r="H742" s="105">
        <v>43109.75</v>
      </c>
      <c r="I742" s="106">
        <v>43096</v>
      </c>
      <c r="J742" s="106">
        <v>43109</v>
      </c>
      <c r="K742" s="107" t="s">
        <v>527</v>
      </c>
      <c r="L742" s="107">
        <v>0.75</v>
      </c>
      <c r="M742" s="107" t="s">
        <v>542</v>
      </c>
      <c r="N742" s="107" t="s">
        <v>538</v>
      </c>
      <c r="O742" s="107" t="s">
        <v>543</v>
      </c>
      <c r="P742" s="104" t="s">
        <v>9</v>
      </c>
      <c r="Q742" s="104" t="s">
        <v>16</v>
      </c>
      <c r="R742" s="104" t="s">
        <v>109</v>
      </c>
      <c r="S742" s="104">
        <v>4</v>
      </c>
      <c r="T742" s="104">
        <v>12</v>
      </c>
      <c r="U742" s="137">
        <v>48</v>
      </c>
      <c r="V742" s="138">
        <v>576</v>
      </c>
    </row>
    <row r="743" spans="1:22" x14ac:dyDescent="0.25">
      <c r="A743" s="108" t="s">
        <v>515</v>
      </c>
      <c r="B743" s="109" t="s">
        <v>29</v>
      </c>
      <c r="C743" s="109" t="s">
        <v>177</v>
      </c>
      <c r="D743" s="109" t="s">
        <v>76</v>
      </c>
      <c r="E743" s="109" t="s">
        <v>174</v>
      </c>
      <c r="F743" s="109">
        <v>2016</v>
      </c>
      <c r="G743" s="110">
        <v>43097.375</v>
      </c>
      <c r="H743" s="110">
        <v>43103.75</v>
      </c>
      <c r="I743" s="111">
        <v>43097</v>
      </c>
      <c r="J743" s="111">
        <v>43103</v>
      </c>
      <c r="K743" s="112" t="s">
        <v>525</v>
      </c>
      <c r="L743" s="112">
        <v>0.75</v>
      </c>
      <c r="M743" s="112" t="s">
        <v>540</v>
      </c>
      <c r="N743" s="112" t="s">
        <v>538</v>
      </c>
      <c r="O743" s="112" t="s">
        <v>543</v>
      </c>
      <c r="P743" s="109" t="s">
        <v>9</v>
      </c>
      <c r="Q743" s="109" t="s">
        <v>12</v>
      </c>
      <c r="R743" s="109" t="s">
        <v>113</v>
      </c>
      <c r="S743" s="109">
        <v>4</v>
      </c>
      <c r="T743" s="109">
        <v>12</v>
      </c>
      <c r="U743" s="139">
        <v>53</v>
      </c>
      <c r="V743" s="140">
        <v>636</v>
      </c>
    </row>
    <row r="744" spans="1:22" x14ac:dyDescent="0.25">
      <c r="A744" s="103" t="s">
        <v>516</v>
      </c>
      <c r="B744" s="104" t="s">
        <v>14</v>
      </c>
      <c r="C744" s="104" t="s">
        <v>175</v>
      </c>
      <c r="D744" s="104" t="s">
        <v>76</v>
      </c>
      <c r="E744" s="104" t="s">
        <v>174</v>
      </c>
      <c r="F744" s="104">
        <v>2016</v>
      </c>
      <c r="G744" s="105">
        <v>43098.333333333336</v>
      </c>
      <c r="H744" s="105">
        <v>43112.5</v>
      </c>
      <c r="I744" s="106">
        <v>43098</v>
      </c>
      <c r="J744" s="106">
        <v>43112</v>
      </c>
      <c r="K744" s="107" t="s">
        <v>522</v>
      </c>
      <c r="L744" s="107">
        <v>0.5</v>
      </c>
      <c r="M744" s="107" t="s">
        <v>539</v>
      </c>
      <c r="N744" s="107" t="s">
        <v>538</v>
      </c>
      <c r="O744" s="107" t="s">
        <v>543</v>
      </c>
      <c r="P744" s="104" t="s">
        <v>23</v>
      </c>
      <c r="Q744" s="104" t="s">
        <v>190</v>
      </c>
      <c r="R744" s="104" t="s">
        <v>109</v>
      </c>
      <c r="S744" s="104">
        <v>5</v>
      </c>
      <c r="T744" s="104">
        <v>9</v>
      </c>
      <c r="U744" s="137">
        <v>53</v>
      </c>
      <c r="V744" s="138">
        <v>477</v>
      </c>
    </row>
    <row r="745" spans="1:22" x14ac:dyDescent="0.25">
      <c r="A745" s="108" t="s">
        <v>553</v>
      </c>
      <c r="B745" s="109" t="s">
        <v>17</v>
      </c>
      <c r="C745" s="109" t="s">
        <v>176</v>
      </c>
      <c r="D745" s="109" t="s">
        <v>81</v>
      </c>
      <c r="E745" s="109" t="s">
        <v>172</v>
      </c>
      <c r="F745" s="109">
        <v>2016</v>
      </c>
      <c r="G745" s="110">
        <v>43102.583333333336</v>
      </c>
      <c r="H745" s="110">
        <v>43115.75</v>
      </c>
      <c r="I745" s="111">
        <v>43102</v>
      </c>
      <c r="J745" s="111">
        <v>43115</v>
      </c>
      <c r="K745" s="112" t="s">
        <v>527</v>
      </c>
      <c r="L745" s="112">
        <v>0.75</v>
      </c>
      <c r="M745" s="112" t="s">
        <v>542</v>
      </c>
      <c r="N745" s="112" t="s">
        <v>523</v>
      </c>
      <c r="O745" s="112" t="s">
        <v>669</v>
      </c>
      <c r="P745" s="109" t="s">
        <v>23</v>
      </c>
      <c r="Q745" s="109" t="s">
        <v>24</v>
      </c>
      <c r="R745" s="109" t="s">
        <v>113</v>
      </c>
      <c r="S745" s="109">
        <v>5</v>
      </c>
      <c r="T745" s="109">
        <v>12</v>
      </c>
      <c r="U745" s="139">
        <v>42</v>
      </c>
      <c r="V745" s="140">
        <v>504</v>
      </c>
    </row>
    <row r="746" spans="1:22" x14ac:dyDescent="0.25">
      <c r="A746" s="103" t="s">
        <v>554</v>
      </c>
      <c r="B746" s="104" t="s">
        <v>17</v>
      </c>
      <c r="C746" s="104" t="s">
        <v>176</v>
      </c>
      <c r="D746" s="104" t="s">
        <v>86</v>
      </c>
      <c r="E746" s="104" t="s">
        <v>169</v>
      </c>
      <c r="F746" s="104">
        <v>2016</v>
      </c>
      <c r="G746" s="105">
        <v>43102.583333333336</v>
      </c>
      <c r="H746" s="105">
        <v>43115.75</v>
      </c>
      <c r="I746" s="106">
        <v>43102</v>
      </c>
      <c r="J746" s="106">
        <v>43115</v>
      </c>
      <c r="K746" s="107" t="s">
        <v>527</v>
      </c>
      <c r="L746" s="107">
        <v>0.75</v>
      </c>
      <c r="M746" s="107" t="s">
        <v>542</v>
      </c>
      <c r="N746" s="107" t="s">
        <v>523</v>
      </c>
      <c r="O746" s="107" t="s">
        <v>669</v>
      </c>
      <c r="P746" s="104" t="s">
        <v>9</v>
      </c>
      <c r="Q746" s="104" t="s">
        <v>28</v>
      </c>
      <c r="R746" s="104" t="s">
        <v>109</v>
      </c>
      <c r="S746" s="104">
        <v>2</v>
      </c>
      <c r="T746" s="104">
        <v>8</v>
      </c>
      <c r="U746" s="137">
        <v>47</v>
      </c>
      <c r="V746" s="138">
        <v>376</v>
      </c>
    </row>
    <row r="747" spans="1:22" x14ac:dyDescent="0.25">
      <c r="A747" s="108" t="s">
        <v>555</v>
      </c>
      <c r="B747" s="109" t="s">
        <v>29</v>
      </c>
      <c r="C747" s="109" t="s">
        <v>177</v>
      </c>
      <c r="D747" s="109" t="s">
        <v>79</v>
      </c>
      <c r="E747" s="109" t="s">
        <v>168</v>
      </c>
      <c r="F747" s="109">
        <v>2016</v>
      </c>
      <c r="G747" s="110">
        <v>43103.375</v>
      </c>
      <c r="H747" s="110">
        <v>43109.75</v>
      </c>
      <c r="I747" s="111">
        <v>43103</v>
      </c>
      <c r="J747" s="111">
        <v>43109</v>
      </c>
      <c r="K747" s="112" t="s">
        <v>525</v>
      </c>
      <c r="L747" s="112">
        <v>0.75</v>
      </c>
      <c r="M747" s="112" t="s">
        <v>540</v>
      </c>
      <c r="N747" s="112" t="s">
        <v>523</v>
      </c>
      <c r="O747" s="112" t="s">
        <v>669</v>
      </c>
      <c r="P747" s="109" t="s">
        <v>23</v>
      </c>
      <c r="Q747" s="109" t="s">
        <v>190</v>
      </c>
      <c r="R747" s="109" t="s">
        <v>109</v>
      </c>
      <c r="S747" s="109">
        <v>5</v>
      </c>
      <c r="T747" s="109">
        <v>8</v>
      </c>
      <c r="U747" s="139">
        <v>47</v>
      </c>
      <c r="V747" s="140">
        <v>376</v>
      </c>
    </row>
    <row r="748" spans="1:22" x14ac:dyDescent="0.25">
      <c r="A748" s="103" t="s">
        <v>556</v>
      </c>
      <c r="B748" s="104" t="s">
        <v>7</v>
      </c>
      <c r="C748" s="104" t="s">
        <v>175</v>
      </c>
      <c r="D748" s="104" t="s">
        <v>79</v>
      </c>
      <c r="E748" s="104" t="s">
        <v>168</v>
      </c>
      <c r="F748" s="104">
        <v>2016</v>
      </c>
      <c r="G748" s="105">
        <v>43107.791666666664</v>
      </c>
      <c r="H748" s="105">
        <v>43118.958333333336</v>
      </c>
      <c r="I748" s="106">
        <v>43107</v>
      </c>
      <c r="J748" s="106">
        <v>43118</v>
      </c>
      <c r="K748" s="107" t="s">
        <v>526</v>
      </c>
      <c r="L748" s="107">
        <v>0.95833333333333337</v>
      </c>
      <c r="M748" s="107" t="s">
        <v>541</v>
      </c>
      <c r="N748" s="107" t="s">
        <v>523</v>
      </c>
      <c r="O748" s="107" t="s">
        <v>669</v>
      </c>
      <c r="P748" s="104" t="s">
        <v>23</v>
      </c>
      <c r="Q748" s="104" t="s">
        <v>41</v>
      </c>
      <c r="R748" s="104" t="s">
        <v>113</v>
      </c>
      <c r="S748" s="104">
        <v>5</v>
      </c>
      <c r="T748" s="104">
        <v>12</v>
      </c>
      <c r="U748" s="137">
        <v>47</v>
      </c>
      <c r="V748" s="138">
        <v>564</v>
      </c>
    </row>
    <row r="749" spans="1:22" x14ac:dyDescent="0.25">
      <c r="A749" s="108" t="s">
        <v>557</v>
      </c>
      <c r="B749" s="109" t="s">
        <v>19</v>
      </c>
      <c r="C749" s="109" t="s">
        <v>176</v>
      </c>
      <c r="D749" s="109" t="s">
        <v>83</v>
      </c>
      <c r="E749" s="109" t="s">
        <v>174</v>
      </c>
      <c r="F749" s="109">
        <v>2016</v>
      </c>
      <c r="G749" s="110">
        <v>43107.791666666664</v>
      </c>
      <c r="H749" s="110">
        <v>43118.958333333336</v>
      </c>
      <c r="I749" s="111">
        <v>43107</v>
      </c>
      <c r="J749" s="111">
        <v>43118</v>
      </c>
      <c r="K749" s="112" t="s">
        <v>526</v>
      </c>
      <c r="L749" s="112">
        <v>0.95833333333333337</v>
      </c>
      <c r="M749" s="112" t="s">
        <v>541</v>
      </c>
      <c r="N749" s="112" t="s">
        <v>523</v>
      </c>
      <c r="O749" s="112" t="s">
        <v>669</v>
      </c>
      <c r="P749" s="109" t="s">
        <v>23</v>
      </c>
      <c r="Q749" s="109" t="s">
        <v>44</v>
      </c>
      <c r="R749" s="109" t="s">
        <v>113</v>
      </c>
      <c r="S749" s="109">
        <v>3</v>
      </c>
      <c r="T749" s="109">
        <v>12</v>
      </c>
      <c r="U749" s="139">
        <v>62</v>
      </c>
      <c r="V749" s="140">
        <v>744</v>
      </c>
    </row>
    <row r="750" spans="1:22" x14ac:dyDescent="0.25">
      <c r="A750" s="103" t="s">
        <v>558</v>
      </c>
      <c r="B750" s="104" t="s">
        <v>22</v>
      </c>
      <c r="C750" s="104" t="s">
        <v>176</v>
      </c>
      <c r="D750" s="104" t="s">
        <v>82</v>
      </c>
      <c r="E750" s="104" t="s">
        <v>172</v>
      </c>
      <c r="F750" s="104">
        <v>2016</v>
      </c>
      <c r="G750" s="105">
        <v>43107.791666666664</v>
      </c>
      <c r="H750" s="105">
        <v>43118.958333333336</v>
      </c>
      <c r="I750" s="106">
        <v>43107</v>
      </c>
      <c r="J750" s="106">
        <v>43118</v>
      </c>
      <c r="K750" s="107" t="s">
        <v>526</v>
      </c>
      <c r="L750" s="107">
        <v>0.95833333333333337</v>
      </c>
      <c r="M750" s="107" t="s">
        <v>541</v>
      </c>
      <c r="N750" s="107" t="s">
        <v>523</v>
      </c>
      <c r="O750" s="107" t="s">
        <v>669</v>
      </c>
      <c r="P750" s="104" t="s">
        <v>9</v>
      </c>
      <c r="Q750" s="104" t="s">
        <v>18</v>
      </c>
      <c r="R750" s="104" t="s">
        <v>113</v>
      </c>
      <c r="S750" s="104">
        <v>3</v>
      </c>
      <c r="T750" s="104">
        <v>8</v>
      </c>
      <c r="U750" s="137">
        <v>73</v>
      </c>
      <c r="V750" s="138">
        <v>584</v>
      </c>
    </row>
    <row r="751" spans="1:22" x14ac:dyDescent="0.25">
      <c r="A751" s="108" t="s">
        <v>559</v>
      </c>
      <c r="B751" s="109" t="s">
        <v>11</v>
      </c>
      <c r="C751" s="109" t="s">
        <v>175</v>
      </c>
      <c r="D751" s="109" t="s">
        <v>89</v>
      </c>
      <c r="E751" s="109" t="s">
        <v>169</v>
      </c>
      <c r="F751" s="109">
        <v>2016</v>
      </c>
      <c r="G751" s="110">
        <v>43107.791666666664</v>
      </c>
      <c r="H751" s="110">
        <v>43118.958333333336</v>
      </c>
      <c r="I751" s="111">
        <v>43107</v>
      </c>
      <c r="J751" s="111">
        <v>43118</v>
      </c>
      <c r="K751" s="112" t="s">
        <v>526</v>
      </c>
      <c r="L751" s="112">
        <v>0.95833333333333337</v>
      </c>
      <c r="M751" s="112" t="s">
        <v>541</v>
      </c>
      <c r="N751" s="112" t="s">
        <v>523</v>
      </c>
      <c r="O751" s="112" t="s">
        <v>669</v>
      </c>
      <c r="P751" s="109" t="s">
        <v>23</v>
      </c>
      <c r="Q751" s="109" t="s">
        <v>22</v>
      </c>
      <c r="R751" s="109" t="s">
        <v>109</v>
      </c>
      <c r="S751" s="109">
        <v>2</v>
      </c>
      <c r="T751" s="109">
        <v>12</v>
      </c>
      <c r="U751" s="139">
        <v>61</v>
      </c>
      <c r="V751" s="140">
        <v>732</v>
      </c>
    </row>
    <row r="752" spans="1:22" x14ac:dyDescent="0.25">
      <c r="A752" s="103" t="s">
        <v>560</v>
      </c>
      <c r="B752" s="104" t="s">
        <v>7</v>
      </c>
      <c r="C752" s="104" t="s">
        <v>175</v>
      </c>
      <c r="D752" s="104" t="s">
        <v>84</v>
      </c>
      <c r="E752" s="104" t="s">
        <v>172</v>
      </c>
      <c r="F752" s="104">
        <v>2016</v>
      </c>
      <c r="G752" s="105">
        <v>43110.375</v>
      </c>
      <c r="H752" s="105">
        <v>43116.75</v>
      </c>
      <c r="I752" s="106">
        <v>43110</v>
      </c>
      <c r="J752" s="106">
        <v>43116</v>
      </c>
      <c r="K752" s="107" t="s">
        <v>525</v>
      </c>
      <c r="L752" s="107">
        <v>0.75</v>
      </c>
      <c r="M752" s="107" t="s">
        <v>540</v>
      </c>
      <c r="N752" s="107" t="s">
        <v>523</v>
      </c>
      <c r="O752" s="107" t="s">
        <v>669</v>
      </c>
      <c r="P752" s="104" t="s">
        <v>9</v>
      </c>
      <c r="Q752" s="104" t="s">
        <v>190</v>
      </c>
      <c r="R752" s="104" t="s">
        <v>109</v>
      </c>
      <c r="S752" s="104">
        <v>5</v>
      </c>
      <c r="T752" s="104">
        <v>10</v>
      </c>
      <c r="U752" s="137">
        <v>51</v>
      </c>
      <c r="V752" s="138">
        <v>510</v>
      </c>
    </row>
    <row r="753" spans="1:22" x14ac:dyDescent="0.25">
      <c r="A753" s="108" t="s">
        <v>561</v>
      </c>
      <c r="B753" s="109" t="s">
        <v>39</v>
      </c>
      <c r="C753" s="109" t="s">
        <v>177</v>
      </c>
      <c r="D753" s="109" t="s">
        <v>88</v>
      </c>
      <c r="E753" s="109" t="s">
        <v>170</v>
      </c>
      <c r="F753" s="109">
        <v>2016</v>
      </c>
      <c r="G753" s="110">
        <v>43110.375</v>
      </c>
      <c r="H753" s="110">
        <v>43116.75</v>
      </c>
      <c r="I753" s="111">
        <v>43110</v>
      </c>
      <c r="J753" s="111">
        <v>43116</v>
      </c>
      <c r="K753" s="112" t="s">
        <v>525</v>
      </c>
      <c r="L753" s="112">
        <v>0.75</v>
      </c>
      <c r="M753" s="112" t="s">
        <v>540</v>
      </c>
      <c r="N753" s="112" t="s">
        <v>523</v>
      </c>
      <c r="O753" s="112" t="s">
        <v>669</v>
      </c>
      <c r="P753" s="109" t="s">
        <v>9</v>
      </c>
      <c r="Q753" s="109" t="s">
        <v>35</v>
      </c>
      <c r="R753" s="109" t="s">
        <v>109</v>
      </c>
      <c r="S753" s="109">
        <v>3</v>
      </c>
      <c r="T753" s="109">
        <v>12</v>
      </c>
      <c r="U753" s="139">
        <v>41</v>
      </c>
      <c r="V753" s="140">
        <v>492</v>
      </c>
    </row>
    <row r="754" spans="1:22" x14ac:dyDescent="0.25">
      <c r="A754" s="103" t="s">
        <v>562</v>
      </c>
      <c r="B754" s="104" t="s">
        <v>19</v>
      </c>
      <c r="C754" s="104" t="s">
        <v>176</v>
      </c>
      <c r="D754" s="104" t="s">
        <v>80</v>
      </c>
      <c r="E754" s="104" t="s">
        <v>173</v>
      </c>
      <c r="F754" s="104">
        <v>2016</v>
      </c>
      <c r="G754" s="105">
        <v>43111.333333333336</v>
      </c>
      <c r="H754" s="105">
        <v>43124.5</v>
      </c>
      <c r="I754" s="106">
        <v>43111</v>
      </c>
      <c r="J754" s="106">
        <v>43124</v>
      </c>
      <c r="K754" s="107" t="s">
        <v>522</v>
      </c>
      <c r="L754" s="107">
        <v>0.5</v>
      </c>
      <c r="M754" s="107" t="s">
        <v>539</v>
      </c>
      <c r="N754" s="107" t="s">
        <v>523</v>
      </c>
      <c r="O754" s="107" t="s">
        <v>669</v>
      </c>
      <c r="P754" s="104" t="s">
        <v>23</v>
      </c>
      <c r="Q754" s="104" t="s">
        <v>44</v>
      </c>
      <c r="R754" s="104" t="s">
        <v>113</v>
      </c>
      <c r="S754" s="104">
        <v>3</v>
      </c>
      <c r="T754" s="104">
        <v>8</v>
      </c>
      <c r="U754" s="137">
        <v>31</v>
      </c>
      <c r="V754" s="138">
        <v>248</v>
      </c>
    </row>
    <row r="755" spans="1:22" x14ac:dyDescent="0.25">
      <c r="A755" s="108" t="s">
        <v>563</v>
      </c>
      <c r="B755" s="109" t="s">
        <v>7</v>
      </c>
      <c r="C755" s="109" t="s">
        <v>175</v>
      </c>
      <c r="D755" s="109" t="s">
        <v>80</v>
      </c>
      <c r="E755" s="109" t="s">
        <v>173</v>
      </c>
      <c r="F755" s="109">
        <v>2016</v>
      </c>
      <c r="G755" s="110">
        <v>43111.333333333336</v>
      </c>
      <c r="H755" s="110">
        <v>43124.5</v>
      </c>
      <c r="I755" s="111">
        <v>43111</v>
      </c>
      <c r="J755" s="111">
        <v>43124</v>
      </c>
      <c r="K755" s="112" t="s">
        <v>522</v>
      </c>
      <c r="L755" s="112">
        <v>0.5</v>
      </c>
      <c r="M755" s="112" t="s">
        <v>539</v>
      </c>
      <c r="N755" s="112" t="s">
        <v>523</v>
      </c>
      <c r="O755" s="112" t="s">
        <v>669</v>
      </c>
      <c r="P755" s="109" t="s">
        <v>23</v>
      </c>
      <c r="Q755" s="109" t="s">
        <v>38</v>
      </c>
      <c r="R755" s="109" t="s">
        <v>113</v>
      </c>
      <c r="S755" s="109">
        <v>2</v>
      </c>
      <c r="T755" s="109">
        <v>8</v>
      </c>
      <c r="U755" s="139">
        <v>31</v>
      </c>
      <c r="V755" s="140">
        <v>248</v>
      </c>
    </row>
    <row r="756" spans="1:22" x14ac:dyDescent="0.25">
      <c r="A756" s="103" t="s">
        <v>564</v>
      </c>
      <c r="B756" s="104" t="s">
        <v>39</v>
      </c>
      <c r="C756" s="104" t="s">
        <v>177</v>
      </c>
      <c r="D756" s="104" t="s">
        <v>85</v>
      </c>
      <c r="E756" s="104" t="s">
        <v>170</v>
      </c>
      <c r="F756" s="104">
        <v>2016</v>
      </c>
      <c r="G756" s="105">
        <v>43114.791666666664</v>
      </c>
      <c r="H756" s="105">
        <v>43125.958333333336</v>
      </c>
      <c r="I756" s="106">
        <v>43114</v>
      </c>
      <c r="J756" s="106">
        <v>43125</v>
      </c>
      <c r="K756" s="107" t="s">
        <v>526</v>
      </c>
      <c r="L756" s="107">
        <v>0.95833333333333337</v>
      </c>
      <c r="M756" s="107" t="s">
        <v>541</v>
      </c>
      <c r="N756" s="107" t="s">
        <v>523</v>
      </c>
      <c r="O756" s="107" t="s">
        <v>669</v>
      </c>
      <c r="P756" s="104" t="s">
        <v>23</v>
      </c>
      <c r="Q756" s="104" t="s">
        <v>190</v>
      </c>
      <c r="R756" s="104" t="s">
        <v>109</v>
      </c>
      <c r="S756" s="104">
        <v>3</v>
      </c>
      <c r="T756" s="104">
        <v>12</v>
      </c>
      <c r="U756" s="137">
        <v>47</v>
      </c>
      <c r="V756" s="138">
        <v>564</v>
      </c>
    </row>
    <row r="757" spans="1:22" x14ac:dyDescent="0.25">
      <c r="A757" s="108" t="s">
        <v>565</v>
      </c>
      <c r="B757" s="109" t="s">
        <v>39</v>
      </c>
      <c r="C757" s="109" t="s">
        <v>177</v>
      </c>
      <c r="D757" s="109" t="s">
        <v>77</v>
      </c>
      <c r="E757" s="109" t="s">
        <v>172</v>
      </c>
      <c r="F757" s="109">
        <v>2016</v>
      </c>
      <c r="G757" s="110">
        <v>43114.791666666664</v>
      </c>
      <c r="H757" s="110">
        <v>43125.958333333336</v>
      </c>
      <c r="I757" s="111">
        <v>43114</v>
      </c>
      <c r="J757" s="111">
        <v>43125</v>
      </c>
      <c r="K757" s="112" t="s">
        <v>526</v>
      </c>
      <c r="L757" s="112">
        <v>0.95833333333333337</v>
      </c>
      <c r="M757" s="112" t="s">
        <v>541</v>
      </c>
      <c r="N757" s="112" t="s">
        <v>523</v>
      </c>
      <c r="O757" s="112" t="s">
        <v>669</v>
      </c>
      <c r="P757" s="109" t="s">
        <v>9</v>
      </c>
      <c r="Q757" s="109" t="s">
        <v>31</v>
      </c>
      <c r="R757" s="109" t="s">
        <v>113</v>
      </c>
      <c r="S757" s="109">
        <v>3</v>
      </c>
      <c r="T757" s="109">
        <v>8</v>
      </c>
      <c r="U757" s="139">
        <v>33</v>
      </c>
      <c r="V757" s="140">
        <v>264</v>
      </c>
    </row>
    <row r="758" spans="1:22" x14ac:dyDescent="0.25">
      <c r="A758" s="103" t="s">
        <v>566</v>
      </c>
      <c r="B758" s="104" t="s">
        <v>7</v>
      </c>
      <c r="C758" s="104" t="s">
        <v>175</v>
      </c>
      <c r="D758" s="104" t="s">
        <v>86</v>
      </c>
      <c r="E758" s="104" t="s">
        <v>169</v>
      </c>
      <c r="F758" s="104">
        <v>2016</v>
      </c>
      <c r="G758" s="105">
        <v>43114.791666666664</v>
      </c>
      <c r="H758" s="105">
        <v>43125.958333333336</v>
      </c>
      <c r="I758" s="106">
        <v>43114</v>
      </c>
      <c r="J758" s="106">
        <v>43125</v>
      </c>
      <c r="K758" s="107" t="s">
        <v>526</v>
      </c>
      <c r="L758" s="107">
        <v>0.95833333333333337</v>
      </c>
      <c r="M758" s="107" t="s">
        <v>541</v>
      </c>
      <c r="N758" s="107" t="s">
        <v>523</v>
      </c>
      <c r="O758" s="107" t="s">
        <v>669</v>
      </c>
      <c r="P758" s="104" t="s">
        <v>9</v>
      </c>
      <c r="Q758" s="104" t="s">
        <v>37</v>
      </c>
      <c r="R758" s="104" t="s">
        <v>113</v>
      </c>
      <c r="S758" s="104">
        <v>2</v>
      </c>
      <c r="T758" s="104">
        <v>9</v>
      </c>
      <c r="U758" s="137">
        <v>47</v>
      </c>
      <c r="V758" s="138">
        <v>423</v>
      </c>
    </row>
    <row r="759" spans="1:22" x14ac:dyDescent="0.25">
      <c r="A759" s="108" t="s">
        <v>567</v>
      </c>
      <c r="B759" s="109" t="s">
        <v>22</v>
      </c>
      <c r="C759" s="109" t="s">
        <v>176</v>
      </c>
      <c r="D759" s="109" t="s">
        <v>76</v>
      </c>
      <c r="E759" s="109" t="s">
        <v>174</v>
      </c>
      <c r="F759" s="109">
        <v>2016</v>
      </c>
      <c r="G759" s="110">
        <v>43115.791666666664</v>
      </c>
      <c r="H759" s="110">
        <v>43128.958333333336</v>
      </c>
      <c r="I759" s="111">
        <v>43115</v>
      </c>
      <c r="J759" s="111">
        <v>43128</v>
      </c>
      <c r="K759" s="112" t="s">
        <v>526</v>
      </c>
      <c r="L759" s="112">
        <v>0.95833333333333337</v>
      </c>
      <c r="M759" s="112" t="s">
        <v>541</v>
      </c>
      <c r="N759" s="112" t="s">
        <v>523</v>
      </c>
      <c r="O759" s="112" t="s">
        <v>669</v>
      </c>
      <c r="P759" s="109" t="s">
        <v>9</v>
      </c>
      <c r="Q759" s="109" t="s">
        <v>18</v>
      </c>
      <c r="R759" s="109" t="s">
        <v>113</v>
      </c>
      <c r="S759" s="109">
        <v>3</v>
      </c>
      <c r="T759" s="109">
        <v>11</v>
      </c>
      <c r="U759" s="139">
        <v>52</v>
      </c>
      <c r="V759" s="140">
        <v>572</v>
      </c>
    </row>
    <row r="760" spans="1:22" x14ac:dyDescent="0.25">
      <c r="A760" s="103" t="s">
        <v>568</v>
      </c>
      <c r="B760" s="104" t="s">
        <v>11</v>
      </c>
      <c r="C760" s="104" t="s">
        <v>175</v>
      </c>
      <c r="D760" s="104" t="s">
        <v>85</v>
      </c>
      <c r="E760" s="104" t="s">
        <v>170</v>
      </c>
      <c r="F760" s="104">
        <v>2016</v>
      </c>
      <c r="G760" s="105">
        <v>43115.791666666664</v>
      </c>
      <c r="H760" s="105">
        <v>43128.958333333336</v>
      </c>
      <c r="I760" s="106">
        <v>43115</v>
      </c>
      <c r="J760" s="106">
        <v>43128</v>
      </c>
      <c r="K760" s="107" t="s">
        <v>526</v>
      </c>
      <c r="L760" s="107">
        <v>0.95833333333333337</v>
      </c>
      <c r="M760" s="107" t="s">
        <v>541</v>
      </c>
      <c r="N760" s="107" t="s">
        <v>523</v>
      </c>
      <c r="O760" s="107" t="s">
        <v>669</v>
      </c>
      <c r="P760" s="104" t="s">
        <v>9</v>
      </c>
      <c r="Q760" s="104" t="s">
        <v>38</v>
      </c>
      <c r="R760" s="104" t="s">
        <v>113</v>
      </c>
      <c r="S760" s="104">
        <v>3</v>
      </c>
      <c r="T760" s="104">
        <v>8</v>
      </c>
      <c r="U760" s="137">
        <v>47</v>
      </c>
      <c r="V760" s="138">
        <v>376</v>
      </c>
    </row>
    <row r="761" spans="1:22" x14ac:dyDescent="0.25">
      <c r="A761" s="108" t="s">
        <v>569</v>
      </c>
      <c r="B761" s="109" t="s">
        <v>22</v>
      </c>
      <c r="C761" s="109" t="s">
        <v>176</v>
      </c>
      <c r="D761" s="109" t="s">
        <v>76</v>
      </c>
      <c r="E761" s="109" t="s">
        <v>174</v>
      </c>
      <c r="F761" s="109">
        <v>2016</v>
      </c>
      <c r="G761" s="110">
        <v>43115.791666666664</v>
      </c>
      <c r="H761" s="110">
        <v>43128.958333333336</v>
      </c>
      <c r="I761" s="111">
        <v>43115</v>
      </c>
      <c r="J761" s="111">
        <v>43128</v>
      </c>
      <c r="K761" s="112" t="s">
        <v>526</v>
      </c>
      <c r="L761" s="112">
        <v>0.95833333333333337</v>
      </c>
      <c r="M761" s="112" t="s">
        <v>541</v>
      </c>
      <c r="N761" s="112" t="s">
        <v>523</v>
      </c>
      <c r="O761" s="112" t="s">
        <v>669</v>
      </c>
      <c r="P761" s="109" t="s">
        <v>9</v>
      </c>
      <c r="Q761" s="109" t="s">
        <v>18</v>
      </c>
      <c r="R761" s="109" t="s">
        <v>113</v>
      </c>
      <c r="S761" s="109">
        <v>4</v>
      </c>
      <c r="T761" s="109">
        <v>9</v>
      </c>
      <c r="U761" s="139">
        <v>52</v>
      </c>
      <c r="V761" s="140">
        <v>468</v>
      </c>
    </row>
    <row r="762" spans="1:22" x14ac:dyDescent="0.25">
      <c r="A762" s="103" t="s">
        <v>570</v>
      </c>
      <c r="B762" s="104" t="s">
        <v>22</v>
      </c>
      <c r="C762" s="104" t="s">
        <v>176</v>
      </c>
      <c r="D762" s="104" t="s">
        <v>85</v>
      </c>
      <c r="E762" s="104" t="s">
        <v>170</v>
      </c>
      <c r="F762" s="104">
        <v>2016</v>
      </c>
      <c r="G762" s="105">
        <v>43116.583333333336</v>
      </c>
      <c r="H762" s="105">
        <v>43129.75</v>
      </c>
      <c r="I762" s="106">
        <v>43116</v>
      </c>
      <c r="J762" s="106">
        <v>43129</v>
      </c>
      <c r="K762" s="107" t="s">
        <v>527</v>
      </c>
      <c r="L762" s="107">
        <v>0.75</v>
      </c>
      <c r="M762" s="107" t="s">
        <v>542</v>
      </c>
      <c r="N762" s="107" t="s">
        <v>523</v>
      </c>
      <c r="O762" s="107" t="s">
        <v>669</v>
      </c>
      <c r="P762" s="104" t="s">
        <v>23</v>
      </c>
      <c r="Q762" s="104" t="s">
        <v>35</v>
      </c>
      <c r="R762" s="104" t="s">
        <v>109</v>
      </c>
      <c r="S762" s="104">
        <v>2</v>
      </c>
      <c r="T762" s="104">
        <v>11</v>
      </c>
      <c r="U762" s="137">
        <v>47</v>
      </c>
      <c r="V762" s="138">
        <v>517</v>
      </c>
    </row>
    <row r="763" spans="1:22" x14ac:dyDescent="0.25">
      <c r="A763" s="108" t="s">
        <v>571</v>
      </c>
      <c r="B763" s="109" t="s">
        <v>29</v>
      </c>
      <c r="C763" s="109" t="s">
        <v>177</v>
      </c>
      <c r="D763" s="109" t="s">
        <v>83</v>
      </c>
      <c r="E763" s="109" t="s">
        <v>174</v>
      </c>
      <c r="F763" s="109">
        <v>2016</v>
      </c>
      <c r="G763" s="110">
        <v>43117.375</v>
      </c>
      <c r="H763" s="110">
        <v>43123.75</v>
      </c>
      <c r="I763" s="111">
        <v>43117</v>
      </c>
      <c r="J763" s="111">
        <v>43123</v>
      </c>
      <c r="K763" s="112" t="s">
        <v>525</v>
      </c>
      <c r="L763" s="112">
        <v>0.75</v>
      </c>
      <c r="M763" s="112" t="s">
        <v>540</v>
      </c>
      <c r="N763" s="112" t="s">
        <v>523</v>
      </c>
      <c r="O763" s="112" t="s">
        <v>669</v>
      </c>
      <c r="P763" s="109" t="s">
        <v>9</v>
      </c>
      <c r="Q763" s="109" t="s">
        <v>31</v>
      </c>
      <c r="R763" s="109" t="s">
        <v>113</v>
      </c>
      <c r="S763" s="109">
        <v>4</v>
      </c>
      <c r="T763" s="109">
        <v>11</v>
      </c>
      <c r="U763" s="139">
        <v>62</v>
      </c>
      <c r="V763" s="140">
        <v>682</v>
      </c>
    </row>
    <row r="764" spans="1:22" x14ac:dyDescent="0.25">
      <c r="A764" s="103" t="s">
        <v>572</v>
      </c>
      <c r="B764" s="104" t="s">
        <v>45</v>
      </c>
      <c r="C764" s="104" t="s">
        <v>177</v>
      </c>
      <c r="D764" s="104" t="s">
        <v>80</v>
      </c>
      <c r="E764" s="104" t="s">
        <v>173</v>
      </c>
      <c r="F764" s="104">
        <v>2016</v>
      </c>
      <c r="G764" s="105">
        <v>43119.375</v>
      </c>
      <c r="H764" s="105">
        <v>43124.75</v>
      </c>
      <c r="I764" s="106">
        <v>43119</v>
      </c>
      <c r="J764" s="106">
        <v>43124</v>
      </c>
      <c r="K764" s="107" t="s">
        <v>525</v>
      </c>
      <c r="L764" s="107">
        <v>0.75</v>
      </c>
      <c r="M764" s="107" t="s">
        <v>540</v>
      </c>
      <c r="N764" s="107" t="s">
        <v>523</v>
      </c>
      <c r="O764" s="107" t="s">
        <v>669</v>
      </c>
      <c r="P764" s="104" t="s">
        <v>23</v>
      </c>
      <c r="Q764" s="104" t="s">
        <v>26</v>
      </c>
      <c r="R764" s="104" t="s">
        <v>113</v>
      </c>
      <c r="S764" s="104">
        <v>4</v>
      </c>
      <c r="T764" s="104">
        <v>10</v>
      </c>
      <c r="U764" s="137">
        <v>31</v>
      </c>
      <c r="V764" s="138">
        <v>310</v>
      </c>
    </row>
    <row r="765" spans="1:22" x14ac:dyDescent="0.25">
      <c r="A765" s="108" t="s">
        <v>573</v>
      </c>
      <c r="B765" s="109" t="s">
        <v>29</v>
      </c>
      <c r="C765" s="109" t="s">
        <v>177</v>
      </c>
      <c r="D765" s="109" t="s">
        <v>85</v>
      </c>
      <c r="E765" s="109" t="s">
        <v>170</v>
      </c>
      <c r="F765" s="109">
        <v>2016</v>
      </c>
      <c r="G765" s="110">
        <v>43119.375</v>
      </c>
      <c r="H765" s="110">
        <v>43124.75</v>
      </c>
      <c r="I765" s="111">
        <v>43119</v>
      </c>
      <c r="J765" s="111">
        <v>43124</v>
      </c>
      <c r="K765" s="112" t="s">
        <v>525</v>
      </c>
      <c r="L765" s="112">
        <v>0.75</v>
      </c>
      <c r="M765" s="112" t="s">
        <v>540</v>
      </c>
      <c r="N765" s="112" t="s">
        <v>523</v>
      </c>
      <c r="O765" s="112" t="s">
        <v>669</v>
      </c>
      <c r="P765" s="109" t="s">
        <v>23</v>
      </c>
      <c r="Q765" s="109" t="s">
        <v>190</v>
      </c>
      <c r="R765" s="109" t="s">
        <v>109</v>
      </c>
      <c r="S765" s="109">
        <v>5</v>
      </c>
      <c r="T765" s="109">
        <v>9</v>
      </c>
      <c r="U765" s="139">
        <v>47</v>
      </c>
      <c r="V765" s="140">
        <v>423</v>
      </c>
    </row>
    <row r="766" spans="1:22" x14ac:dyDescent="0.25">
      <c r="A766" s="103" t="s">
        <v>574</v>
      </c>
      <c r="B766" s="104" t="s">
        <v>14</v>
      </c>
      <c r="C766" s="104" t="s">
        <v>175</v>
      </c>
      <c r="D766" s="104" t="s">
        <v>82</v>
      </c>
      <c r="E766" s="104" t="s">
        <v>172</v>
      </c>
      <c r="F766" s="104">
        <v>2016</v>
      </c>
      <c r="G766" s="105">
        <v>43121.791666666664</v>
      </c>
      <c r="H766" s="105">
        <v>43132.958333333336</v>
      </c>
      <c r="I766" s="106">
        <v>43121</v>
      </c>
      <c r="J766" s="106">
        <v>43132</v>
      </c>
      <c r="K766" s="107" t="s">
        <v>526</v>
      </c>
      <c r="L766" s="107">
        <v>0.95833333333333337</v>
      </c>
      <c r="M766" s="107" t="s">
        <v>541</v>
      </c>
      <c r="N766" s="107" t="s">
        <v>523</v>
      </c>
      <c r="O766" s="107" t="s">
        <v>669</v>
      </c>
      <c r="P766" s="104" t="s">
        <v>9</v>
      </c>
      <c r="Q766" s="104" t="s">
        <v>21</v>
      </c>
      <c r="R766" s="104" t="s">
        <v>113</v>
      </c>
      <c r="S766" s="104">
        <v>3</v>
      </c>
      <c r="T766" s="104">
        <v>11</v>
      </c>
      <c r="U766" s="137">
        <v>73</v>
      </c>
      <c r="V766" s="138">
        <v>803</v>
      </c>
    </row>
    <row r="767" spans="1:22" x14ac:dyDescent="0.25">
      <c r="A767" s="108" t="s">
        <v>575</v>
      </c>
      <c r="B767" s="109" t="s">
        <v>17</v>
      </c>
      <c r="C767" s="109" t="s">
        <v>176</v>
      </c>
      <c r="D767" s="109" t="s">
        <v>86</v>
      </c>
      <c r="E767" s="109" t="s">
        <v>169</v>
      </c>
      <c r="F767" s="109">
        <v>2016</v>
      </c>
      <c r="G767" s="110">
        <v>43121.791666666664</v>
      </c>
      <c r="H767" s="110">
        <v>43132.958333333336</v>
      </c>
      <c r="I767" s="111">
        <v>43121</v>
      </c>
      <c r="J767" s="111">
        <v>43132</v>
      </c>
      <c r="K767" s="112" t="s">
        <v>526</v>
      </c>
      <c r="L767" s="112">
        <v>0.95833333333333337</v>
      </c>
      <c r="M767" s="112" t="s">
        <v>541</v>
      </c>
      <c r="N767" s="112" t="s">
        <v>523</v>
      </c>
      <c r="O767" s="112" t="s">
        <v>669</v>
      </c>
      <c r="P767" s="109" t="s">
        <v>9</v>
      </c>
      <c r="Q767" s="109" t="s">
        <v>31</v>
      </c>
      <c r="R767" s="109" t="s">
        <v>113</v>
      </c>
      <c r="S767" s="109">
        <v>3</v>
      </c>
      <c r="T767" s="109">
        <v>11</v>
      </c>
      <c r="U767" s="139">
        <v>47</v>
      </c>
      <c r="V767" s="140">
        <v>517</v>
      </c>
    </row>
    <row r="768" spans="1:22" x14ac:dyDescent="0.25">
      <c r="A768" s="103" t="s">
        <v>576</v>
      </c>
      <c r="B768" s="104" t="s">
        <v>45</v>
      </c>
      <c r="C768" s="104" t="s">
        <v>177</v>
      </c>
      <c r="D768" s="104" t="s">
        <v>83</v>
      </c>
      <c r="E768" s="104" t="s">
        <v>174</v>
      </c>
      <c r="F768" s="104">
        <v>2016</v>
      </c>
      <c r="G768" s="105">
        <v>43121.791666666664</v>
      </c>
      <c r="H768" s="105">
        <v>43132.958333333336</v>
      </c>
      <c r="I768" s="106">
        <v>43121</v>
      </c>
      <c r="J768" s="106">
        <v>43132</v>
      </c>
      <c r="K768" s="107" t="s">
        <v>526</v>
      </c>
      <c r="L768" s="107">
        <v>0.95833333333333337</v>
      </c>
      <c r="M768" s="107" t="s">
        <v>541</v>
      </c>
      <c r="N768" s="107" t="s">
        <v>523</v>
      </c>
      <c r="O768" s="107" t="s">
        <v>669</v>
      </c>
      <c r="P768" s="104" t="s">
        <v>9</v>
      </c>
      <c r="Q768" s="104" t="s">
        <v>12</v>
      </c>
      <c r="R768" s="104" t="s">
        <v>113</v>
      </c>
      <c r="S768" s="104">
        <v>4</v>
      </c>
      <c r="T768" s="104">
        <v>8</v>
      </c>
      <c r="U768" s="137">
        <v>62</v>
      </c>
      <c r="V768" s="138">
        <v>496</v>
      </c>
    </row>
    <row r="769" spans="1:22" x14ac:dyDescent="0.25">
      <c r="A769" s="108" t="s">
        <v>577</v>
      </c>
      <c r="B769" s="109" t="s">
        <v>17</v>
      </c>
      <c r="C769" s="109" t="s">
        <v>176</v>
      </c>
      <c r="D769" s="109" t="s">
        <v>80</v>
      </c>
      <c r="E769" s="109" t="s">
        <v>173</v>
      </c>
      <c r="F769" s="109">
        <v>2016</v>
      </c>
      <c r="G769" s="110">
        <v>43121.791666666664</v>
      </c>
      <c r="H769" s="110">
        <v>43132.958333333336</v>
      </c>
      <c r="I769" s="111">
        <v>43121</v>
      </c>
      <c r="J769" s="111">
        <v>43132</v>
      </c>
      <c r="K769" s="112" t="s">
        <v>526</v>
      </c>
      <c r="L769" s="112">
        <v>0.95833333333333337</v>
      </c>
      <c r="M769" s="112" t="s">
        <v>541</v>
      </c>
      <c r="N769" s="112" t="s">
        <v>523</v>
      </c>
      <c r="O769" s="112" t="s">
        <v>669</v>
      </c>
      <c r="P769" s="109" t="s">
        <v>23</v>
      </c>
      <c r="Q769" s="109" t="s">
        <v>38</v>
      </c>
      <c r="R769" s="109" t="s">
        <v>113</v>
      </c>
      <c r="S769" s="109">
        <v>2</v>
      </c>
      <c r="T769" s="109">
        <v>8</v>
      </c>
      <c r="U769" s="139">
        <v>31</v>
      </c>
      <c r="V769" s="140">
        <v>248</v>
      </c>
    </row>
    <row r="770" spans="1:22" x14ac:dyDescent="0.25">
      <c r="A770" s="103" t="s">
        <v>578</v>
      </c>
      <c r="B770" s="104" t="s">
        <v>45</v>
      </c>
      <c r="C770" s="104" t="s">
        <v>177</v>
      </c>
      <c r="D770" s="104" t="s">
        <v>83</v>
      </c>
      <c r="E770" s="104" t="s">
        <v>174</v>
      </c>
      <c r="F770" s="104">
        <v>2016</v>
      </c>
      <c r="G770" s="105">
        <v>43121.791666666664</v>
      </c>
      <c r="H770" s="105">
        <v>43132.958333333336</v>
      </c>
      <c r="I770" s="106">
        <v>43121</v>
      </c>
      <c r="J770" s="106">
        <v>43132</v>
      </c>
      <c r="K770" s="107" t="s">
        <v>526</v>
      </c>
      <c r="L770" s="107">
        <v>0.95833333333333337</v>
      </c>
      <c r="M770" s="107" t="s">
        <v>541</v>
      </c>
      <c r="N770" s="107" t="s">
        <v>523</v>
      </c>
      <c r="O770" s="107" t="s">
        <v>669</v>
      </c>
      <c r="P770" s="104" t="s">
        <v>9</v>
      </c>
      <c r="Q770" s="104" t="s">
        <v>38</v>
      </c>
      <c r="R770" s="104" t="s">
        <v>113</v>
      </c>
      <c r="S770" s="104">
        <v>2</v>
      </c>
      <c r="T770" s="104">
        <v>8</v>
      </c>
      <c r="U770" s="137">
        <v>62</v>
      </c>
      <c r="V770" s="138">
        <v>496</v>
      </c>
    </row>
    <row r="771" spans="1:22" x14ac:dyDescent="0.25">
      <c r="A771" s="108" t="s">
        <v>579</v>
      </c>
      <c r="B771" s="109" t="s">
        <v>22</v>
      </c>
      <c r="C771" s="109" t="s">
        <v>176</v>
      </c>
      <c r="D771" s="109" t="s">
        <v>78</v>
      </c>
      <c r="E771" s="109" t="s">
        <v>172</v>
      </c>
      <c r="F771" s="109">
        <v>2016</v>
      </c>
      <c r="G771" s="110">
        <v>43121.791666666664</v>
      </c>
      <c r="H771" s="110">
        <v>43132.958333333336</v>
      </c>
      <c r="I771" s="111">
        <v>43121</v>
      </c>
      <c r="J771" s="111">
        <v>43132</v>
      </c>
      <c r="K771" s="112" t="s">
        <v>526</v>
      </c>
      <c r="L771" s="112">
        <v>0.95833333333333337</v>
      </c>
      <c r="M771" s="112" t="s">
        <v>541</v>
      </c>
      <c r="N771" s="112" t="s">
        <v>523</v>
      </c>
      <c r="O771" s="112" t="s">
        <v>669</v>
      </c>
      <c r="P771" s="109" t="s">
        <v>23</v>
      </c>
      <c r="Q771" s="109" t="s">
        <v>38</v>
      </c>
      <c r="R771" s="109" t="s">
        <v>113</v>
      </c>
      <c r="S771" s="109">
        <v>3</v>
      </c>
      <c r="T771" s="109">
        <v>8</v>
      </c>
      <c r="U771" s="139">
        <v>61</v>
      </c>
      <c r="V771" s="140">
        <v>488</v>
      </c>
    </row>
    <row r="772" spans="1:22" x14ac:dyDescent="0.25">
      <c r="A772" s="103" t="s">
        <v>580</v>
      </c>
      <c r="B772" s="104" t="s">
        <v>19</v>
      </c>
      <c r="C772" s="104" t="s">
        <v>176</v>
      </c>
      <c r="D772" s="104" t="s">
        <v>81</v>
      </c>
      <c r="E772" s="104" t="s">
        <v>172</v>
      </c>
      <c r="F772" s="104">
        <v>2016</v>
      </c>
      <c r="G772" s="105">
        <v>43121.791666666664</v>
      </c>
      <c r="H772" s="105">
        <v>43132.958333333336</v>
      </c>
      <c r="I772" s="106">
        <v>43121</v>
      </c>
      <c r="J772" s="106">
        <v>43132</v>
      </c>
      <c r="K772" s="107" t="s">
        <v>526</v>
      </c>
      <c r="L772" s="107">
        <v>0.95833333333333337</v>
      </c>
      <c r="M772" s="107" t="s">
        <v>541</v>
      </c>
      <c r="N772" s="107" t="s">
        <v>523</v>
      </c>
      <c r="O772" s="107" t="s">
        <v>669</v>
      </c>
      <c r="P772" s="104" t="s">
        <v>9</v>
      </c>
      <c r="Q772" s="104" t="s">
        <v>18</v>
      </c>
      <c r="R772" s="104" t="s">
        <v>113</v>
      </c>
      <c r="S772" s="104">
        <v>3</v>
      </c>
      <c r="T772" s="104">
        <v>10</v>
      </c>
      <c r="U772" s="137">
        <v>42</v>
      </c>
      <c r="V772" s="138">
        <v>420</v>
      </c>
    </row>
    <row r="773" spans="1:22" x14ac:dyDescent="0.25">
      <c r="A773" s="108" t="s">
        <v>581</v>
      </c>
      <c r="B773" s="109" t="s">
        <v>19</v>
      </c>
      <c r="C773" s="109" t="s">
        <v>176</v>
      </c>
      <c r="D773" s="109" t="s">
        <v>88</v>
      </c>
      <c r="E773" s="109" t="s">
        <v>170</v>
      </c>
      <c r="F773" s="109">
        <v>2016</v>
      </c>
      <c r="G773" s="110">
        <v>43121.791666666664</v>
      </c>
      <c r="H773" s="110">
        <v>43132.958333333336</v>
      </c>
      <c r="I773" s="111">
        <v>43121</v>
      </c>
      <c r="J773" s="111">
        <v>43132</v>
      </c>
      <c r="K773" s="112" t="s">
        <v>526</v>
      </c>
      <c r="L773" s="112">
        <v>0.95833333333333337</v>
      </c>
      <c r="M773" s="112" t="s">
        <v>541</v>
      </c>
      <c r="N773" s="112" t="s">
        <v>523</v>
      </c>
      <c r="O773" s="112" t="s">
        <v>669</v>
      </c>
      <c r="P773" s="109" t="s">
        <v>9</v>
      </c>
      <c r="Q773" s="109" t="s">
        <v>16</v>
      </c>
      <c r="R773" s="109" t="s">
        <v>109</v>
      </c>
      <c r="S773" s="109">
        <v>3</v>
      </c>
      <c r="T773" s="109">
        <v>11</v>
      </c>
      <c r="U773" s="139">
        <v>41</v>
      </c>
      <c r="V773" s="140">
        <v>451</v>
      </c>
    </row>
    <row r="774" spans="1:22" x14ac:dyDescent="0.25">
      <c r="A774" s="103" t="s">
        <v>582</v>
      </c>
      <c r="B774" s="104" t="s">
        <v>39</v>
      </c>
      <c r="C774" s="104" t="s">
        <v>177</v>
      </c>
      <c r="D774" s="104" t="s">
        <v>80</v>
      </c>
      <c r="E774" s="104" t="s">
        <v>173</v>
      </c>
      <c r="F774" s="104">
        <v>2016</v>
      </c>
      <c r="G774" s="105">
        <v>43124.375</v>
      </c>
      <c r="H774" s="105">
        <v>43130.75</v>
      </c>
      <c r="I774" s="106">
        <v>43124</v>
      </c>
      <c r="J774" s="106">
        <v>43130</v>
      </c>
      <c r="K774" s="107" t="s">
        <v>525</v>
      </c>
      <c r="L774" s="107">
        <v>0.75</v>
      </c>
      <c r="M774" s="107" t="s">
        <v>540</v>
      </c>
      <c r="N774" s="107" t="s">
        <v>523</v>
      </c>
      <c r="O774" s="107" t="s">
        <v>669</v>
      </c>
      <c r="P774" s="104" t="s">
        <v>9</v>
      </c>
      <c r="Q774" s="104" t="s">
        <v>24</v>
      </c>
      <c r="R774" s="104" t="s">
        <v>113</v>
      </c>
      <c r="S774" s="104">
        <v>3</v>
      </c>
      <c r="T774" s="104">
        <v>9</v>
      </c>
      <c r="U774" s="137">
        <v>31</v>
      </c>
      <c r="V774" s="138">
        <v>279</v>
      </c>
    </row>
    <row r="775" spans="1:22" x14ac:dyDescent="0.25">
      <c r="A775" s="108" t="s">
        <v>583</v>
      </c>
      <c r="B775" s="109" t="s">
        <v>11</v>
      </c>
      <c r="C775" s="109" t="s">
        <v>175</v>
      </c>
      <c r="D775" s="109" t="s">
        <v>80</v>
      </c>
      <c r="E775" s="109" t="s">
        <v>173</v>
      </c>
      <c r="F775" s="109">
        <v>2016</v>
      </c>
      <c r="G775" s="110">
        <v>43124.375</v>
      </c>
      <c r="H775" s="110">
        <v>43130.75</v>
      </c>
      <c r="I775" s="111">
        <v>43124</v>
      </c>
      <c r="J775" s="111">
        <v>43130</v>
      </c>
      <c r="K775" s="112" t="s">
        <v>525</v>
      </c>
      <c r="L775" s="112">
        <v>0.75</v>
      </c>
      <c r="M775" s="112" t="s">
        <v>540</v>
      </c>
      <c r="N775" s="112" t="s">
        <v>523</v>
      </c>
      <c r="O775" s="112" t="s">
        <v>669</v>
      </c>
      <c r="P775" s="109" t="s">
        <v>23</v>
      </c>
      <c r="Q775" s="109" t="s">
        <v>26</v>
      </c>
      <c r="R775" s="109" t="s">
        <v>113</v>
      </c>
      <c r="S775" s="109">
        <v>5</v>
      </c>
      <c r="T775" s="109">
        <v>11</v>
      </c>
      <c r="U775" s="139">
        <v>31</v>
      </c>
      <c r="V775" s="140">
        <v>341</v>
      </c>
    </row>
    <row r="776" spans="1:22" x14ac:dyDescent="0.25">
      <c r="A776" s="103" t="s">
        <v>584</v>
      </c>
      <c r="B776" s="104" t="s">
        <v>22</v>
      </c>
      <c r="C776" s="104" t="s">
        <v>176</v>
      </c>
      <c r="D776" s="104" t="s">
        <v>79</v>
      </c>
      <c r="E776" s="104" t="s">
        <v>168</v>
      </c>
      <c r="F776" s="104">
        <v>2016</v>
      </c>
      <c r="G776" s="105">
        <v>43125.333333333336</v>
      </c>
      <c r="H776" s="105">
        <v>43138.5</v>
      </c>
      <c r="I776" s="106">
        <v>43125</v>
      </c>
      <c r="J776" s="106">
        <v>43138</v>
      </c>
      <c r="K776" s="107" t="s">
        <v>522</v>
      </c>
      <c r="L776" s="107">
        <v>0.5</v>
      </c>
      <c r="M776" s="107" t="s">
        <v>539</v>
      </c>
      <c r="N776" s="107" t="s">
        <v>523</v>
      </c>
      <c r="O776" s="107" t="s">
        <v>669</v>
      </c>
      <c r="P776" s="104" t="s">
        <v>23</v>
      </c>
      <c r="Q776" s="104" t="s">
        <v>41</v>
      </c>
      <c r="R776" s="104" t="s">
        <v>113</v>
      </c>
      <c r="S776" s="104">
        <v>4</v>
      </c>
      <c r="T776" s="104">
        <v>12</v>
      </c>
      <c r="U776" s="137">
        <v>47</v>
      </c>
      <c r="V776" s="138">
        <v>564</v>
      </c>
    </row>
    <row r="777" spans="1:22" x14ac:dyDescent="0.25">
      <c r="A777" s="108" t="s">
        <v>585</v>
      </c>
      <c r="B777" s="109" t="s">
        <v>17</v>
      </c>
      <c r="C777" s="109" t="s">
        <v>176</v>
      </c>
      <c r="D777" s="109" t="s">
        <v>88</v>
      </c>
      <c r="E777" s="109" t="s">
        <v>170</v>
      </c>
      <c r="F777" s="109">
        <v>2016</v>
      </c>
      <c r="G777" s="110">
        <v>43125.333333333336</v>
      </c>
      <c r="H777" s="110">
        <v>43138.5</v>
      </c>
      <c r="I777" s="111">
        <v>43125</v>
      </c>
      <c r="J777" s="111">
        <v>43138</v>
      </c>
      <c r="K777" s="112" t="s">
        <v>522</v>
      </c>
      <c r="L777" s="112">
        <v>0.5</v>
      </c>
      <c r="M777" s="112" t="s">
        <v>539</v>
      </c>
      <c r="N777" s="112" t="s">
        <v>523</v>
      </c>
      <c r="O777" s="112" t="s">
        <v>669</v>
      </c>
      <c r="P777" s="109" t="s">
        <v>9</v>
      </c>
      <c r="Q777" s="109" t="s">
        <v>16</v>
      </c>
      <c r="R777" s="109" t="s">
        <v>109</v>
      </c>
      <c r="S777" s="109">
        <v>3</v>
      </c>
      <c r="T777" s="109">
        <v>12</v>
      </c>
      <c r="U777" s="139">
        <v>41</v>
      </c>
      <c r="V777" s="140">
        <v>492</v>
      </c>
    </row>
    <row r="778" spans="1:22" x14ac:dyDescent="0.25">
      <c r="A778" s="103" t="s">
        <v>586</v>
      </c>
      <c r="B778" s="104" t="s">
        <v>14</v>
      </c>
      <c r="C778" s="104" t="s">
        <v>175</v>
      </c>
      <c r="D778" s="104" t="s">
        <v>78</v>
      </c>
      <c r="E778" s="104" t="s">
        <v>172</v>
      </c>
      <c r="F778" s="104">
        <v>2016</v>
      </c>
      <c r="G778" s="105">
        <v>43126.375</v>
      </c>
      <c r="H778" s="105">
        <v>43131.75</v>
      </c>
      <c r="I778" s="106">
        <v>43126</v>
      </c>
      <c r="J778" s="106">
        <v>43131</v>
      </c>
      <c r="K778" s="107" t="s">
        <v>525</v>
      </c>
      <c r="L778" s="107">
        <v>0.75</v>
      </c>
      <c r="M778" s="107" t="s">
        <v>540</v>
      </c>
      <c r="N778" s="107" t="s">
        <v>523</v>
      </c>
      <c r="O778" s="107" t="s">
        <v>669</v>
      </c>
      <c r="P778" s="104" t="s">
        <v>23</v>
      </c>
      <c r="Q778" s="104" t="s">
        <v>24</v>
      </c>
      <c r="R778" s="104" t="s">
        <v>113</v>
      </c>
      <c r="S778" s="104">
        <v>5</v>
      </c>
      <c r="T778" s="104">
        <v>8</v>
      </c>
      <c r="U778" s="137">
        <v>61</v>
      </c>
      <c r="V778" s="138">
        <v>488</v>
      </c>
    </row>
    <row r="779" spans="1:22" x14ac:dyDescent="0.25">
      <c r="A779" s="108" t="s">
        <v>587</v>
      </c>
      <c r="B779" s="109" t="s">
        <v>29</v>
      </c>
      <c r="C779" s="109" t="s">
        <v>177</v>
      </c>
      <c r="D779" s="109" t="s">
        <v>79</v>
      </c>
      <c r="E779" s="109" t="s">
        <v>168</v>
      </c>
      <c r="F779" s="109">
        <v>2016</v>
      </c>
      <c r="G779" s="110">
        <v>43128.791666666664</v>
      </c>
      <c r="H779" s="110">
        <v>43139.958333333336</v>
      </c>
      <c r="I779" s="111">
        <v>43128</v>
      </c>
      <c r="J779" s="111">
        <v>43139</v>
      </c>
      <c r="K779" s="112" t="s">
        <v>526</v>
      </c>
      <c r="L779" s="112">
        <v>0.95833333333333337</v>
      </c>
      <c r="M779" s="112" t="s">
        <v>541</v>
      </c>
      <c r="N779" s="112" t="s">
        <v>523</v>
      </c>
      <c r="O779" s="112" t="s">
        <v>669</v>
      </c>
      <c r="P779" s="109" t="s">
        <v>23</v>
      </c>
      <c r="Q779" s="109" t="s">
        <v>37</v>
      </c>
      <c r="R779" s="109" t="s">
        <v>113</v>
      </c>
      <c r="S779" s="109">
        <v>5</v>
      </c>
      <c r="T779" s="109">
        <v>12</v>
      </c>
      <c r="U779" s="139">
        <v>47</v>
      </c>
      <c r="V779" s="140">
        <v>564</v>
      </c>
    </row>
    <row r="780" spans="1:22" x14ac:dyDescent="0.25">
      <c r="A780" s="103" t="s">
        <v>588</v>
      </c>
      <c r="B780" s="104" t="s">
        <v>7</v>
      </c>
      <c r="C780" s="104" t="s">
        <v>175</v>
      </c>
      <c r="D780" s="104" t="s">
        <v>80</v>
      </c>
      <c r="E780" s="104" t="s">
        <v>173</v>
      </c>
      <c r="F780" s="104">
        <v>2016</v>
      </c>
      <c r="G780" s="105">
        <v>43129.791666666664</v>
      </c>
      <c r="H780" s="105">
        <v>43142.958333333336</v>
      </c>
      <c r="I780" s="106">
        <v>43129</v>
      </c>
      <c r="J780" s="106">
        <v>43142</v>
      </c>
      <c r="K780" s="107" t="s">
        <v>526</v>
      </c>
      <c r="L780" s="107">
        <v>0.95833333333333337</v>
      </c>
      <c r="M780" s="107" t="s">
        <v>541</v>
      </c>
      <c r="N780" s="107" t="s">
        <v>523</v>
      </c>
      <c r="O780" s="107" t="s">
        <v>669</v>
      </c>
      <c r="P780" s="104" t="s">
        <v>9</v>
      </c>
      <c r="Q780" s="104" t="s">
        <v>190</v>
      </c>
      <c r="R780" s="104" t="s">
        <v>109</v>
      </c>
      <c r="S780" s="104">
        <v>3</v>
      </c>
      <c r="T780" s="104">
        <v>9</v>
      </c>
      <c r="U780" s="137">
        <v>31</v>
      </c>
      <c r="V780" s="138">
        <v>279</v>
      </c>
    </row>
    <row r="781" spans="1:22" x14ac:dyDescent="0.25">
      <c r="A781" s="108" t="s">
        <v>589</v>
      </c>
      <c r="B781" s="109" t="s">
        <v>7</v>
      </c>
      <c r="C781" s="109" t="s">
        <v>175</v>
      </c>
      <c r="D781" s="109" t="s">
        <v>88</v>
      </c>
      <c r="E781" s="109" t="s">
        <v>170</v>
      </c>
      <c r="F781" s="109">
        <v>2016</v>
      </c>
      <c r="G781" s="110">
        <v>43129.791666666664</v>
      </c>
      <c r="H781" s="110">
        <v>43142.958333333336</v>
      </c>
      <c r="I781" s="111">
        <v>43129</v>
      </c>
      <c r="J781" s="111">
        <v>43142</v>
      </c>
      <c r="K781" s="112" t="s">
        <v>526</v>
      </c>
      <c r="L781" s="112">
        <v>0.95833333333333337</v>
      </c>
      <c r="M781" s="112" t="s">
        <v>541</v>
      </c>
      <c r="N781" s="112" t="s">
        <v>523</v>
      </c>
      <c r="O781" s="112" t="s">
        <v>669</v>
      </c>
      <c r="P781" s="109" t="s">
        <v>9</v>
      </c>
      <c r="Q781" s="109" t="s">
        <v>21</v>
      </c>
      <c r="R781" s="109" t="s">
        <v>113</v>
      </c>
      <c r="S781" s="109">
        <v>5</v>
      </c>
      <c r="T781" s="109">
        <v>10</v>
      </c>
      <c r="U781" s="139">
        <v>41</v>
      </c>
      <c r="V781" s="140">
        <v>410</v>
      </c>
    </row>
    <row r="782" spans="1:22" x14ac:dyDescent="0.25">
      <c r="A782" s="103" t="s">
        <v>590</v>
      </c>
      <c r="B782" s="104" t="s">
        <v>14</v>
      </c>
      <c r="C782" s="104" t="s">
        <v>175</v>
      </c>
      <c r="D782" s="104" t="s">
        <v>85</v>
      </c>
      <c r="E782" s="104" t="s">
        <v>170</v>
      </c>
      <c r="F782" s="104">
        <v>2016</v>
      </c>
      <c r="G782" s="105">
        <v>43129.791666666664</v>
      </c>
      <c r="H782" s="105">
        <v>43142.958333333336</v>
      </c>
      <c r="I782" s="106">
        <v>43129</v>
      </c>
      <c r="J782" s="106">
        <v>43142</v>
      </c>
      <c r="K782" s="107" t="s">
        <v>526</v>
      </c>
      <c r="L782" s="107">
        <v>0.95833333333333337</v>
      </c>
      <c r="M782" s="107" t="s">
        <v>541</v>
      </c>
      <c r="N782" s="107" t="s">
        <v>523</v>
      </c>
      <c r="O782" s="107" t="s">
        <v>669</v>
      </c>
      <c r="P782" s="104" t="s">
        <v>23</v>
      </c>
      <c r="Q782" s="104" t="s">
        <v>44</v>
      </c>
      <c r="R782" s="104" t="s">
        <v>113</v>
      </c>
      <c r="S782" s="104">
        <v>4</v>
      </c>
      <c r="T782" s="104">
        <v>10</v>
      </c>
      <c r="U782" s="137">
        <v>47</v>
      </c>
      <c r="V782" s="138">
        <v>470</v>
      </c>
    </row>
    <row r="783" spans="1:22" x14ac:dyDescent="0.25">
      <c r="A783" s="108" t="s">
        <v>591</v>
      </c>
      <c r="B783" s="109" t="s">
        <v>45</v>
      </c>
      <c r="C783" s="109" t="s">
        <v>177</v>
      </c>
      <c r="D783" s="109" t="s">
        <v>89</v>
      </c>
      <c r="E783" s="109" t="s">
        <v>169</v>
      </c>
      <c r="F783" s="109">
        <v>2016</v>
      </c>
      <c r="G783" s="110">
        <v>43129.791666666664</v>
      </c>
      <c r="H783" s="110">
        <v>43142.958333333336</v>
      </c>
      <c r="I783" s="111">
        <v>43129</v>
      </c>
      <c r="J783" s="111">
        <v>43142</v>
      </c>
      <c r="K783" s="112" t="s">
        <v>526</v>
      </c>
      <c r="L783" s="112">
        <v>0.95833333333333337</v>
      </c>
      <c r="M783" s="112" t="s">
        <v>541</v>
      </c>
      <c r="N783" s="112" t="s">
        <v>523</v>
      </c>
      <c r="O783" s="112" t="s">
        <v>669</v>
      </c>
      <c r="P783" s="109" t="s">
        <v>23</v>
      </c>
      <c r="Q783" s="109" t="s">
        <v>28</v>
      </c>
      <c r="R783" s="109" t="s">
        <v>109</v>
      </c>
      <c r="S783" s="109">
        <v>2</v>
      </c>
      <c r="T783" s="109">
        <v>9</v>
      </c>
      <c r="U783" s="139">
        <v>61</v>
      </c>
      <c r="V783" s="140">
        <v>549</v>
      </c>
    </row>
    <row r="784" spans="1:22" x14ac:dyDescent="0.25">
      <c r="A784" s="103" t="s">
        <v>592</v>
      </c>
      <c r="B784" s="104" t="s">
        <v>7</v>
      </c>
      <c r="C784" s="104" t="s">
        <v>175</v>
      </c>
      <c r="D784" s="104" t="s">
        <v>82</v>
      </c>
      <c r="E784" s="104" t="s">
        <v>172</v>
      </c>
      <c r="F784" s="104">
        <v>2016</v>
      </c>
      <c r="G784" s="105">
        <v>43130.583333333336</v>
      </c>
      <c r="H784" s="105">
        <v>43143.75</v>
      </c>
      <c r="I784" s="106">
        <v>43130</v>
      </c>
      <c r="J784" s="106">
        <v>43143</v>
      </c>
      <c r="K784" s="107" t="s">
        <v>527</v>
      </c>
      <c r="L784" s="107">
        <v>0.75</v>
      </c>
      <c r="M784" s="107" t="s">
        <v>542</v>
      </c>
      <c r="N784" s="107" t="s">
        <v>523</v>
      </c>
      <c r="O784" s="107" t="s">
        <v>669</v>
      </c>
      <c r="P784" s="104" t="s">
        <v>9</v>
      </c>
      <c r="Q784" s="104" t="s">
        <v>44</v>
      </c>
      <c r="R784" s="104" t="s">
        <v>113</v>
      </c>
      <c r="S784" s="104">
        <v>4</v>
      </c>
      <c r="T784" s="104">
        <v>12</v>
      </c>
      <c r="U784" s="137">
        <v>73</v>
      </c>
      <c r="V784" s="138">
        <v>876</v>
      </c>
    </row>
    <row r="785" spans="1:22" x14ac:dyDescent="0.25">
      <c r="A785" s="108" t="s">
        <v>593</v>
      </c>
      <c r="B785" s="109" t="s">
        <v>11</v>
      </c>
      <c r="C785" s="109" t="s">
        <v>175</v>
      </c>
      <c r="D785" s="109" t="s">
        <v>88</v>
      </c>
      <c r="E785" s="109" t="s">
        <v>170</v>
      </c>
      <c r="F785" s="109">
        <v>2016</v>
      </c>
      <c r="G785" s="110">
        <v>43130.583333333336</v>
      </c>
      <c r="H785" s="110">
        <v>43143.75</v>
      </c>
      <c r="I785" s="111">
        <v>43130</v>
      </c>
      <c r="J785" s="111">
        <v>43143</v>
      </c>
      <c r="K785" s="112" t="s">
        <v>527</v>
      </c>
      <c r="L785" s="112">
        <v>0.75</v>
      </c>
      <c r="M785" s="112" t="s">
        <v>542</v>
      </c>
      <c r="N785" s="112" t="s">
        <v>523</v>
      </c>
      <c r="O785" s="112" t="s">
        <v>669</v>
      </c>
      <c r="P785" s="109" t="s">
        <v>9</v>
      </c>
      <c r="Q785" s="109" t="s">
        <v>38</v>
      </c>
      <c r="R785" s="109" t="s">
        <v>113</v>
      </c>
      <c r="S785" s="109">
        <v>5</v>
      </c>
      <c r="T785" s="109">
        <v>11</v>
      </c>
      <c r="U785" s="139">
        <v>41</v>
      </c>
      <c r="V785" s="140">
        <v>451</v>
      </c>
    </row>
    <row r="786" spans="1:22" x14ac:dyDescent="0.25">
      <c r="A786" s="103" t="s">
        <v>594</v>
      </c>
      <c r="B786" s="104" t="s">
        <v>17</v>
      </c>
      <c r="C786" s="104" t="s">
        <v>176</v>
      </c>
      <c r="D786" s="104" t="s">
        <v>81</v>
      </c>
      <c r="E786" s="104" t="s">
        <v>172</v>
      </c>
      <c r="F786" s="104">
        <v>2016</v>
      </c>
      <c r="G786" s="105">
        <v>43130.583333333336</v>
      </c>
      <c r="H786" s="105">
        <v>43143.75</v>
      </c>
      <c r="I786" s="106">
        <v>43130</v>
      </c>
      <c r="J786" s="106">
        <v>43143</v>
      </c>
      <c r="K786" s="107" t="s">
        <v>527</v>
      </c>
      <c r="L786" s="107">
        <v>0.75</v>
      </c>
      <c r="M786" s="107" t="s">
        <v>542</v>
      </c>
      <c r="N786" s="107" t="s">
        <v>523</v>
      </c>
      <c r="O786" s="107" t="s">
        <v>669</v>
      </c>
      <c r="P786" s="104" t="s">
        <v>9</v>
      </c>
      <c r="Q786" s="104" t="s">
        <v>44</v>
      </c>
      <c r="R786" s="104" t="s">
        <v>113</v>
      </c>
      <c r="S786" s="104">
        <v>3</v>
      </c>
      <c r="T786" s="104">
        <v>9</v>
      </c>
      <c r="U786" s="137">
        <v>42</v>
      </c>
      <c r="V786" s="138">
        <v>378</v>
      </c>
    </row>
    <row r="787" spans="1:22" x14ac:dyDescent="0.25">
      <c r="A787" s="108" t="s">
        <v>595</v>
      </c>
      <c r="B787" s="109" t="s">
        <v>17</v>
      </c>
      <c r="C787" s="109" t="s">
        <v>176</v>
      </c>
      <c r="D787" s="109" t="s">
        <v>89</v>
      </c>
      <c r="E787" s="109" t="s">
        <v>169</v>
      </c>
      <c r="F787" s="109">
        <v>2016</v>
      </c>
      <c r="G787" s="110">
        <v>43133.375</v>
      </c>
      <c r="H787" s="110">
        <v>43138.75</v>
      </c>
      <c r="I787" s="111">
        <v>43133</v>
      </c>
      <c r="J787" s="111">
        <v>43138</v>
      </c>
      <c r="K787" s="112" t="s">
        <v>525</v>
      </c>
      <c r="L787" s="112">
        <v>0.75</v>
      </c>
      <c r="M787" s="112" t="s">
        <v>540</v>
      </c>
      <c r="N787" s="112" t="s">
        <v>528</v>
      </c>
      <c r="O787" s="112" t="s">
        <v>669</v>
      </c>
      <c r="P787" s="109" t="s">
        <v>23</v>
      </c>
      <c r="Q787" s="109" t="s">
        <v>22</v>
      </c>
      <c r="R787" s="109" t="s">
        <v>109</v>
      </c>
      <c r="S787" s="109">
        <v>5</v>
      </c>
      <c r="T787" s="109">
        <v>9</v>
      </c>
      <c r="U787" s="139">
        <v>61</v>
      </c>
      <c r="V787" s="140">
        <v>549</v>
      </c>
    </row>
    <row r="788" spans="1:22" x14ac:dyDescent="0.25">
      <c r="A788" s="103" t="s">
        <v>596</v>
      </c>
      <c r="B788" s="104" t="s">
        <v>11</v>
      </c>
      <c r="C788" s="104" t="s">
        <v>175</v>
      </c>
      <c r="D788" s="104" t="s">
        <v>83</v>
      </c>
      <c r="E788" s="104" t="s">
        <v>174</v>
      </c>
      <c r="F788" s="104">
        <v>2016</v>
      </c>
      <c r="G788" s="105">
        <v>43133.375</v>
      </c>
      <c r="H788" s="105">
        <v>43138.75</v>
      </c>
      <c r="I788" s="106">
        <v>43133</v>
      </c>
      <c r="J788" s="106">
        <v>43138</v>
      </c>
      <c r="K788" s="107" t="s">
        <v>525</v>
      </c>
      <c r="L788" s="107">
        <v>0.75</v>
      </c>
      <c r="M788" s="107" t="s">
        <v>540</v>
      </c>
      <c r="N788" s="107" t="s">
        <v>528</v>
      </c>
      <c r="O788" s="107" t="s">
        <v>669</v>
      </c>
      <c r="P788" s="104" t="s">
        <v>23</v>
      </c>
      <c r="Q788" s="104" t="s">
        <v>190</v>
      </c>
      <c r="R788" s="104" t="s">
        <v>109</v>
      </c>
      <c r="S788" s="104">
        <v>4</v>
      </c>
      <c r="T788" s="104">
        <v>10</v>
      </c>
      <c r="U788" s="137">
        <v>62</v>
      </c>
      <c r="V788" s="138">
        <v>620</v>
      </c>
    </row>
    <row r="789" spans="1:22" x14ac:dyDescent="0.25">
      <c r="A789" s="108" t="s">
        <v>597</v>
      </c>
      <c r="B789" s="109" t="s">
        <v>19</v>
      </c>
      <c r="C789" s="109" t="s">
        <v>176</v>
      </c>
      <c r="D789" s="109" t="s">
        <v>81</v>
      </c>
      <c r="E789" s="109" t="s">
        <v>172</v>
      </c>
      <c r="F789" s="109">
        <v>2016</v>
      </c>
      <c r="G789" s="110">
        <v>43135.791666666664</v>
      </c>
      <c r="H789" s="110">
        <v>43146.958333333336</v>
      </c>
      <c r="I789" s="111">
        <v>43135</v>
      </c>
      <c r="J789" s="111">
        <v>43146</v>
      </c>
      <c r="K789" s="112" t="s">
        <v>526</v>
      </c>
      <c r="L789" s="112">
        <v>0.95833333333333337</v>
      </c>
      <c r="M789" s="112" t="s">
        <v>541</v>
      </c>
      <c r="N789" s="112" t="s">
        <v>528</v>
      </c>
      <c r="O789" s="112" t="s">
        <v>669</v>
      </c>
      <c r="P789" s="109" t="s">
        <v>9</v>
      </c>
      <c r="Q789" s="109" t="s">
        <v>24</v>
      </c>
      <c r="R789" s="109" t="s">
        <v>113</v>
      </c>
      <c r="S789" s="109">
        <v>5</v>
      </c>
      <c r="T789" s="109">
        <v>11</v>
      </c>
      <c r="U789" s="139">
        <v>42</v>
      </c>
      <c r="V789" s="140">
        <v>462</v>
      </c>
    </row>
    <row r="790" spans="1:22" x14ac:dyDescent="0.25">
      <c r="A790" s="103" t="s">
        <v>598</v>
      </c>
      <c r="B790" s="104" t="s">
        <v>19</v>
      </c>
      <c r="C790" s="104" t="s">
        <v>176</v>
      </c>
      <c r="D790" s="104" t="s">
        <v>86</v>
      </c>
      <c r="E790" s="104" t="s">
        <v>169</v>
      </c>
      <c r="F790" s="104">
        <v>2016</v>
      </c>
      <c r="G790" s="105">
        <v>43136.791666666664</v>
      </c>
      <c r="H790" s="105">
        <v>43149.958333333336</v>
      </c>
      <c r="I790" s="106">
        <v>43136</v>
      </c>
      <c r="J790" s="106">
        <v>43149</v>
      </c>
      <c r="K790" s="107" t="s">
        <v>526</v>
      </c>
      <c r="L790" s="107">
        <v>0.95833333333333337</v>
      </c>
      <c r="M790" s="107" t="s">
        <v>541</v>
      </c>
      <c r="N790" s="107" t="s">
        <v>528</v>
      </c>
      <c r="O790" s="107" t="s">
        <v>669</v>
      </c>
      <c r="P790" s="104" t="s">
        <v>23</v>
      </c>
      <c r="Q790" s="104" t="s">
        <v>31</v>
      </c>
      <c r="R790" s="104" t="s">
        <v>113</v>
      </c>
      <c r="S790" s="104">
        <v>5</v>
      </c>
      <c r="T790" s="104">
        <v>8</v>
      </c>
      <c r="U790" s="137">
        <v>47</v>
      </c>
      <c r="V790" s="138">
        <v>376</v>
      </c>
    </row>
    <row r="791" spans="1:22" x14ac:dyDescent="0.25">
      <c r="A791" s="108" t="s">
        <v>599</v>
      </c>
      <c r="B791" s="109" t="s">
        <v>11</v>
      </c>
      <c r="C791" s="109" t="s">
        <v>175</v>
      </c>
      <c r="D791" s="109" t="s">
        <v>80</v>
      </c>
      <c r="E791" s="109" t="s">
        <v>173</v>
      </c>
      <c r="F791" s="109">
        <v>2016</v>
      </c>
      <c r="G791" s="110">
        <v>43138.375</v>
      </c>
      <c r="H791" s="110">
        <v>43144.75</v>
      </c>
      <c r="I791" s="111">
        <v>43138</v>
      </c>
      <c r="J791" s="111">
        <v>43144</v>
      </c>
      <c r="K791" s="112" t="s">
        <v>525</v>
      </c>
      <c r="L791" s="112">
        <v>0.75</v>
      </c>
      <c r="M791" s="112" t="s">
        <v>540</v>
      </c>
      <c r="N791" s="112" t="s">
        <v>528</v>
      </c>
      <c r="O791" s="112" t="s">
        <v>669</v>
      </c>
      <c r="P791" s="109" t="s">
        <v>23</v>
      </c>
      <c r="Q791" s="109" t="s">
        <v>190</v>
      </c>
      <c r="R791" s="109" t="s">
        <v>109</v>
      </c>
      <c r="S791" s="109">
        <v>5</v>
      </c>
      <c r="T791" s="109">
        <v>11</v>
      </c>
      <c r="U791" s="139">
        <v>31</v>
      </c>
      <c r="V791" s="140">
        <v>341</v>
      </c>
    </row>
    <row r="792" spans="1:22" x14ac:dyDescent="0.25">
      <c r="A792" s="103" t="s">
        <v>600</v>
      </c>
      <c r="B792" s="104" t="s">
        <v>22</v>
      </c>
      <c r="C792" s="104" t="s">
        <v>176</v>
      </c>
      <c r="D792" s="104" t="s">
        <v>82</v>
      </c>
      <c r="E792" s="104" t="s">
        <v>172</v>
      </c>
      <c r="F792" s="104">
        <v>2016</v>
      </c>
      <c r="G792" s="105">
        <v>43139.333333333336</v>
      </c>
      <c r="H792" s="105">
        <v>43152.5</v>
      </c>
      <c r="I792" s="106">
        <v>43139</v>
      </c>
      <c r="J792" s="106">
        <v>43152</v>
      </c>
      <c r="K792" s="107" t="s">
        <v>522</v>
      </c>
      <c r="L792" s="107">
        <v>0.5</v>
      </c>
      <c r="M792" s="107" t="s">
        <v>539</v>
      </c>
      <c r="N792" s="107" t="s">
        <v>528</v>
      </c>
      <c r="O792" s="107" t="s">
        <v>669</v>
      </c>
      <c r="P792" s="104" t="s">
        <v>23</v>
      </c>
      <c r="Q792" s="104" t="s">
        <v>18</v>
      </c>
      <c r="R792" s="104" t="s">
        <v>113</v>
      </c>
      <c r="S792" s="104">
        <v>4</v>
      </c>
      <c r="T792" s="104">
        <v>12</v>
      </c>
      <c r="U792" s="137">
        <v>73</v>
      </c>
      <c r="V792" s="138">
        <v>876</v>
      </c>
    </row>
    <row r="793" spans="1:22" x14ac:dyDescent="0.25">
      <c r="A793" s="108" t="s">
        <v>601</v>
      </c>
      <c r="B793" s="109" t="s">
        <v>19</v>
      </c>
      <c r="C793" s="109" t="s">
        <v>176</v>
      </c>
      <c r="D793" s="109" t="s">
        <v>86</v>
      </c>
      <c r="E793" s="109" t="s">
        <v>169</v>
      </c>
      <c r="F793" s="109">
        <v>2016</v>
      </c>
      <c r="G793" s="110">
        <v>43139.333333333336</v>
      </c>
      <c r="H793" s="110">
        <v>43152.5</v>
      </c>
      <c r="I793" s="111">
        <v>43139</v>
      </c>
      <c r="J793" s="111">
        <v>43152</v>
      </c>
      <c r="K793" s="112" t="s">
        <v>522</v>
      </c>
      <c r="L793" s="112">
        <v>0.5</v>
      </c>
      <c r="M793" s="112" t="s">
        <v>539</v>
      </c>
      <c r="N793" s="112" t="s">
        <v>528</v>
      </c>
      <c r="O793" s="112" t="s">
        <v>669</v>
      </c>
      <c r="P793" s="109" t="s">
        <v>23</v>
      </c>
      <c r="Q793" s="109" t="s">
        <v>190</v>
      </c>
      <c r="R793" s="109" t="s">
        <v>109</v>
      </c>
      <c r="S793" s="109">
        <v>2</v>
      </c>
      <c r="T793" s="109">
        <v>12</v>
      </c>
      <c r="U793" s="139">
        <v>47</v>
      </c>
      <c r="V793" s="140">
        <v>564</v>
      </c>
    </row>
    <row r="794" spans="1:22" x14ac:dyDescent="0.25">
      <c r="A794" s="103" t="s">
        <v>602</v>
      </c>
      <c r="B794" s="104" t="s">
        <v>17</v>
      </c>
      <c r="C794" s="104" t="s">
        <v>176</v>
      </c>
      <c r="D794" s="104" t="s">
        <v>82</v>
      </c>
      <c r="E794" s="104" t="s">
        <v>172</v>
      </c>
      <c r="F794" s="104">
        <v>2016</v>
      </c>
      <c r="G794" s="105">
        <v>43140.375</v>
      </c>
      <c r="H794" s="105">
        <v>43145.75</v>
      </c>
      <c r="I794" s="106">
        <v>43140</v>
      </c>
      <c r="J794" s="106">
        <v>43145</v>
      </c>
      <c r="K794" s="107" t="s">
        <v>525</v>
      </c>
      <c r="L794" s="107">
        <v>0.75</v>
      </c>
      <c r="M794" s="107" t="s">
        <v>540</v>
      </c>
      <c r="N794" s="107" t="s">
        <v>528</v>
      </c>
      <c r="O794" s="107" t="s">
        <v>669</v>
      </c>
      <c r="P794" s="104" t="s">
        <v>9</v>
      </c>
      <c r="Q794" s="104" t="s">
        <v>37</v>
      </c>
      <c r="R794" s="104" t="s">
        <v>113</v>
      </c>
      <c r="S794" s="104">
        <v>4</v>
      </c>
      <c r="T794" s="104">
        <v>9</v>
      </c>
      <c r="U794" s="137">
        <v>73</v>
      </c>
      <c r="V794" s="138">
        <v>657</v>
      </c>
    </row>
    <row r="795" spans="1:22" x14ac:dyDescent="0.25">
      <c r="A795" s="108" t="s">
        <v>603</v>
      </c>
      <c r="B795" s="109" t="s">
        <v>29</v>
      </c>
      <c r="C795" s="109" t="s">
        <v>177</v>
      </c>
      <c r="D795" s="109" t="s">
        <v>80</v>
      </c>
      <c r="E795" s="109" t="s">
        <v>173</v>
      </c>
      <c r="F795" s="109">
        <v>2016</v>
      </c>
      <c r="G795" s="110">
        <v>43142.791666666664</v>
      </c>
      <c r="H795" s="110">
        <v>43153.958333333336</v>
      </c>
      <c r="I795" s="111">
        <v>43142</v>
      </c>
      <c r="J795" s="111">
        <v>43153</v>
      </c>
      <c r="K795" s="112" t="s">
        <v>526</v>
      </c>
      <c r="L795" s="112">
        <v>0.95833333333333337</v>
      </c>
      <c r="M795" s="112" t="s">
        <v>541</v>
      </c>
      <c r="N795" s="112" t="s">
        <v>528</v>
      </c>
      <c r="O795" s="112" t="s">
        <v>669</v>
      </c>
      <c r="P795" s="109" t="s">
        <v>23</v>
      </c>
      <c r="Q795" s="109" t="s">
        <v>16</v>
      </c>
      <c r="R795" s="109" t="s">
        <v>109</v>
      </c>
      <c r="S795" s="109">
        <v>2</v>
      </c>
      <c r="T795" s="109">
        <v>9</v>
      </c>
      <c r="U795" s="139">
        <v>31</v>
      </c>
      <c r="V795" s="140">
        <v>279</v>
      </c>
    </row>
    <row r="796" spans="1:22" x14ac:dyDescent="0.25">
      <c r="A796" s="103" t="s">
        <v>604</v>
      </c>
      <c r="B796" s="104" t="s">
        <v>22</v>
      </c>
      <c r="C796" s="104" t="s">
        <v>176</v>
      </c>
      <c r="D796" s="104" t="s">
        <v>77</v>
      </c>
      <c r="E796" s="104" t="s">
        <v>172</v>
      </c>
      <c r="F796" s="104">
        <v>2016</v>
      </c>
      <c r="G796" s="105">
        <v>43143.791666666664</v>
      </c>
      <c r="H796" s="105">
        <v>43156.958333333336</v>
      </c>
      <c r="I796" s="106">
        <v>43143</v>
      </c>
      <c r="J796" s="106">
        <v>43156</v>
      </c>
      <c r="K796" s="107" t="s">
        <v>526</v>
      </c>
      <c r="L796" s="107">
        <v>0.95833333333333337</v>
      </c>
      <c r="M796" s="107" t="s">
        <v>541</v>
      </c>
      <c r="N796" s="107" t="s">
        <v>528</v>
      </c>
      <c r="O796" s="107" t="s">
        <v>669</v>
      </c>
      <c r="P796" s="104" t="s">
        <v>9</v>
      </c>
      <c r="Q796" s="104" t="s">
        <v>16</v>
      </c>
      <c r="R796" s="104" t="s">
        <v>109</v>
      </c>
      <c r="S796" s="104">
        <v>3</v>
      </c>
      <c r="T796" s="104">
        <v>10</v>
      </c>
      <c r="U796" s="137">
        <v>33</v>
      </c>
      <c r="V796" s="138">
        <v>330</v>
      </c>
    </row>
    <row r="797" spans="1:22" x14ac:dyDescent="0.25">
      <c r="A797" s="108" t="s">
        <v>605</v>
      </c>
      <c r="B797" s="109" t="s">
        <v>17</v>
      </c>
      <c r="C797" s="109" t="s">
        <v>176</v>
      </c>
      <c r="D797" s="109" t="s">
        <v>77</v>
      </c>
      <c r="E797" s="109" t="s">
        <v>172</v>
      </c>
      <c r="F797" s="109">
        <v>2016</v>
      </c>
      <c r="G797" s="110">
        <v>43143.791666666664</v>
      </c>
      <c r="H797" s="110">
        <v>43156.958333333336</v>
      </c>
      <c r="I797" s="111">
        <v>43143</v>
      </c>
      <c r="J797" s="111">
        <v>43156</v>
      </c>
      <c r="K797" s="112" t="s">
        <v>526</v>
      </c>
      <c r="L797" s="112">
        <v>0.95833333333333337</v>
      </c>
      <c r="M797" s="112" t="s">
        <v>541</v>
      </c>
      <c r="N797" s="112" t="s">
        <v>528</v>
      </c>
      <c r="O797" s="112" t="s">
        <v>669</v>
      </c>
      <c r="P797" s="109" t="s">
        <v>23</v>
      </c>
      <c r="Q797" s="109" t="s">
        <v>38</v>
      </c>
      <c r="R797" s="109" t="s">
        <v>113</v>
      </c>
      <c r="S797" s="109">
        <v>5</v>
      </c>
      <c r="T797" s="109">
        <v>11</v>
      </c>
      <c r="U797" s="139">
        <v>33</v>
      </c>
      <c r="V797" s="140">
        <v>363</v>
      </c>
    </row>
    <row r="798" spans="1:22" x14ac:dyDescent="0.25">
      <c r="A798" s="103" t="s">
        <v>606</v>
      </c>
      <c r="B798" s="104" t="s">
        <v>19</v>
      </c>
      <c r="C798" s="104" t="s">
        <v>176</v>
      </c>
      <c r="D798" s="104" t="s">
        <v>86</v>
      </c>
      <c r="E798" s="104" t="s">
        <v>169</v>
      </c>
      <c r="F798" s="104">
        <v>2016</v>
      </c>
      <c r="G798" s="105">
        <v>43144.583333333336</v>
      </c>
      <c r="H798" s="105">
        <v>43157.75</v>
      </c>
      <c r="I798" s="106">
        <v>43144</v>
      </c>
      <c r="J798" s="106">
        <v>43157</v>
      </c>
      <c r="K798" s="107" t="s">
        <v>527</v>
      </c>
      <c r="L798" s="107">
        <v>0.75</v>
      </c>
      <c r="M798" s="107" t="s">
        <v>542</v>
      </c>
      <c r="N798" s="107" t="s">
        <v>528</v>
      </c>
      <c r="O798" s="107" t="s">
        <v>669</v>
      </c>
      <c r="P798" s="104" t="s">
        <v>9</v>
      </c>
      <c r="Q798" s="104" t="s">
        <v>12</v>
      </c>
      <c r="R798" s="104" t="s">
        <v>113</v>
      </c>
      <c r="S798" s="104">
        <v>2</v>
      </c>
      <c r="T798" s="104">
        <v>12</v>
      </c>
      <c r="U798" s="137">
        <v>47</v>
      </c>
      <c r="V798" s="138">
        <v>564</v>
      </c>
    </row>
    <row r="799" spans="1:22" x14ac:dyDescent="0.25">
      <c r="A799" s="108" t="s">
        <v>607</v>
      </c>
      <c r="B799" s="109" t="s">
        <v>11</v>
      </c>
      <c r="C799" s="109" t="s">
        <v>175</v>
      </c>
      <c r="D799" s="109" t="s">
        <v>82</v>
      </c>
      <c r="E799" s="109" t="s">
        <v>172</v>
      </c>
      <c r="F799" s="109">
        <v>2016</v>
      </c>
      <c r="G799" s="110">
        <v>43144.583333333336</v>
      </c>
      <c r="H799" s="110">
        <v>43157.75</v>
      </c>
      <c r="I799" s="111">
        <v>43144</v>
      </c>
      <c r="J799" s="111">
        <v>43157</v>
      </c>
      <c r="K799" s="112" t="s">
        <v>527</v>
      </c>
      <c r="L799" s="112">
        <v>0.75</v>
      </c>
      <c r="M799" s="112" t="s">
        <v>542</v>
      </c>
      <c r="N799" s="112" t="s">
        <v>528</v>
      </c>
      <c r="O799" s="112" t="s">
        <v>669</v>
      </c>
      <c r="P799" s="109" t="s">
        <v>23</v>
      </c>
      <c r="Q799" s="109" t="s">
        <v>16</v>
      </c>
      <c r="R799" s="109" t="s">
        <v>109</v>
      </c>
      <c r="S799" s="109">
        <v>3</v>
      </c>
      <c r="T799" s="109">
        <v>11</v>
      </c>
      <c r="U799" s="139">
        <v>73</v>
      </c>
      <c r="V799" s="140">
        <v>803</v>
      </c>
    </row>
    <row r="800" spans="1:22" x14ac:dyDescent="0.25">
      <c r="A800" s="103" t="s">
        <v>608</v>
      </c>
      <c r="B800" s="104" t="s">
        <v>29</v>
      </c>
      <c r="C800" s="104" t="s">
        <v>177</v>
      </c>
      <c r="D800" s="104" t="s">
        <v>84</v>
      </c>
      <c r="E800" s="104" t="s">
        <v>172</v>
      </c>
      <c r="F800" s="104">
        <v>2016</v>
      </c>
      <c r="G800" s="105">
        <v>43146.333333333336</v>
      </c>
      <c r="H800" s="105">
        <v>43159.5</v>
      </c>
      <c r="I800" s="106">
        <v>43146</v>
      </c>
      <c r="J800" s="106">
        <v>43159</v>
      </c>
      <c r="K800" s="107" t="s">
        <v>522</v>
      </c>
      <c r="L800" s="107">
        <v>0.5</v>
      </c>
      <c r="M800" s="107" t="s">
        <v>539</v>
      </c>
      <c r="N800" s="107" t="s">
        <v>528</v>
      </c>
      <c r="O800" s="107" t="s">
        <v>669</v>
      </c>
      <c r="P800" s="104" t="s">
        <v>23</v>
      </c>
      <c r="Q800" s="104" t="s">
        <v>16</v>
      </c>
      <c r="R800" s="104" t="s">
        <v>109</v>
      </c>
      <c r="S800" s="104">
        <v>4</v>
      </c>
      <c r="T800" s="104">
        <v>12</v>
      </c>
      <c r="U800" s="137">
        <v>51</v>
      </c>
      <c r="V800" s="138">
        <v>612</v>
      </c>
    </row>
    <row r="801" spans="1:22" x14ac:dyDescent="0.25">
      <c r="A801" s="108" t="s">
        <v>609</v>
      </c>
      <c r="B801" s="109" t="s">
        <v>19</v>
      </c>
      <c r="C801" s="109" t="s">
        <v>176</v>
      </c>
      <c r="D801" s="109" t="s">
        <v>85</v>
      </c>
      <c r="E801" s="109" t="s">
        <v>170</v>
      </c>
      <c r="F801" s="109">
        <v>2016</v>
      </c>
      <c r="G801" s="110">
        <v>43146.333333333336</v>
      </c>
      <c r="H801" s="110">
        <v>43159.5</v>
      </c>
      <c r="I801" s="111">
        <v>43146</v>
      </c>
      <c r="J801" s="111">
        <v>43159</v>
      </c>
      <c r="K801" s="112" t="s">
        <v>522</v>
      </c>
      <c r="L801" s="112">
        <v>0.5</v>
      </c>
      <c r="M801" s="112" t="s">
        <v>539</v>
      </c>
      <c r="N801" s="112" t="s">
        <v>528</v>
      </c>
      <c r="O801" s="112" t="s">
        <v>669</v>
      </c>
      <c r="P801" s="109" t="s">
        <v>9</v>
      </c>
      <c r="Q801" s="109" t="s">
        <v>16</v>
      </c>
      <c r="R801" s="109" t="s">
        <v>109</v>
      </c>
      <c r="S801" s="109">
        <v>3</v>
      </c>
      <c r="T801" s="109">
        <v>8</v>
      </c>
      <c r="U801" s="139">
        <v>47</v>
      </c>
      <c r="V801" s="140">
        <v>376</v>
      </c>
    </row>
    <row r="802" spans="1:22" x14ac:dyDescent="0.25">
      <c r="A802" s="103" t="s">
        <v>610</v>
      </c>
      <c r="B802" s="104" t="s">
        <v>11</v>
      </c>
      <c r="C802" s="104" t="s">
        <v>175</v>
      </c>
      <c r="D802" s="104" t="s">
        <v>83</v>
      </c>
      <c r="E802" s="104" t="s">
        <v>174</v>
      </c>
      <c r="F802" s="104">
        <v>2016</v>
      </c>
      <c r="G802" s="105">
        <v>43147.375</v>
      </c>
      <c r="H802" s="105">
        <v>43152.75</v>
      </c>
      <c r="I802" s="106">
        <v>43147</v>
      </c>
      <c r="J802" s="106">
        <v>43152</v>
      </c>
      <c r="K802" s="107" t="s">
        <v>525</v>
      </c>
      <c r="L802" s="107">
        <v>0.75</v>
      </c>
      <c r="M802" s="107" t="s">
        <v>540</v>
      </c>
      <c r="N802" s="107" t="s">
        <v>528</v>
      </c>
      <c r="O802" s="107" t="s">
        <v>669</v>
      </c>
      <c r="P802" s="104" t="s">
        <v>23</v>
      </c>
      <c r="Q802" s="104" t="s">
        <v>33</v>
      </c>
      <c r="R802" s="104" t="s">
        <v>113</v>
      </c>
      <c r="S802" s="104">
        <v>4</v>
      </c>
      <c r="T802" s="104">
        <v>12</v>
      </c>
      <c r="U802" s="137">
        <v>62</v>
      </c>
      <c r="V802" s="138">
        <v>744</v>
      </c>
    </row>
    <row r="803" spans="1:22" x14ac:dyDescent="0.25">
      <c r="A803" s="108" t="s">
        <v>611</v>
      </c>
      <c r="B803" s="109" t="s">
        <v>7</v>
      </c>
      <c r="C803" s="109" t="s">
        <v>175</v>
      </c>
      <c r="D803" s="109" t="s">
        <v>83</v>
      </c>
      <c r="E803" s="109" t="s">
        <v>174</v>
      </c>
      <c r="F803" s="109">
        <v>2016</v>
      </c>
      <c r="G803" s="110">
        <v>43147.375</v>
      </c>
      <c r="H803" s="110">
        <v>43152.75</v>
      </c>
      <c r="I803" s="111">
        <v>43147</v>
      </c>
      <c r="J803" s="111">
        <v>43152</v>
      </c>
      <c r="K803" s="112" t="s">
        <v>525</v>
      </c>
      <c r="L803" s="112">
        <v>0.75</v>
      </c>
      <c r="M803" s="112" t="s">
        <v>540</v>
      </c>
      <c r="N803" s="112" t="s">
        <v>528</v>
      </c>
      <c r="O803" s="112" t="s">
        <v>669</v>
      </c>
      <c r="P803" s="109" t="s">
        <v>9</v>
      </c>
      <c r="Q803" s="109" t="s">
        <v>190</v>
      </c>
      <c r="R803" s="109" t="s">
        <v>109</v>
      </c>
      <c r="S803" s="109">
        <v>2</v>
      </c>
      <c r="T803" s="109">
        <v>12</v>
      </c>
      <c r="U803" s="139">
        <v>62</v>
      </c>
      <c r="V803" s="140">
        <v>744</v>
      </c>
    </row>
    <row r="804" spans="1:22" x14ac:dyDescent="0.25">
      <c r="A804" s="103" t="s">
        <v>612</v>
      </c>
      <c r="B804" s="104" t="s">
        <v>11</v>
      </c>
      <c r="C804" s="104" t="s">
        <v>175</v>
      </c>
      <c r="D804" s="104" t="s">
        <v>79</v>
      </c>
      <c r="E804" s="104" t="s">
        <v>168</v>
      </c>
      <c r="F804" s="104">
        <v>2016</v>
      </c>
      <c r="G804" s="105">
        <v>43149.791666666664</v>
      </c>
      <c r="H804" s="105">
        <v>43160.958333333336</v>
      </c>
      <c r="I804" s="106">
        <v>43149</v>
      </c>
      <c r="J804" s="106">
        <v>43160</v>
      </c>
      <c r="K804" s="107" t="s">
        <v>526</v>
      </c>
      <c r="L804" s="107">
        <v>0.95833333333333337</v>
      </c>
      <c r="M804" s="107" t="s">
        <v>541</v>
      </c>
      <c r="N804" s="107" t="s">
        <v>528</v>
      </c>
      <c r="O804" s="107" t="s">
        <v>669</v>
      </c>
      <c r="P804" s="104" t="s">
        <v>23</v>
      </c>
      <c r="Q804" s="104" t="s">
        <v>28</v>
      </c>
      <c r="R804" s="104" t="s">
        <v>109</v>
      </c>
      <c r="S804" s="104">
        <v>5</v>
      </c>
      <c r="T804" s="104">
        <v>12</v>
      </c>
      <c r="U804" s="137">
        <v>47</v>
      </c>
      <c r="V804" s="138">
        <v>564</v>
      </c>
    </row>
    <row r="805" spans="1:22" x14ac:dyDescent="0.25">
      <c r="A805" s="108" t="s">
        <v>613</v>
      </c>
      <c r="B805" s="109" t="s">
        <v>29</v>
      </c>
      <c r="C805" s="109" t="s">
        <v>177</v>
      </c>
      <c r="D805" s="109" t="s">
        <v>80</v>
      </c>
      <c r="E805" s="109" t="s">
        <v>173</v>
      </c>
      <c r="F805" s="109">
        <v>2016</v>
      </c>
      <c r="G805" s="110">
        <v>43150.791666666664</v>
      </c>
      <c r="H805" s="110">
        <v>43163.958333333336</v>
      </c>
      <c r="I805" s="111">
        <v>43150</v>
      </c>
      <c r="J805" s="111">
        <v>43163</v>
      </c>
      <c r="K805" s="112" t="s">
        <v>526</v>
      </c>
      <c r="L805" s="112">
        <v>0.95833333333333337</v>
      </c>
      <c r="M805" s="112" t="s">
        <v>541</v>
      </c>
      <c r="N805" s="112" t="s">
        <v>528</v>
      </c>
      <c r="O805" s="112" t="s">
        <v>669</v>
      </c>
      <c r="P805" s="109" t="s">
        <v>23</v>
      </c>
      <c r="Q805" s="109" t="s">
        <v>31</v>
      </c>
      <c r="R805" s="109" t="s">
        <v>113</v>
      </c>
      <c r="S805" s="109">
        <v>5</v>
      </c>
      <c r="T805" s="109">
        <v>8</v>
      </c>
      <c r="U805" s="139">
        <v>31</v>
      </c>
      <c r="V805" s="140">
        <v>248</v>
      </c>
    </row>
    <row r="806" spans="1:22" x14ac:dyDescent="0.25">
      <c r="A806" s="103" t="s">
        <v>614</v>
      </c>
      <c r="B806" s="104" t="s">
        <v>11</v>
      </c>
      <c r="C806" s="104" t="s">
        <v>175</v>
      </c>
      <c r="D806" s="104" t="s">
        <v>80</v>
      </c>
      <c r="E806" s="104" t="s">
        <v>173</v>
      </c>
      <c r="F806" s="104">
        <v>2016</v>
      </c>
      <c r="G806" s="105">
        <v>43150.791666666664</v>
      </c>
      <c r="H806" s="105">
        <v>43163.958333333336</v>
      </c>
      <c r="I806" s="106">
        <v>43150</v>
      </c>
      <c r="J806" s="106">
        <v>43163</v>
      </c>
      <c r="K806" s="107" t="s">
        <v>526</v>
      </c>
      <c r="L806" s="107">
        <v>0.95833333333333337</v>
      </c>
      <c r="M806" s="107" t="s">
        <v>541</v>
      </c>
      <c r="N806" s="107" t="s">
        <v>528</v>
      </c>
      <c r="O806" s="107" t="s">
        <v>669</v>
      </c>
      <c r="P806" s="104" t="s">
        <v>23</v>
      </c>
      <c r="Q806" s="104" t="s">
        <v>18</v>
      </c>
      <c r="R806" s="104" t="s">
        <v>113</v>
      </c>
      <c r="S806" s="104">
        <v>3</v>
      </c>
      <c r="T806" s="104">
        <v>11</v>
      </c>
      <c r="U806" s="137">
        <v>31</v>
      </c>
      <c r="V806" s="138">
        <v>341</v>
      </c>
    </row>
    <row r="807" spans="1:22" x14ac:dyDescent="0.25">
      <c r="A807" s="108" t="s">
        <v>615</v>
      </c>
      <c r="B807" s="109" t="s">
        <v>29</v>
      </c>
      <c r="C807" s="109" t="s">
        <v>177</v>
      </c>
      <c r="D807" s="109" t="s">
        <v>77</v>
      </c>
      <c r="E807" s="109" t="s">
        <v>172</v>
      </c>
      <c r="F807" s="109">
        <v>2016</v>
      </c>
      <c r="G807" s="110">
        <v>43150.791666666664</v>
      </c>
      <c r="H807" s="110">
        <v>43163.958333333336</v>
      </c>
      <c r="I807" s="111">
        <v>43150</v>
      </c>
      <c r="J807" s="111">
        <v>43163</v>
      </c>
      <c r="K807" s="112" t="s">
        <v>526</v>
      </c>
      <c r="L807" s="112">
        <v>0.95833333333333337</v>
      </c>
      <c r="M807" s="112" t="s">
        <v>541</v>
      </c>
      <c r="N807" s="112" t="s">
        <v>528</v>
      </c>
      <c r="O807" s="112" t="s">
        <v>669</v>
      </c>
      <c r="P807" s="109" t="s">
        <v>9</v>
      </c>
      <c r="Q807" s="109" t="s">
        <v>33</v>
      </c>
      <c r="R807" s="109" t="s">
        <v>113</v>
      </c>
      <c r="S807" s="109">
        <v>3</v>
      </c>
      <c r="T807" s="109">
        <v>11</v>
      </c>
      <c r="U807" s="139">
        <v>33</v>
      </c>
      <c r="V807" s="140">
        <v>363</v>
      </c>
    </row>
    <row r="808" spans="1:22" x14ac:dyDescent="0.25">
      <c r="A808" s="103" t="s">
        <v>616</v>
      </c>
      <c r="B808" s="104" t="s">
        <v>29</v>
      </c>
      <c r="C808" s="104" t="s">
        <v>177</v>
      </c>
      <c r="D808" s="104" t="s">
        <v>83</v>
      </c>
      <c r="E808" s="104" t="s">
        <v>174</v>
      </c>
      <c r="F808" s="104">
        <v>2016</v>
      </c>
      <c r="G808" s="105">
        <v>43150.791666666664</v>
      </c>
      <c r="H808" s="105">
        <v>43163.958333333336</v>
      </c>
      <c r="I808" s="106">
        <v>43150</v>
      </c>
      <c r="J808" s="106">
        <v>43163</v>
      </c>
      <c r="K808" s="107" t="s">
        <v>526</v>
      </c>
      <c r="L808" s="107">
        <v>0.95833333333333337</v>
      </c>
      <c r="M808" s="107" t="s">
        <v>541</v>
      </c>
      <c r="N808" s="107" t="s">
        <v>528</v>
      </c>
      <c r="O808" s="107" t="s">
        <v>669</v>
      </c>
      <c r="P808" s="104" t="s">
        <v>9</v>
      </c>
      <c r="Q808" s="104" t="s">
        <v>26</v>
      </c>
      <c r="R808" s="104" t="s">
        <v>113</v>
      </c>
      <c r="S808" s="104">
        <v>3</v>
      </c>
      <c r="T808" s="104">
        <v>12</v>
      </c>
      <c r="U808" s="137">
        <v>62</v>
      </c>
      <c r="V808" s="138">
        <v>744</v>
      </c>
    </row>
    <row r="809" spans="1:22" x14ac:dyDescent="0.25">
      <c r="A809" s="108" t="s">
        <v>617</v>
      </c>
      <c r="B809" s="109" t="s">
        <v>17</v>
      </c>
      <c r="C809" s="109" t="s">
        <v>176</v>
      </c>
      <c r="D809" s="109" t="s">
        <v>88</v>
      </c>
      <c r="E809" s="109" t="s">
        <v>170</v>
      </c>
      <c r="F809" s="109">
        <v>2016</v>
      </c>
      <c r="G809" s="110">
        <v>43151.583333333336</v>
      </c>
      <c r="H809" s="110">
        <v>43164.75</v>
      </c>
      <c r="I809" s="111">
        <v>43151</v>
      </c>
      <c r="J809" s="111">
        <v>43164</v>
      </c>
      <c r="K809" s="112" t="s">
        <v>527</v>
      </c>
      <c r="L809" s="112">
        <v>0.75</v>
      </c>
      <c r="M809" s="112" t="s">
        <v>542</v>
      </c>
      <c r="N809" s="112" t="s">
        <v>528</v>
      </c>
      <c r="O809" s="112" t="s">
        <v>669</v>
      </c>
      <c r="P809" s="109" t="s">
        <v>23</v>
      </c>
      <c r="Q809" s="109" t="s">
        <v>38</v>
      </c>
      <c r="R809" s="109" t="s">
        <v>113</v>
      </c>
      <c r="S809" s="109">
        <v>3</v>
      </c>
      <c r="T809" s="109">
        <v>10</v>
      </c>
      <c r="U809" s="139">
        <v>41</v>
      </c>
      <c r="V809" s="140">
        <v>410</v>
      </c>
    </row>
    <row r="810" spans="1:22" x14ac:dyDescent="0.25">
      <c r="A810" s="103" t="s">
        <v>618</v>
      </c>
      <c r="B810" s="104" t="s">
        <v>17</v>
      </c>
      <c r="C810" s="104" t="s">
        <v>176</v>
      </c>
      <c r="D810" s="104" t="s">
        <v>80</v>
      </c>
      <c r="E810" s="104" t="s">
        <v>173</v>
      </c>
      <c r="F810" s="104">
        <v>2016</v>
      </c>
      <c r="G810" s="105">
        <v>43151.583333333336</v>
      </c>
      <c r="H810" s="105">
        <v>43164.75</v>
      </c>
      <c r="I810" s="106">
        <v>43151</v>
      </c>
      <c r="J810" s="106">
        <v>43164</v>
      </c>
      <c r="K810" s="107" t="s">
        <v>527</v>
      </c>
      <c r="L810" s="107">
        <v>0.75</v>
      </c>
      <c r="M810" s="107" t="s">
        <v>542</v>
      </c>
      <c r="N810" s="107" t="s">
        <v>528</v>
      </c>
      <c r="O810" s="107" t="s">
        <v>669</v>
      </c>
      <c r="P810" s="104" t="s">
        <v>23</v>
      </c>
      <c r="Q810" s="104" t="s">
        <v>12</v>
      </c>
      <c r="R810" s="104" t="s">
        <v>113</v>
      </c>
      <c r="S810" s="104">
        <v>5</v>
      </c>
      <c r="T810" s="104">
        <v>12</v>
      </c>
      <c r="U810" s="137">
        <v>31</v>
      </c>
      <c r="V810" s="138">
        <v>372</v>
      </c>
    </row>
    <row r="811" spans="1:22" x14ac:dyDescent="0.25">
      <c r="A811" s="108" t="s">
        <v>619</v>
      </c>
      <c r="B811" s="109" t="s">
        <v>7</v>
      </c>
      <c r="C811" s="109" t="s">
        <v>175</v>
      </c>
      <c r="D811" s="109" t="s">
        <v>88</v>
      </c>
      <c r="E811" s="109" t="s">
        <v>170</v>
      </c>
      <c r="F811" s="109">
        <v>2016</v>
      </c>
      <c r="G811" s="110">
        <v>43151.583333333336</v>
      </c>
      <c r="H811" s="110">
        <v>43164.75</v>
      </c>
      <c r="I811" s="111">
        <v>43151</v>
      </c>
      <c r="J811" s="111">
        <v>43164</v>
      </c>
      <c r="K811" s="112" t="s">
        <v>527</v>
      </c>
      <c r="L811" s="112">
        <v>0.75</v>
      </c>
      <c r="M811" s="112" t="s">
        <v>542</v>
      </c>
      <c r="N811" s="112" t="s">
        <v>528</v>
      </c>
      <c r="O811" s="112" t="s">
        <v>669</v>
      </c>
      <c r="P811" s="109" t="s">
        <v>23</v>
      </c>
      <c r="Q811" s="109" t="s">
        <v>44</v>
      </c>
      <c r="R811" s="109" t="s">
        <v>113</v>
      </c>
      <c r="S811" s="109">
        <v>3</v>
      </c>
      <c r="T811" s="109">
        <v>11</v>
      </c>
      <c r="U811" s="139">
        <v>41</v>
      </c>
      <c r="V811" s="140">
        <v>451</v>
      </c>
    </row>
    <row r="812" spans="1:22" x14ac:dyDescent="0.25">
      <c r="A812" s="103" t="s">
        <v>620</v>
      </c>
      <c r="B812" s="104" t="s">
        <v>7</v>
      </c>
      <c r="C812" s="104" t="s">
        <v>175</v>
      </c>
      <c r="D812" s="104" t="s">
        <v>84</v>
      </c>
      <c r="E812" s="104" t="s">
        <v>172</v>
      </c>
      <c r="F812" s="104">
        <v>2016</v>
      </c>
      <c r="G812" s="105">
        <v>43152.375</v>
      </c>
      <c r="H812" s="105">
        <v>43158.75</v>
      </c>
      <c r="I812" s="106">
        <v>43152</v>
      </c>
      <c r="J812" s="106">
        <v>43158</v>
      </c>
      <c r="K812" s="107" t="s">
        <v>525</v>
      </c>
      <c r="L812" s="107">
        <v>0.75</v>
      </c>
      <c r="M812" s="107" t="s">
        <v>540</v>
      </c>
      <c r="N812" s="107" t="s">
        <v>528</v>
      </c>
      <c r="O812" s="107" t="s">
        <v>669</v>
      </c>
      <c r="P812" s="104" t="s">
        <v>23</v>
      </c>
      <c r="Q812" s="104" t="s">
        <v>37</v>
      </c>
      <c r="R812" s="104" t="s">
        <v>113</v>
      </c>
      <c r="S812" s="104">
        <v>5</v>
      </c>
      <c r="T812" s="104">
        <v>11</v>
      </c>
      <c r="U812" s="137">
        <v>51</v>
      </c>
      <c r="V812" s="138">
        <v>561</v>
      </c>
    </row>
    <row r="813" spans="1:22" x14ac:dyDescent="0.25">
      <c r="A813" s="108" t="s">
        <v>621</v>
      </c>
      <c r="B813" s="109" t="s">
        <v>29</v>
      </c>
      <c r="C813" s="109" t="s">
        <v>177</v>
      </c>
      <c r="D813" s="109" t="s">
        <v>80</v>
      </c>
      <c r="E813" s="109" t="s">
        <v>173</v>
      </c>
      <c r="F813" s="109">
        <v>2016</v>
      </c>
      <c r="G813" s="110">
        <v>43153.333333333336</v>
      </c>
      <c r="H813" s="110">
        <v>43166.5</v>
      </c>
      <c r="I813" s="111">
        <v>43153</v>
      </c>
      <c r="J813" s="111">
        <v>43166</v>
      </c>
      <c r="K813" s="112" t="s">
        <v>522</v>
      </c>
      <c r="L813" s="112">
        <v>0.5</v>
      </c>
      <c r="M813" s="112" t="s">
        <v>539</v>
      </c>
      <c r="N813" s="112" t="s">
        <v>528</v>
      </c>
      <c r="O813" s="112" t="s">
        <v>669</v>
      </c>
      <c r="P813" s="109" t="s">
        <v>23</v>
      </c>
      <c r="Q813" s="109" t="s">
        <v>31</v>
      </c>
      <c r="R813" s="109" t="s">
        <v>113</v>
      </c>
      <c r="S813" s="109">
        <v>5</v>
      </c>
      <c r="T813" s="109">
        <v>9</v>
      </c>
      <c r="U813" s="139">
        <v>31</v>
      </c>
      <c r="V813" s="140">
        <v>279</v>
      </c>
    </row>
    <row r="814" spans="1:22" x14ac:dyDescent="0.25">
      <c r="A814" s="103" t="s">
        <v>622</v>
      </c>
      <c r="B814" s="104" t="s">
        <v>11</v>
      </c>
      <c r="C814" s="104" t="s">
        <v>175</v>
      </c>
      <c r="D814" s="104" t="s">
        <v>89</v>
      </c>
      <c r="E814" s="104" t="s">
        <v>169</v>
      </c>
      <c r="F814" s="104">
        <v>2016</v>
      </c>
      <c r="G814" s="105">
        <v>43153.333333333336</v>
      </c>
      <c r="H814" s="105">
        <v>43166.5</v>
      </c>
      <c r="I814" s="106">
        <v>43153</v>
      </c>
      <c r="J814" s="106">
        <v>43166</v>
      </c>
      <c r="K814" s="107" t="s">
        <v>522</v>
      </c>
      <c r="L814" s="107">
        <v>0.5</v>
      </c>
      <c r="M814" s="107" t="s">
        <v>539</v>
      </c>
      <c r="N814" s="107" t="s">
        <v>528</v>
      </c>
      <c r="O814" s="107" t="s">
        <v>669</v>
      </c>
      <c r="P814" s="104" t="s">
        <v>9</v>
      </c>
      <c r="Q814" s="104" t="s">
        <v>24</v>
      </c>
      <c r="R814" s="104" t="s">
        <v>113</v>
      </c>
      <c r="S814" s="104">
        <v>2</v>
      </c>
      <c r="T814" s="104">
        <v>10</v>
      </c>
      <c r="U814" s="137">
        <v>61</v>
      </c>
      <c r="V814" s="138">
        <v>610</v>
      </c>
    </row>
    <row r="815" spans="1:22" x14ac:dyDescent="0.25">
      <c r="A815" s="108" t="s">
        <v>623</v>
      </c>
      <c r="B815" s="109" t="s">
        <v>17</v>
      </c>
      <c r="C815" s="109" t="s">
        <v>176</v>
      </c>
      <c r="D815" s="109" t="s">
        <v>76</v>
      </c>
      <c r="E815" s="109" t="s">
        <v>174</v>
      </c>
      <c r="F815" s="109">
        <v>2016</v>
      </c>
      <c r="G815" s="110">
        <v>43153.333333333336</v>
      </c>
      <c r="H815" s="110">
        <v>43166.5</v>
      </c>
      <c r="I815" s="111">
        <v>43153</v>
      </c>
      <c r="J815" s="111">
        <v>43166</v>
      </c>
      <c r="K815" s="112" t="s">
        <v>522</v>
      </c>
      <c r="L815" s="112">
        <v>0.5</v>
      </c>
      <c r="M815" s="112" t="s">
        <v>539</v>
      </c>
      <c r="N815" s="112" t="s">
        <v>528</v>
      </c>
      <c r="O815" s="112" t="s">
        <v>669</v>
      </c>
      <c r="P815" s="109" t="s">
        <v>9</v>
      </c>
      <c r="Q815" s="109" t="s">
        <v>12</v>
      </c>
      <c r="R815" s="109" t="s">
        <v>113</v>
      </c>
      <c r="S815" s="109">
        <v>5</v>
      </c>
      <c r="T815" s="109">
        <v>12</v>
      </c>
      <c r="U815" s="139">
        <v>52</v>
      </c>
      <c r="V815" s="140">
        <v>624</v>
      </c>
    </row>
    <row r="816" spans="1:22" x14ac:dyDescent="0.25">
      <c r="A816" s="103" t="s">
        <v>624</v>
      </c>
      <c r="B816" s="104" t="s">
        <v>29</v>
      </c>
      <c r="C816" s="104" t="s">
        <v>177</v>
      </c>
      <c r="D816" s="104" t="s">
        <v>77</v>
      </c>
      <c r="E816" s="104" t="s">
        <v>172</v>
      </c>
      <c r="F816" s="104">
        <v>2016</v>
      </c>
      <c r="G816" s="105">
        <v>43154.375</v>
      </c>
      <c r="H816" s="105">
        <v>43159.75</v>
      </c>
      <c r="I816" s="106">
        <v>43154</v>
      </c>
      <c r="J816" s="106">
        <v>43159</v>
      </c>
      <c r="K816" s="107" t="s">
        <v>525</v>
      </c>
      <c r="L816" s="107">
        <v>0.75</v>
      </c>
      <c r="M816" s="107" t="s">
        <v>540</v>
      </c>
      <c r="N816" s="107" t="s">
        <v>528</v>
      </c>
      <c r="O816" s="107" t="s">
        <v>669</v>
      </c>
      <c r="P816" s="104" t="s">
        <v>23</v>
      </c>
      <c r="Q816" s="104" t="s">
        <v>18</v>
      </c>
      <c r="R816" s="104" t="s">
        <v>113</v>
      </c>
      <c r="S816" s="104">
        <v>5</v>
      </c>
      <c r="T816" s="104">
        <v>8</v>
      </c>
      <c r="U816" s="137">
        <v>33</v>
      </c>
      <c r="V816" s="138">
        <v>264</v>
      </c>
    </row>
    <row r="817" spans="1:22" x14ac:dyDescent="0.25">
      <c r="A817" s="108" t="s">
        <v>625</v>
      </c>
      <c r="B817" s="109" t="s">
        <v>11</v>
      </c>
      <c r="C817" s="109" t="s">
        <v>175</v>
      </c>
      <c r="D817" s="109" t="s">
        <v>88</v>
      </c>
      <c r="E817" s="109" t="s">
        <v>170</v>
      </c>
      <c r="F817" s="109">
        <v>2016</v>
      </c>
      <c r="G817" s="110">
        <v>43154.375</v>
      </c>
      <c r="H817" s="110">
        <v>43159.75</v>
      </c>
      <c r="I817" s="111">
        <v>43154</v>
      </c>
      <c r="J817" s="111">
        <v>43159</v>
      </c>
      <c r="K817" s="112" t="s">
        <v>525</v>
      </c>
      <c r="L817" s="112">
        <v>0.75</v>
      </c>
      <c r="M817" s="112" t="s">
        <v>540</v>
      </c>
      <c r="N817" s="112" t="s">
        <v>528</v>
      </c>
      <c r="O817" s="112" t="s">
        <v>669</v>
      </c>
      <c r="P817" s="109" t="s">
        <v>9</v>
      </c>
      <c r="Q817" s="109" t="s">
        <v>26</v>
      </c>
      <c r="R817" s="109" t="s">
        <v>113</v>
      </c>
      <c r="S817" s="109">
        <v>5</v>
      </c>
      <c r="T817" s="109">
        <v>10</v>
      </c>
      <c r="U817" s="139">
        <v>41</v>
      </c>
      <c r="V817" s="140">
        <v>410</v>
      </c>
    </row>
    <row r="818" spans="1:22" x14ac:dyDescent="0.25">
      <c r="A818" s="103" t="s">
        <v>626</v>
      </c>
      <c r="B818" s="104" t="s">
        <v>29</v>
      </c>
      <c r="C818" s="104" t="s">
        <v>177</v>
      </c>
      <c r="D818" s="104" t="s">
        <v>89</v>
      </c>
      <c r="E818" s="104" t="s">
        <v>169</v>
      </c>
      <c r="F818" s="104">
        <v>2016</v>
      </c>
      <c r="G818" s="105">
        <v>43154.375</v>
      </c>
      <c r="H818" s="105">
        <v>43159.75</v>
      </c>
      <c r="I818" s="106">
        <v>43154</v>
      </c>
      <c r="J818" s="106">
        <v>43159</v>
      </c>
      <c r="K818" s="107" t="s">
        <v>525</v>
      </c>
      <c r="L818" s="107">
        <v>0.75</v>
      </c>
      <c r="M818" s="107" t="s">
        <v>540</v>
      </c>
      <c r="N818" s="107" t="s">
        <v>528</v>
      </c>
      <c r="O818" s="107" t="s">
        <v>669</v>
      </c>
      <c r="P818" s="104" t="s">
        <v>9</v>
      </c>
      <c r="Q818" s="104" t="s">
        <v>190</v>
      </c>
      <c r="R818" s="104" t="s">
        <v>109</v>
      </c>
      <c r="S818" s="104">
        <v>2</v>
      </c>
      <c r="T818" s="104">
        <v>10</v>
      </c>
      <c r="U818" s="137">
        <v>61</v>
      </c>
      <c r="V818" s="138">
        <v>610</v>
      </c>
    </row>
    <row r="819" spans="1:22" x14ac:dyDescent="0.25">
      <c r="A819" s="108" t="s">
        <v>627</v>
      </c>
      <c r="B819" s="109" t="s">
        <v>22</v>
      </c>
      <c r="C819" s="109" t="s">
        <v>176</v>
      </c>
      <c r="D819" s="109" t="s">
        <v>77</v>
      </c>
      <c r="E819" s="109" t="s">
        <v>172</v>
      </c>
      <c r="F819" s="109">
        <v>2016</v>
      </c>
      <c r="G819" s="110">
        <v>43156.791666666664</v>
      </c>
      <c r="H819" s="110">
        <v>43167.958333333336</v>
      </c>
      <c r="I819" s="111">
        <v>43156</v>
      </c>
      <c r="J819" s="111">
        <v>43167</v>
      </c>
      <c r="K819" s="112" t="s">
        <v>526</v>
      </c>
      <c r="L819" s="112">
        <v>0.95833333333333337</v>
      </c>
      <c r="M819" s="112" t="s">
        <v>541</v>
      </c>
      <c r="N819" s="112" t="s">
        <v>528</v>
      </c>
      <c r="O819" s="112" t="s">
        <v>669</v>
      </c>
      <c r="P819" s="109" t="s">
        <v>9</v>
      </c>
      <c r="Q819" s="109" t="s">
        <v>24</v>
      </c>
      <c r="R819" s="109" t="s">
        <v>113</v>
      </c>
      <c r="S819" s="109">
        <v>3</v>
      </c>
      <c r="T819" s="109">
        <v>8</v>
      </c>
      <c r="U819" s="139">
        <v>33</v>
      </c>
      <c r="V819" s="140">
        <v>264</v>
      </c>
    </row>
    <row r="820" spans="1:22" x14ac:dyDescent="0.25">
      <c r="A820" s="103" t="s">
        <v>628</v>
      </c>
      <c r="B820" s="104" t="s">
        <v>19</v>
      </c>
      <c r="C820" s="104" t="s">
        <v>176</v>
      </c>
      <c r="D820" s="104" t="s">
        <v>81</v>
      </c>
      <c r="E820" s="104" t="s">
        <v>172</v>
      </c>
      <c r="F820" s="104">
        <v>2016</v>
      </c>
      <c r="G820" s="105">
        <v>43157.791666666664</v>
      </c>
      <c r="H820" s="105">
        <v>43170.958333333336</v>
      </c>
      <c r="I820" s="106">
        <v>43157</v>
      </c>
      <c r="J820" s="106">
        <v>43170</v>
      </c>
      <c r="K820" s="107" t="s">
        <v>526</v>
      </c>
      <c r="L820" s="107">
        <v>0.95833333333333337</v>
      </c>
      <c r="M820" s="107" t="s">
        <v>541</v>
      </c>
      <c r="N820" s="107" t="s">
        <v>528</v>
      </c>
      <c r="O820" s="107" t="s">
        <v>669</v>
      </c>
      <c r="P820" s="104" t="s">
        <v>9</v>
      </c>
      <c r="Q820" s="104" t="s">
        <v>33</v>
      </c>
      <c r="R820" s="104" t="s">
        <v>113</v>
      </c>
      <c r="S820" s="104">
        <v>3</v>
      </c>
      <c r="T820" s="104">
        <v>12</v>
      </c>
      <c r="U820" s="137">
        <v>42</v>
      </c>
      <c r="V820" s="138">
        <v>504</v>
      </c>
    </row>
    <row r="821" spans="1:22" x14ac:dyDescent="0.25">
      <c r="A821" s="108" t="s">
        <v>629</v>
      </c>
      <c r="B821" s="109" t="s">
        <v>17</v>
      </c>
      <c r="C821" s="109" t="s">
        <v>176</v>
      </c>
      <c r="D821" s="109" t="s">
        <v>88</v>
      </c>
      <c r="E821" s="109" t="s">
        <v>170</v>
      </c>
      <c r="F821" s="109">
        <v>2016</v>
      </c>
      <c r="G821" s="110">
        <v>43158.583333333336</v>
      </c>
      <c r="H821" s="110">
        <v>43171.75</v>
      </c>
      <c r="I821" s="111">
        <v>43158</v>
      </c>
      <c r="J821" s="111">
        <v>43171</v>
      </c>
      <c r="K821" s="112" t="s">
        <v>527</v>
      </c>
      <c r="L821" s="112">
        <v>0.75</v>
      </c>
      <c r="M821" s="112" t="s">
        <v>542</v>
      </c>
      <c r="N821" s="112" t="s">
        <v>528</v>
      </c>
      <c r="O821" s="112" t="s">
        <v>669</v>
      </c>
      <c r="P821" s="109" t="s">
        <v>23</v>
      </c>
      <c r="Q821" s="109" t="s">
        <v>41</v>
      </c>
      <c r="R821" s="109" t="s">
        <v>113</v>
      </c>
      <c r="S821" s="109">
        <v>4</v>
      </c>
      <c r="T821" s="109">
        <v>12</v>
      </c>
      <c r="U821" s="139">
        <v>41</v>
      </c>
      <c r="V821" s="140">
        <v>492</v>
      </c>
    </row>
    <row r="822" spans="1:22" x14ac:dyDescent="0.25">
      <c r="A822" s="103" t="s">
        <v>630</v>
      </c>
      <c r="B822" s="104" t="s">
        <v>14</v>
      </c>
      <c r="C822" s="104" t="s">
        <v>175</v>
      </c>
      <c r="D822" s="104" t="s">
        <v>81</v>
      </c>
      <c r="E822" s="104" t="s">
        <v>172</v>
      </c>
      <c r="F822" s="104">
        <v>2016</v>
      </c>
      <c r="G822" s="105">
        <v>43158.583333333336</v>
      </c>
      <c r="H822" s="105">
        <v>43171.75</v>
      </c>
      <c r="I822" s="106">
        <v>43158</v>
      </c>
      <c r="J822" s="106">
        <v>43171</v>
      </c>
      <c r="K822" s="107" t="s">
        <v>527</v>
      </c>
      <c r="L822" s="107">
        <v>0.75</v>
      </c>
      <c r="M822" s="107" t="s">
        <v>542</v>
      </c>
      <c r="N822" s="107" t="s">
        <v>528</v>
      </c>
      <c r="O822" s="107" t="s">
        <v>669</v>
      </c>
      <c r="P822" s="104" t="s">
        <v>9</v>
      </c>
      <c r="Q822" s="104" t="s">
        <v>37</v>
      </c>
      <c r="R822" s="104" t="s">
        <v>113</v>
      </c>
      <c r="S822" s="104">
        <v>5</v>
      </c>
      <c r="T822" s="104">
        <v>8</v>
      </c>
      <c r="U822" s="137">
        <v>42</v>
      </c>
      <c r="V822" s="138">
        <v>336</v>
      </c>
    </row>
    <row r="823" spans="1:22" x14ac:dyDescent="0.25">
      <c r="A823" s="108" t="s">
        <v>631</v>
      </c>
      <c r="B823" s="109" t="s">
        <v>11</v>
      </c>
      <c r="C823" s="109" t="s">
        <v>175</v>
      </c>
      <c r="D823" s="109" t="s">
        <v>80</v>
      </c>
      <c r="E823" s="109" t="s">
        <v>173</v>
      </c>
      <c r="F823" s="109">
        <v>2016</v>
      </c>
      <c r="G823" s="110">
        <v>43159.375</v>
      </c>
      <c r="H823" s="110">
        <v>43165.75</v>
      </c>
      <c r="I823" s="111">
        <v>43159</v>
      </c>
      <c r="J823" s="111">
        <v>43165</v>
      </c>
      <c r="K823" s="112" t="s">
        <v>525</v>
      </c>
      <c r="L823" s="112">
        <v>0.75</v>
      </c>
      <c r="M823" s="112" t="s">
        <v>540</v>
      </c>
      <c r="N823" s="112" t="s">
        <v>528</v>
      </c>
      <c r="O823" s="112" t="s">
        <v>669</v>
      </c>
      <c r="P823" s="109" t="s">
        <v>9</v>
      </c>
      <c r="Q823" s="109" t="s">
        <v>22</v>
      </c>
      <c r="R823" s="109" t="s">
        <v>109</v>
      </c>
      <c r="S823" s="109">
        <v>5</v>
      </c>
      <c r="T823" s="109">
        <v>10</v>
      </c>
      <c r="U823" s="139">
        <v>31</v>
      </c>
      <c r="V823" s="140">
        <v>310</v>
      </c>
    </row>
    <row r="824" spans="1:22" x14ac:dyDescent="0.25">
      <c r="A824" s="103" t="s">
        <v>632</v>
      </c>
      <c r="B824" s="104" t="s">
        <v>22</v>
      </c>
      <c r="C824" s="104" t="s">
        <v>176</v>
      </c>
      <c r="D824" s="104" t="s">
        <v>83</v>
      </c>
      <c r="E824" s="104" t="s">
        <v>174</v>
      </c>
      <c r="F824" s="104">
        <v>2016</v>
      </c>
      <c r="G824" s="105">
        <v>43164.791666666664</v>
      </c>
      <c r="H824" s="105">
        <v>43177.958333333336</v>
      </c>
      <c r="I824" s="106">
        <v>43164</v>
      </c>
      <c r="J824" s="106">
        <v>43177</v>
      </c>
      <c r="K824" s="107" t="s">
        <v>526</v>
      </c>
      <c r="L824" s="107">
        <v>0.95833333333333337</v>
      </c>
      <c r="M824" s="107" t="s">
        <v>541</v>
      </c>
      <c r="N824" s="107" t="s">
        <v>529</v>
      </c>
      <c r="O824" s="107" t="s">
        <v>669</v>
      </c>
      <c r="P824" s="104" t="s">
        <v>23</v>
      </c>
      <c r="Q824" s="104" t="s">
        <v>16</v>
      </c>
      <c r="R824" s="104" t="s">
        <v>109</v>
      </c>
      <c r="S824" s="104">
        <v>4</v>
      </c>
      <c r="T824" s="104">
        <v>8</v>
      </c>
      <c r="U824" s="137">
        <v>62</v>
      </c>
      <c r="V824" s="138">
        <v>496</v>
      </c>
    </row>
    <row r="825" spans="1:22" x14ac:dyDescent="0.25">
      <c r="A825" s="108" t="s">
        <v>633</v>
      </c>
      <c r="B825" s="109" t="s">
        <v>11</v>
      </c>
      <c r="C825" s="109" t="s">
        <v>175</v>
      </c>
      <c r="D825" s="109" t="s">
        <v>82</v>
      </c>
      <c r="E825" s="109" t="s">
        <v>172</v>
      </c>
      <c r="F825" s="109">
        <v>2016</v>
      </c>
      <c r="G825" s="110">
        <v>43165.583333333336</v>
      </c>
      <c r="H825" s="110">
        <v>43178.75</v>
      </c>
      <c r="I825" s="111">
        <v>43165</v>
      </c>
      <c r="J825" s="111">
        <v>43178</v>
      </c>
      <c r="K825" s="112" t="s">
        <v>527</v>
      </c>
      <c r="L825" s="112">
        <v>0.75</v>
      </c>
      <c r="M825" s="112" t="s">
        <v>542</v>
      </c>
      <c r="N825" s="112" t="s">
        <v>529</v>
      </c>
      <c r="O825" s="112" t="s">
        <v>669</v>
      </c>
      <c r="P825" s="109" t="s">
        <v>23</v>
      </c>
      <c r="Q825" s="109" t="s">
        <v>38</v>
      </c>
      <c r="R825" s="109" t="s">
        <v>113</v>
      </c>
      <c r="S825" s="109">
        <v>5</v>
      </c>
      <c r="T825" s="109">
        <v>12</v>
      </c>
      <c r="U825" s="139">
        <v>73</v>
      </c>
      <c r="V825" s="140">
        <v>876</v>
      </c>
    </row>
    <row r="826" spans="1:22" x14ac:dyDescent="0.25">
      <c r="A826" s="103" t="s">
        <v>634</v>
      </c>
      <c r="B826" s="104" t="s">
        <v>45</v>
      </c>
      <c r="C826" s="104" t="s">
        <v>177</v>
      </c>
      <c r="D826" s="104" t="s">
        <v>79</v>
      </c>
      <c r="E826" s="104" t="s">
        <v>168</v>
      </c>
      <c r="F826" s="104">
        <v>2016</v>
      </c>
      <c r="G826" s="105">
        <v>43167.333333333336</v>
      </c>
      <c r="H826" s="105">
        <v>43180.5</v>
      </c>
      <c r="I826" s="106">
        <v>43167</v>
      </c>
      <c r="J826" s="106">
        <v>43180</v>
      </c>
      <c r="K826" s="107" t="s">
        <v>522</v>
      </c>
      <c r="L826" s="107">
        <v>0.5</v>
      </c>
      <c r="M826" s="107" t="s">
        <v>539</v>
      </c>
      <c r="N826" s="107" t="s">
        <v>529</v>
      </c>
      <c r="O826" s="107" t="s">
        <v>669</v>
      </c>
      <c r="P826" s="104" t="s">
        <v>9</v>
      </c>
      <c r="Q826" s="104" t="s">
        <v>41</v>
      </c>
      <c r="R826" s="104" t="s">
        <v>113</v>
      </c>
      <c r="S826" s="104">
        <v>3</v>
      </c>
      <c r="T826" s="104">
        <v>9</v>
      </c>
      <c r="U826" s="137">
        <v>47</v>
      </c>
      <c r="V826" s="138">
        <v>423</v>
      </c>
    </row>
    <row r="827" spans="1:22" x14ac:dyDescent="0.25">
      <c r="A827" s="108" t="s">
        <v>635</v>
      </c>
      <c r="B827" s="109" t="s">
        <v>17</v>
      </c>
      <c r="C827" s="109" t="s">
        <v>176</v>
      </c>
      <c r="D827" s="109" t="s">
        <v>88</v>
      </c>
      <c r="E827" s="109" t="s">
        <v>170</v>
      </c>
      <c r="F827" s="109">
        <v>2016</v>
      </c>
      <c r="G827" s="110">
        <v>43168.375</v>
      </c>
      <c r="H827" s="110">
        <v>43173.75</v>
      </c>
      <c r="I827" s="111">
        <v>43168</v>
      </c>
      <c r="J827" s="111">
        <v>43173</v>
      </c>
      <c r="K827" s="112" t="s">
        <v>525</v>
      </c>
      <c r="L827" s="112">
        <v>0.75</v>
      </c>
      <c r="M827" s="112" t="s">
        <v>540</v>
      </c>
      <c r="N827" s="112" t="s">
        <v>529</v>
      </c>
      <c r="O827" s="112" t="s">
        <v>669</v>
      </c>
      <c r="P827" s="109" t="s">
        <v>23</v>
      </c>
      <c r="Q827" s="109" t="s">
        <v>31</v>
      </c>
      <c r="R827" s="109" t="s">
        <v>113</v>
      </c>
      <c r="S827" s="109">
        <v>5</v>
      </c>
      <c r="T827" s="109">
        <v>9</v>
      </c>
      <c r="U827" s="139">
        <v>41</v>
      </c>
      <c r="V827" s="140">
        <v>369</v>
      </c>
    </row>
    <row r="828" spans="1:22" x14ac:dyDescent="0.25">
      <c r="A828" s="103" t="s">
        <v>636</v>
      </c>
      <c r="B828" s="104" t="s">
        <v>14</v>
      </c>
      <c r="C828" s="104" t="s">
        <v>175</v>
      </c>
      <c r="D828" s="104" t="s">
        <v>77</v>
      </c>
      <c r="E828" s="104" t="s">
        <v>172</v>
      </c>
      <c r="F828" s="104">
        <v>2016</v>
      </c>
      <c r="G828" s="105">
        <v>43168.375</v>
      </c>
      <c r="H828" s="105">
        <v>43173.75</v>
      </c>
      <c r="I828" s="106">
        <v>43168</v>
      </c>
      <c r="J828" s="106">
        <v>43173</v>
      </c>
      <c r="K828" s="107" t="s">
        <v>525</v>
      </c>
      <c r="L828" s="107">
        <v>0.75</v>
      </c>
      <c r="M828" s="107" t="s">
        <v>540</v>
      </c>
      <c r="N828" s="107" t="s">
        <v>529</v>
      </c>
      <c r="O828" s="107" t="s">
        <v>669</v>
      </c>
      <c r="P828" s="104" t="s">
        <v>9</v>
      </c>
      <c r="Q828" s="104" t="s">
        <v>190</v>
      </c>
      <c r="R828" s="104" t="s">
        <v>109</v>
      </c>
      <c r="S828" s="104">
        <v>5</v>
      </c>
      <c r="T828" s="104">
        <v>8</v>
      </c>
      <c r="U828" s="137">
        <v>33</v>
      </c>
      <c r="V828" s="138">
        <v>264</v>
      </c>
    </row>
    <row r="829" spans="1:22" x14ac:dyDescent="0.25">
      <c r="A829" s="108" t="s">
        <v>637</v>
      </c>
      <c r="B829" s="109" t="s">
        <v>39</v>
      </c>
      <c r="C829" s="109" t="s">
        <v>177</v>
      </c>
      <c r="D829" s="109" t="s">
        <v>89</v>
      </c>
      <c r="E829" s="109" t="s">
        <v>169</v>
      </c>
      <c r="F829" s="109">
        <v>2016</v>
      </c>
      <c r="G829" s="110">
        <v>43168.375</v>
      </c>
      <c r="H829" s="110">
        <v>43173.75</v>
      </c>
      <c r="I829" s="111">
        <v>43168</v>
      </c>
      <c r="J829" s="111">
        <v>43173</v>
      </c>
      <c r="K829" s="112" t="s">
        <v>525</v>
      </c>
      <c r="L829" s="112">
        <v>0.75</v>
      </c>
      <c r="M829" s="112" t="s">
        <v>540</v>
      </c>
      <c r="N829" s="112" t="s">
        <v>529</v>
      </c>
      <c r="O829" s="112" t="s">
        <v>669</v>
      </c>
      <c r="P829" s="109" t="s">
        <v>23</v>
      </c>
      <c r="Q829" s="109" t="s">
        <v>28</v>
      </c>
      <c r="R829" s="109" t="s">
        <v>109</v>
      </c>
      <c r="S829" s="109">
        <v>4</v>
      </c>
      <c r="T829" s="109">
        <v>12</v>
      </c>
      <c r="U829" s="139">
        <v>61</v>
      </c>
      <c r="V829" s="140">
        <v>732</v>
      </c>
    </row>
    <row r="830" spans="1:22" x14ac:dyDescent="0.25">
      <c r="A830" s="103" t="s">
        <v>638</v>
      </c>
      <c r="B830" s="104" t="s">
        <v>39</v>
      </c>
      <c r="C830" s="104" t="s">
        <v>177</v>
      </c>
      <c r="D830" s="104" t="s">
        <v>77</v>
      </c>
      <c r="E830" s="104" t="s">
        <v>172</v>
      </c>
      <c r="F830" s="104">
        <v>2016</v>
      </c>
      <c r="G830" s="105">
        <v>43168.375</v>
      </c>
      <c r="H830" s="105">
        <v>43173.75</v>
      </c>
      <c r="I830" s="106">
        <v>43168</v>
      </c>
      <c r="J830" s="106">
        <v>43173</v>
      </c>
      <c r="K830" s="107" t="s">
        <v>525</v>
      </c>
      <c r="L830" s="107">
        <v>0.75</v>
      </c>
      <c r="M830" s="107" t="s">
        <v>540</v>
      </c>
      <c r="N830" s="107" t="s">
        <v>529</v>
      </c>
      <c r="O830" s="107" t="s">
        <v>669</v>
      </c>
      <c r="P830" s="104" t="s">
        <v>9</v>
      </c>
      <c r="Q830" s="104" t="s">
        <v>12</v>
      </c>
      <c r="R830" s="104" t="s">
        <v>113</v>
      </c>
      <c r="S830" s="104">
        <v>3</v>
      </c>
      <c r="T830" s="104">
        <v>11</v>
      </c>
      <c r="U830" s="137">
        <v>33</v>
      </c>
      <c r="V830" s="138">
        <v>363</v>
      </c>
    </row>
    <row r="831" spans="1:22" x14ac:dyDescent="0.25">
      <c r="A831" s="108" t="s">
        <v>639</v>
      </c>
      <c r="B831" s="109" t="s">
        <v>45</v>
      </c>
      <c r="C831" s="109" t="s">
        <v>177</v>
      </c>
      <c r="D831" s="109" t="s">
        <v>89</v>
      </c>
      <c r="E831" s="109" t="s">
        <v>169</v>
      </c>
      <c r="F831" s="109">
        <v>2016</v>
      </c>
      <c r="G831" s="110">
        <v>43170.791666666664</v>
      </c>
      <c r="H831" s="110">
        <v>43181.958333333336</v>
      </c>
      <c r="I831" s="111">
        <v>43170</v>
      </c>
      <c r="J831" s="111">
        <v>43181</v>
      </c>
      <c r="K831" s="112" t="s">
        <v>526</v>
      </c>
      <c r="L831" s="112">
        <v>0.95833333333333337</v>
      </c>
      <c r="M831" s="112" t="s">
        <v>541</v>
      </c>
      <c r="N831" s="112" t="s">
        <v>529</v>
      </c>
      <c r="O831" s="112" t="s">
        <v>669</v>
      </c>
      <c r="P831" s="109" t="s">
        <v>23</v>
      </c>
      <c r="Q831" s="109" t="s">
        <v>24</v>
      </c>
      <c r="R831" s="109" t="s">
        <v>113</v>
      </c>
      <c r="S831" s="109">
        <v>3</v>
      </c>
      <c r="T831" s="109">
        <v>10</v>
      </c>
      <c r="U831" s="139">
        <v>61</v>
      </c>
      <c r="V831" s="140">
        <v>610</v>
      </c>
    </row>
    <row r="832" spans="1:22" x14ac:dyDescent="0.25">
      <c r="A832" s="103" t="s">
        <v>640</v>
      </c>
      <c r="B832" s="104" t="s">
        <v>7</v>
      </c>
      <c r="C832" s="104" t="s">
        <v>175</v>
      </c>
      <c r="D832" s="104" t="s">
        <v>76</v>
      </c>
      <c r="E832" s="104" t="s">
        <v>174</v>
      </c>
      <c r="F832" s="104">
        <v>2016</v>
      </c>
      <c r="G832" s="105">
        <v>43170.791666666664</v>
      </c>
      <c r="H832" s="105">
        <v>43181.958333333336</v>
      </c>
      <c r="I832" s="106">
        <v>43170</v>
      </c>
      <c r="J832" s="106">
        <v>43181</v>
      </c>
      <c r="K832" s="107" t="s">
        <v>526</v>
      </c>
      <c r="L832" s="107">
        <v>0.95833333333333337</v>
      </c>
      <c r="M832" s="107" t="s">
        <v>541</v>
      </c>
      <c r="N832" s="107" t="s">
        <v>529</v>
      </c>
      <c r="O832" s="107" t="s">
        <v>669</v>
      </c>
      <c r="P832" s="104" t="s">
        <v>9</v>
      </c>
      <c r="Q832" s="104" t="s">
        <v>35</v>
      </c>
      <c r="R832" s="104" t="s">
        <v>109</v>
      </c>
      <c r="S832" s="104">
        <v>2</v>
      </c>
      <c r="T832" s="104">
        <v>9</v>
      </c>
      <c r="U832" s="137">
        <v>52</v>
      </c>
      <c r="V832" s="138">
        <v>468</v>
      </c>
    </row>
    <row r="833" spans="1:22" x14ac:dyDescent="0.25">
      <c r="A833" s="108" t="s">
        <v>641</v>
      </c>
      <c r="B833" s="109" t="s">
        <v>29</v>
      </c>
      <c r="C833" s="109" t="s">
        <v>177</v>
      </c>
      <c r="D833" s="109" t="s">
        <v>88</v>
      </c>
      <c r="E833" s="109" t="s">
        <v>170</v>
      </c>
      <c r="F833" s="109">
        <v>2016</v>
      </c>
      <c r="G833" s="110">
        <v>43170.791666666664</v>
      </c>
      <c r="H833" s="110">
        <v>43181.958333333336</v>
      </c>
      <c r="I833" s="111">
        <v>43170</v>
      </c>
      <c r="J833" s="111">
        <v>43181</v>
      </c>
      <c r="K833" s="112" t="s">
        <v>526</v>
      </c>
      <c r="L833" s="112">
        <v>0.95833333333333337</v>
      </c>
      <c r="M833" s="112" t="s">
        <v>541</v>
      </c>
      <c r="N833" s="112" t="s">
        <v>529</v>
      </c>
      <c r="O833" s="112" t="s">
        <v>669</v>
      </c>
      <c r="P833" s="109" t="s">
        <v>9</v>
      </c>
      <c r="Q833" s="109" t="s">
        <v>190</v>
      </c>
      <c r="R833" s="109" t="s">
        <v>109</v>
      </c>
      <c r="S833" s="109">
        <v>5</v>
      </c>
      <c r="T833" s="109">
        <v>10</v>
      </c>
      <c r="U833" s="139">
        <v>41</v>
      </c>
      <c r="V833" s="140">
        <v>410</v>
      </c>
    </row>
    <row r="834" spans="1:22" x14ac:dyDescent="0.25">
      <c r="A834" s="103" t="s">
        <v>642</v>
      </c>
      <c r="B834" s="104" t="s">
        <v>17</v>
      </c>
      <c r="C834" s="104" t="s">
        <v>176</v>
      </c>
      <c r="D834" s="104" t="s">
        <v>86</v>
      </c>
      <c r="E834" s="104" t="s">
        <v>169</v>
      </c>
      <c r="F834" s="104">
        <v>2016</v>
      </c>
      <c r="G834" s="105">
        <v>43173.375</v>
      </c>
      <c r="H834" s="105">
        <v>43179.75</v>
      </c>
      <c r="I834" s="106">
        <v>43173</v>
      </c>
      <c r="J834" s="106">
        <v>43179</v>
      </c>
      <c r="K834" s="107" t="s">
        <v>525</v>
      </c>
      <c r="L834" s="107">
        <v>0.75</v>
      </c>
      <c r="M834" s="107" t="s">
        <v>540</v>
      </c>
      <c r="N834" s="107" t="s">
        <v>529</v>
      </c>
      <c r="O834" s="107" t="s">
        <v>669</v>
      </c>
      <c r="P834" s="104" t="s">
        <v>23</v>
      </c>
      <c r="Q834" s="104" t="s">
        <v>16</v>
      </c>
      <c r="R834" s="104" t="s">
        <v>109</v>
      </c>
      <c r="S834" s="104">
        <v>2</v>
      </c>
      <c r="T834" s="104">
        <v>12</v>
      </c>
      <c r="U834" s="137">
        <v>47</v>
      </c>
      <c r="V834" s="138">
        <v>564</v>
      </c>
    </row>
    <row r="835" spans="1:22" x14ac:dyDescent="0.25">
      <c r="A835" s="108" t="s">
        <v>643</v>
      </c>
      <c r="B835" s="109" t="s">
        <v>19</v>
      </c>
      <c r="C835" s="109" t="s">
        <v>176</v>
      </c>
      <c r="D835" s="109" t="s">
        <v>84</v>
      </c>
      <c r="E835" s="109" t="s">
        <v>172</v>
      </c>
      <c r="F835" s="109">
        <v>2016</v>
      </c>
      <c r="G835" s="110">
        <v>43173.375</v>
      </c>
      <c r="H835" s="110">
        <v>43179.75</v>
      </c>
      <c r="I835" s="111">
        <v>43173</v>
      </c>
      <c r="J835" s="111">
        <v>43179</v>
      </c>
      <c r="K835" s="112" t="s">
        <v>525</v>
      </c>
      <c r="L835" s="112">
        <v>0.75</v>
      </c>
      <c r="M835" s="112" t="s">
        <v>540</v>
      </c>
      <c r="N835" s="112" t="s">
        <v>529</v>
      </c>
      <c r="O835" s="112" t="s">
        <v>669</v>
      </c>
      <c r="P835" s="109" t="s">
        <v>23</v>
      </c>
      <c r="Q835" s="109" t="s">
        <v>28</v>
      </c>
      <c r="R835" s="109" t="s">
        <v>109</v>
      </c>
      <c r="S835" s="109">
        <v>4</v>
      </c>
      <c r="T835" s="109">
        <v>12</v>
      </c>
      <c r="U835" s="139">
        <v>51</v>
      </c>
      <c r="V835" s="140">
        <v>612</v>
      </c>
    </row>
    <row r="836" spans="1:22" x14ac:dyDescent="0.25">
      <c r="A836" s="103" t="s">
        <v>644</v>
      </c>
      <c r="B836" s="104" t="s">
        <v>22</v>
      </c>
      <c r="C836" s="104" t="s">
        <v>176</v>
      </c>
      <c r="D836" s="104" t="s">
        <v>81</v>
      </c>
      <c r="E836" s="104" t="s">
        <v>172</v>
      </c>
      <c r="F836" s="104">
        <v>2016</v>
      </c>
      <c r="G836" s="105">
        <v>43174.333333333336</v>
      </c>
      <c r="H836" s="105">
        <v>43187.5</v>
      </c>
      <c r="I836" s="106">
        <v>43174</v>
      </c>
      <c r="J836" s="106">
        <v>43187</v>
      </c>
      <c r="K836" s="107" t="s">
        <v>522</v>
      </c>
      <c r="L836" s="107">
        <v>0.5</v>
      </c>
      <c r="M836" s="107" t="s">
        <v>539</v>
      </c>
      <c r="N836" s="107" t="s">
        <v>529</v>
      </c>
      <c r="O836" s="107" t="s">
        <v>669</v>
      </c>
      <c r="P836" s="104" t="s">
        <v>9</v>
      </c>
      <c r="Q836" s="104" t="s">
        <v>38</v>
      </c>
      <c r="R836" s="104" t="s">
        <v>113</v>
      </c>
      <c r="S836" s="104">
        <v>2</v>
      </c>
      <c r="T836" s="104">
        <v>9</v>
      </c>
      <c r="U836" s="137">
        <v>42</v>
      </c>
      <c r="V836" s="138">
        <v>378</v>
      </c>
    </row>
    <row r="837" spans="1:22" x14ac:dyDescent="0.25">
      <c r="A837" s="108" t="s">
        <v>645</v>
      </c>
      <c r="B837" s="109" t="s">
        <v>29</v>
      </c>
      <c r="C837" s="109" t="s">
        <v>177</v>
      </c>
      <c r="D837" s="109" t="s">
        <v>78</v>
      </c>
      <c r="E837" s="109" t="s">
        <v>172</v>
      </c>
      <c r="F837" s="109">
        <v>2016</v>
      </c>
      <c r="G837" s="110">
        <v>43174.333333333336</v>
      </c>
      <c r="H837" s="110">
        <v>43187.5</v>
      </c>
      <c r="I837" s="111">
        <v>43174</v>
      </c>
      <c r="J837" s="111">
        <v>43187</v>
      </c>
      <c r="K837" s="112" t="s">
        <v>522</v>
      </c>
      <c r="L837" s="112">
        <v>0.5</v>
      </c>
      <c r="M837" s="112" t="s">
        <v>539</v>
      </c>
      <c r="N837" s="112" t="s">
        <v>529</v>
      </c>
      <c r="O837" s="112" t="s">
        <v>669</v>
      </c>
      <c r="P837" s="109" t="s">
        <v>9</v>
      </c>
      <c r="Q837" s="109" t="s">
        <v>18</v>
      </c>
      <c r="R837" s="109" t="s">
        <v>113</v>
      </c>
      <c r="S837" s="109" t="s">
        <v>191</v>
      </c>
      <c r="T837" s="109">
        <v>11</v>
      </c>
      <c r="U837" s="139">
        <v>61</v>
      </c>
      <c r="V837" s="140">
        <v>671</v>
      </c>
    </row>
    <row r="838" spans="1:22" x14ac:dyDescent="0.25">
      <c r="A838" s="103" t="s">
        <v>646</v>
      </c>
      <c r="B838" s="104" t="s">
        <v>11</v>
      </c>
      <c r="C838" s="104" t="s">
        <v>175</v>
      </c>
      <c r="D838" s="104" t="s">
        <v>76</v>
      </c>
      <c r="E838" s="104" t="s">
        <v>174</v>
      </c>
      <c r="F838" s="104">
        <v>2016</v>
      </c>
      <c r="G838" s="105">
        <v>43174.333333333336</v>
      </c>
      <c r="H838" s="105">
        <v>43187.5</v>
      </c>
      <c r="I838" s="106">
        <v>43174</v>
      </c>
      <c r="J838" s="106">
        <v>43187</v>
      </c>
      <c r="K838" s="107" t="s">
        <v>522</v>
      </c>
      <c r="L838" s="107">
        <v>0.5</v>
      </c>
      <c r="M838" s="107" t="s">
        <v>539</v>
      </c>
      <c r="N838" s="107" t="s">
        <v>529</v>
      </c>
      <c r="O838" s="107" t="s">
        <v>669</v>
      </c>
      <c r="P838" s="104" t="s">
        <v>9</v>
      </c>
      <c r="Q838" s="104" t="s">
        <v>38</v>
      </c>
      <c r="R838" s="104" t="s">
        <v>113</v>
      </c>
      <c r="S838" s="104">
        <v>2</v>
      </c>
      <c r="T838" s="104">
        <v>9</v>
      </c>
      <c r="U838" s="137">
        <v>52</v>
      </c>
      <c r="V838" s="138">
        <v>468</v>
      </c>
    </row>
    <row r="839" spans="1:22" x14ac:dyDescent="0.25">
      <c r="A839" s="108" t="s">
        <v>647</v>
      </c>
      <c r="B839" s="109" t="s">
        <v>19</v>
      </c>
      <c r="C839" s="109" t="s">
        <v>176</v>
      </c>
      <c r="D839" s="109" t="s">
        <v>88</v>
      </c>
      <c r="E839" s="109" t="s">
        <v>170</v>
      </c>
      <c r="F839" s="109">
        <v>2016</v>
      </c>
      <c r="G839" s="110">
        <v>43174.333333333336</v>
      </c>
      <c r="H839" s="110">
        <v>43187.5</v>
      </c>
      <c r="I839" s="111">
        <v>43174</v>
      </c>
      <c r="J839" s="111">
        <v>43187</v>
      </c>
      <c r="K839" s="112" t="s">
        <v>522</v>
      </c>
      <c r="L839" s="112">
        <v>0.5</v>
      </c>
      <c r="M839" s="112" t="s">
        <v>539</v>
      </c>
      <c r="N839" s="112" t="s">
        <v>529</v>
      </c>
      <c r="O839" s="112" t="s">
        <v>669</v>
      </c>
      <c r="P839" s="109" t="s">
        <v>9</v>
      </c>
      <c r="Q839" s="109" t="s">
        <v>12</v>
      </c>
      <c r="R839" s="109" t="s">
        <v>113</v>
      </c>
      <c r="S839" s="109">
        <v>2</v>
      </c>
      <c r="T839" s="109">
        <v>9</v>
      </c>
      <c r="U839" s="139">
        <v>41</v>
      </c>
      <c r="V839" s="140">
        <v>369</v>
      </c>
    </row>
    <row r="840" spans="1:22" x14ac:dyDescent="0.25">
      <c r="A840" s="103" t="s">
        <v>648</v>
      </c>
      <c r="B840" s="104" t="s">
        <v>14</v>
      </c>
      <c r="C840" s="104" t="s">
        <v>175</v>
      </c>
      <c r="D840" s="104" t="s">
        <v>82</v>
      </c>
      <c r="E840" s="104" t="s">
        <v>172</v>
      </c>
      <c r="F840" s="104">
        <v>2016</v>
      </c>
      <c r="G840" s="105">
        <v>43177.791666666664</v>
      </c>
      <c r="H840" s="105">
        <v>43188.958333333336</v>
      </c>
      <c r="I840" s="106">
        <v>43177</v>
      </c>
      <c r="J840" s="106">
        <v>43188</v>
      </c>
      <c r="K840" s="107" t="s">
        <v>526</v>
      </c>
      <c r="L840" s="107">
        <v>0.95833333333333337</v>
      </c>
      <c r="M840" s="107" t="s">
        <v>541</v>
      </c>
      <c r="N840" s="107" t="s">
        <v>529</v>
      </c>
      <c r="O840" s="107" t="s">
        <v>669</v>
      </c>
      <c r="P840" s="104" t="s">
        <v>23</v>
      </c>
      <c r="Q840" s="104" t="s">
        <v>16</v>
      </c>
      <c r="R840" s="104" t="s">
        <v>109</v>
      </c>
      <c r="S840" s="104">
        <v>3</v>
      </c>
      <c r="T840" s="104">
        <v>9</v>
      </c>
      <c r="U840" s="137">
        <v>73</v>
      </c>
      <c r="V840" s="138">
        <v>657</v>
      </c>
    </row>
    <row r="841" spans="1:22" x14ac:dyDescent="0.25">
      <c r="A841" s="108" t="s">
        <v>649</v>
      </c>
      <c r="B841" s="109" t="s">
        <v>22</v>
      </c>
      <c r="C841" s="109" t="s">
        <v>176</v>
      </c>
      <c r="D841" s="109" t="s">
        <v>76</v>
      </c>
      <c r="E841" s="109" t="s">
        <v>174</v>
      </c>
      <c r="F841" s="109">
        <v>2016</v>
      </c>
      <c r="G841" s="110">
        <v>43178.791666666664</v>
      </c>
      <c r="H841" s="110">
        <v>43191.958333333336</v>
      </c>
      <c r="I841" s="111">
        <v>43178</v>
      </c>
      <c r="J841" s="111">
        <v>43191</v>
      </c>
      <c r="K841" s="112" t="s">
        <v>526</v>
      </c>
      <c r="L841" s="112">
        <v>0.95833333333333337</v>
      </c>
      <c r="M841" s="112" t="s">
        <v>541</v>
      </c>
      <c r="N841" s="112" t="s">
        <v>529</v>
      </c>
      <c r="O841" s="112" t="s">
        <v>669</v>
      </c>
      <c r="P841" s="109" t="s">
        <v>9</v>
      </c>
      <c r="Q841" s="109" t="s">
        <v>28</v>
      </c>
      <c r="R841" s="109" t="s">
        <v>109</v>
      </c>
      <c r="S841" s="109">
        <v>5</v>
      </c>
      <c r="T841" s="109">
        <v>8</v>
      </c>
      <c r="U841" s="139">
        <v>52</v>
      </c>
      <c r="V841" s="140">
        <v>416</v>
      </c>
    </row>
    <row r="842" spans="1:22" x14ac:dyDescent="0.25">
      <c r="A842" s="103" t="s">
        <v>650</v>
      </c>
      <c r="B842" s="104" t="s">
        <v>45</v>
      </c>
      <c r="C842" s="104" t="s">
        <v>177</v>
      </c>
      <c r="D842" s="104" t="s">
        <v>80</v>
      </c>
      <c r="E842" s="104" t="s">
        <v>173</v>
      </c>
      <c r="F842" s="104">
        <v>2016</v>
      </c>
      <c r="G842" s="105">
        <v>43179.583333333336</v>
      </c>
      <c r="H842" s="105">
        <v>43192.75</v>
      </c>
      <c r="I842" s="106">
        <v>43179</v>
      </c>
      <c r="J842" s="106">
        <v>43192</v>
      </c>
      <c r="K842" s="107" t="s">
        <v>527</v>
      </c>
      <c r="L842" s="107">
        <v>0.75</v>
      </c>
      <c r="M842" s="107" t="s">
        <v>542</v>
      </c>
      <c r="N842" s="107" t="s">
        <v>529</v>
      </c>
      <c r="O842" s="107" t="s">
        <v>669</v>
      </c>
      <c r="P842" s="104" t="s">
        <v>23</v>
      </c>
      <c r="Q842" s="104" t="s">
        <v>190</v>
      </c>
      <c r="R842" s="104" t="s">
        <v>109</v>
      </c>
      <c r="S842" s="104">
        <v>5</v>
      </c>
      <c r="T842" s="104">
        <v>9</v>
      </c>
      <c r="U842" s="137">
        <v>31</v>
      </c>
      <c r="V842" s="138">
        <v>279</v>
      </c>
    </row>
    <row r="843" spans="1:22" x14ac:dyDescent="0.25">
      <c r="A843" s="108" t="s">
        <v>651</v>
      </c>
      <c r="B843" s="109" t="s">
        <v>17</v>
      </c>
      <c r="C843" s="109" t="s">
        <v>176</v>
      </c>
      <c r="D843" s="109" t="s">
        <v>78</v>
      </c>
      <c r="E843" s="109" t="s">
        <v>172</v>
      </c>
      <c r="F843" s="109">
        <v>2016</v>
      </c>
      <c r="G843" s="110">
        <v>43179.583333333336</v>
      </c>
      <c r="H843" s="110">
        <v>43192.75</v>
      </c>
      <c r="I843" s="111">
        <v>43179</v>
      </c>
      <c r="J843" s="111">
        <v>43192</v>
      </c>
      <c r="K843" s="112" t="s">
        <v>527</v>
      </c>
      <c r="L843" s="112">
        <v>0.75</v>
      </c>
      <c r="M843" s="112" t="s">
        <v>542</v>
      </c>
      <c r="N843" s="112" t="s">
        <v>529</v>
      </c>
      <c r="O843" s="112" t="s">
        <v>669</v>
      </c>
      <c r="P843" s="109" t="s">
        <v>9</v>
      </c>
      <c r="Q843" s="109" t="s">
        <v>24</v>
      </c>
      <c r="R843" s="109" t="s">
        <v>113</v>
      </c>
      <c r="S843" s="109">
        <v>4</v>
      </c>
      <c r="T843" s="109">
        <v>8</v>
      </c>
      <c r="U843" s="139">
        <v>61</v>
      </c>
      <c r="V843" s="140">
        <v>488</v>
      </c>
    </row>
    <row r="844" spans="1:22" x14ac:dyDescent="0.25">
      <c r="A844" s="103" t="s">
        <v>652</v>
      </c>
      <c r="B844" s="104" t="s">
        <v>11</v>
      </c>
      <c r="C844" s="104" t="s">
        <v>175</v>
      </c>
      <c r="D844" s="104" t="s">
        <v>76</v>
      </c>
      <c r="E844" s="104" t="s">
        <v>174</v>
      </c>
      <c r="F844" s="104">
        <v>2016</v>
      </c>
      <c r="G844" s="105">
        <v>43179.583333333336</v>
      </c>
      <c r="H844" s="105">
        <v>43192.75</v>
      </c>
      <c r="I844" s="106">
        <v>43179</v>
      </c>
      <c r="J844" s="106">
        <v>43192</v>
      </c>
      <c r="K844" s="107" t="s">
        <v>527</v>
      </c>
      <c r="L844" s="107">
        <v>0.75</v>
      </c>
      <c r="M844" s="107" t="s">
        <v>542</v>
      </c>
      <c r="N844" s="107" t="s">
        <v>529</v>
      </c>
      <c r="O844" s="107" t="s">
        <v>669</v>
      </c>
      <c r="P844" s="104" t="s">
        <v>23</v>
      </c>
      <c r="Q844" s="104" t="s">
        <v>190</v>
      </c>
      <c r="R844" s="104" t="s">
        <v>109</v>
      </c>
      <c r="S844" s="104">
        <v>2</v>
      </c>
      <c r="T844" s="104">
        <v>11</v>
      </c>
      <c r="U844" s="137">
        <v>52</v>
      </c>
      <c r="V844" s="138">
        <v>572</v>
      </c>
    </row>
    <row r="845" spans="1:22" x14ac:dyDescent="0.25">
      <c r="A845" s="108" t="s">
        <v>653</v>
      </c>
      <c r="B845" s="109" t="s">
        <v>17</v>
      </c>
      <c r="C845" s="109" t="s">
        <v>176</v>
      </c>
      <c r="D845" s="109" t="s">
        <v>78</v>
      </c>
      <c r="E845" s="109" t="s">
        <v>172</v>
      </c>
      <c r="F845" s="109">
        <v>2016</v>
      </c>
      <c r="G845" s="110">
        <v>43180.375</v>
      </c>
      <c r="H845" s="110">
        <v>43186.75</v>
      </c>
      <c r="I845" s="111">
        <v>43180</v>
      </c>
      <c r="J845" s="111">
        <v>43186</v>
      </c>
      <c r="K845" s="112" t="s">
        <v>525</v>
      </c>
      <c r="L845" s="112">
        <v>0.75</v>
      </c>
      <c r="M845" s="112" t="s">
        <v>540</v>
      </c>
      <c r="N845" s="112" t="s">
        <v>529</v>
      </c>
      <c r="O845" s="112" t="s">
        <v>669</v>
      </c>
      <c r="P845" s="109" t="s">
        <v>23</v>
      </c>
      <c r="Q845" s="109" t="s">
        <v>18</v>
      </c>
      <c r="R845" s="109" t="s">
        <v>113</v>
      </c>
      <c r="S845" s="109">
        <v>5</v>
      </c>
      <c r="T845" s="109">
        <v>12</v>
      </c>
      <c r="U845" s="139">
        <v>61</v>
      </c>
      <c r="V845" s="140">
        <v>732</v>
      </c>
    </row>
    <row r="846" spans="1:22" x14ac:dyDescent="0.25">
      <c r="A846" s="103" t="s">
        <v>654</v>
      </c>
      <c r="B846" s="104" t="s">
        <v>39</v>
      </c>
      <c r="C846" s="104" t="s">
        <v>177</v>
      </c>
      <c r="D846" s="104" t="s">
        <v>78</v>
      </c>
      <c r="E846" s="104" t="s">
        <v>172</v>
      </c>
      <c r="F846" s="104">
        <v>2016</v>
      </c>
      <c r="G846" s="105">
        <v>43181.333333333336</v>
      </c>
      <c r="H846" s="105">
        <v>43194.5</v>
      </c>
      <c r="I846" s="106">
        <v>43181</v>
      </c>
      <c r="J846" s="106">
        <v>43194</v>
      </c>
      <c r="K846" s="107" t="s">
        <v>522</v>
      </c>
      <c r="L846" s="107">
        <v>0.5</v>
      </c>
      <c r="M846" s="107" t="s">
        <v>539</v>
      </c>
      <c r="N846" s="107" t="s">
        <v>529</v>
      </c>
      <c r="O846" s="107" t="s">
        <v>669</v>
      </c>
      <c r="P846" s="104" t="s">
        <v>23</v>
      </c>
      <c r="Q846" s="104" t="s">
        <v>190</v>
      </c>
      <c r="R846" s="104" t="s">
        <v>109</v>
      </c>
      <c r="S846" s="104">
        <v>3</v>
      </c>
      <c r="T846" s="104">
        <v>8</v>
      </c>
      <c r="U846" s="137">
        <v>61</v>
      </c>
      <c r="V846" s="138">
        <v>488</v>
      </c>
    </row>
    <row r="847" spans="1:22" x14ac:dyDescent="0.25">
      <c r="A847" s="108" t="s">
        <v>655</v>
      </c>
      <c r="B847" s="109" t="s">
        <v>22</v>
      </c>
      <c r="C847" s="109" t="s">
        <v>176</v>
      </c>
      <c r="D847" s="109" t="s">
        <v>80</v>
      </c>
      <c r="E847" s="109" t="s">
        <v>173</v>
      </c>
      <c r="F847" s="109">
        <v>2016</v>
      </c>
      <c r="G847" s="110">
        <v>43181.333333333336</v>
      </c>
      <c r="H847" s="110">
        <v>43194.5</v>
      </c>
      <c r="I847" s="111">
        <v>43181</v>
      </c>
      <c r="J847" s="111">
        <v>43194</v>
      </c>
      <c r="K847" s="112" t="s">
        <v>522</v>
      </c>
      <c r="L847" s="112">
        <v>0.5</v>
      </c>
      <c r="M847" s="112" t="s">
        <v>539</v>
      </c>
      <c r="N847" s="112" t="s">
        <v>529</v>
      </c>
      <c r="O847" s="112" t="s">
        <v>669</v>
      </c>
      <c r="P847" s="109" t="s">
        <v>9</v>
      </c>
      <c r="Q847" s="109" t="s">
        <v>12</v>
      </c>
      <c r="R847" s="109" t="s">
        <v>113</v>
      </c>
      <c r="S847" s="109">
        <v>2</v>
      </c>
      <c r="T847" s="109">
        <v>12</v>
      </c>
      <c r="U847" s="139">
        <v>31</v>
      </c>
      <c r="V847" s="140">
        <v>372</v>
      </c>
    </row>
    <row r="848" spans="1:22" x14ac:dyDescent="0.25">
      <c r="A848" s="103" t="s">
        <v>656</v>
      </c>
      <c r="B848" s="104" t="s">
        <v>14</v>
      </c>
      <c r="C848" s="104" t="s">
        <v>175</v>
      </c>
      <c r="D848" s="104" t="s">
        <v>82</v>
      </c>
      <c r="E848" s="104" t="s">
        <v>172</v>
      </c>
      <c r="F848" s="104">
        <v>2016</v>
      </c>
      <c r="G848" s="105">
        <v>43181.333333333336</v>
      </c>
      <c r="H848" s="105">
        <v>43194.5</v>
      </c>
      <c r="I848" s="106">
        <v>43181</v>
      </c>
      <c r="J848" s="106">
        <v>43194</v>
      </c>
      <c r="K848" s="107" t="s">
        <v>522</v>
      </c>
      <c r="L848" s="107">
        <v>0.5</v>
      </c>
      <c r="M848" s="107" t="s">
        <v>539</v>
      </c>
      <c r="N848" s="107" t="s">
        <v>529</v>
      </c>
      <c r="O848" s="107" t="s">
        <v>669</v>
      </c>
      <c r="P848" s="104" t="s">
        <v>23</v>
      </c>
      <c r="Q848" s="104" t="s">
        <v>190</v>
      </c>
      <c r="R848" s="104" t="s">
        <v>109</v>
      </c>
      <c r="S848" s="104">
        <v>2</v>
      </c>
      <c r="T848" s="104">
        <v>12</v>
      </c>
      <c r="U848" s="137">
        <v>73</v>
      </c>
      <c r="V848" s="138">
        <v>876</v>
      </c>
    </row>
    <row r="849" spans="1:22" x14ac:dyDescent="0.25">
      <c r="A849" s="108" t="s">
        <v>657</v>
      </c>
      <c r="B849" s="109" t="s">
        <v>17</v>
      </c>
      <c r="C849" s="109" t="s">
        <v>176</v>
      </c>
      <c r="D849" s="109" t="s">
        <v>80</v>
      </c>
      <c r="E849" s="109" t="s">
        <v>173</v>
      </c>
      <c r="F849" s="109">
        <v>2016</v>
      </c>
      <c r="G849" s="110">
        <v>43182.375</v>
      </c>
      <c r="H849" s="110">
        <v>43187.75</v>
      </c>
      <c r="I849" s="111">
        <v>43182</v>
      </c>
      <c r="J849" s="111">
        <v>43187</v>
      </c>
      <c r="K849" s="112" t="s">
        <v>525</v>
      </c>
      <c r="L849" s="112">
        <v>0.75</v>
      </c>
      <c r="M849" s="112" t="s">
        <v>540</v>
      </c>
      <c r="N849" s="112" t="s">
        <v>529</v>
      </c>
      <c r="O849" s="112" t="s">
        <v>669</v>
      </c>
      <c r="P849" s="109" t="s">
        <v>23</v>
      </c>
      <c r="Q849" s="109" t="s">
        <v>38</v>
      </c>
      <c r="R849" s="109" t="s">
        <v>113</v>
      </c>
      <c r="S849" s="109">
        <v>3</v>
      </c>
      <c r="T849" s="109">
        <v>9</v>
      </c>
      <c r="U849" s="139">
        <v>31</v>
      </c>
      <c r="V849" s="140">
        <v>279</v>
      </c>
    </row>
    <row r="850" spans="1:22" x14ac:dyDescent="0.25">
      <c r="A850" s="103" t="s">
        <v>658</v>
      </c>
      <c r="B850" s="104" t="s">
        <v>39</v>
      </c>
      <c r="C850" s="104" t="s">
        <v>177</v>
      </c>
      <c r="D850" s="104" t="s">
        <v>80</v>
      </c>
      <c r="E850" s="104" t="s">
        <v>173</v>
      </c>
      <c r="F850" s="104">
        <v>2016</v>
      </c>
      <c r="G850" s="105">
        <v>43182.375</v>
      </c>
      <c r="H850" s="105">
        <v>43187.75</v>
      </c>
      <c r="I850" s="106">
        <v>43182</v>
      </c>
      <c r="J850" s="106">
        <v>43187</v>
      </c>
      <c r="K850" s="107" t="s">
        <v>525</v>
      </c>
      <c r="L850" s="107">
        <v>0.75</v>
      </c>
      <c r="M850" s="107" t="s">
        <v>540</v>
      </c>
      <c r="N850" s="107" t="s">
        <v>529</v>
      </c>
      <c r="O850" s="107" t="s">
        <v>669</v>
      </c>
      <c r="P850" s="104" t="s">
        <v>23</v>
      </c>
      <c r="Q850" s="104" t="s">
        <v>44</v>
      </c>
      <c r="R850" s="104" t="s">
        <v>113</v>
      </c>
      <c r="S850" s="104">
        <v>3</v>
      </c>
      <c r="T850" s="104">
        <v>11</v>
      </c>
      <c r="U850" s="137">
        <v>31</v>
      </c>
      <c r="V850" s="138">
        <v>341</v>
      </c>
    </row>
    <row r="851" spans="1:22" x14ac:dyDescent="0.25">
      <c r="A851" s="108" t="s">
        <v>659</v>
      </c>
      <c r="B851" s="109" t="s">
        <v>19</v>
      </c>
      <c r="C851" s="109" t="s">
        <v>176</v>
      </c>
      <c r="D851" s="109" t="s">
        <v>82</v>
      </c>
      <c r="E851" s="109" t="s">
        <v>172</v>
      </c>
      <c r="F851" s="109">
        <v>2016</v>
      </c>
      <c r="G851" s="110">
        <v>43184.791666666664</v>
      </c>
      <c r="H851" s="110">
        <v>43195.958333333336</v>
      </c>
      <c r="I851" s="111">
        <v>43184</v>
      </c>
      <c r="J851" s="111">
        <v>43195</v>
      </c>
      <c r="K851" s="112" t="s">
        <v>526</v>
      </c>
      <c r="L851" s="112">
        <v>0.95833333333333337</v>
      </c>
      <c r="M851" s="112" t="s">
        <v>541</v>
      </c>
      <c r="N851" s="112" t="s">
        <v>529</v>
      </c>
      <c r="O851" s="112" t="s">
        <v>669</v>
      </c>
      <c r="P851" s="109" t="s">
        <v>23</v>
      </c>
      <c r="Q851" s="109" t="s">
        <v>35</v>
      </c>
      <c r="R851" s="109" t="s">
        <v>109</v>
      </c>
      <c r="S851" s="109">
        <v>2</v>
      </c>
      <c r="T851" s="109">
        <v>8</v>
      </c>
      <c r="U851" s="139">
        <v>73</v>
      </c>
      <c r="V851" s="140">
        <v>584</v>
      </c>
    </row>
    <row r="852" spans="1:22" x14ac:dyDescent="0.25">
      <c r="A852" s="103" t="s">
        <v>660</v>
      </c>
      <c r="B852" s="104" t="s">
        <v>29</v>
      </c>
      <c r="C852" s="104" t="s">
        <v>177</v>
      </c>
      <c r="D852" s="104" t="s">
        <v>77</v>
      </c>
      <c r="E852" s="104" t="s">
        <v>172</v>
      </c>
      <c r="F852" s="104">
        <v>2016</v>
      </c>
      <c r="G852" s="105">
        <v>43184.791666666664</v>
      </c>
      <c r="H852" s="105">
        <v>43195.958333333336</v>
      </c>
      <c r="I852" s="106">
        <v>43184</v>
      </c>
      <c r="J852" s="106">
        <v>43195</v>
      </c>
      <c r="K852" s="107" t="s">
        <v>526</v>
      </c>
      <c r="L852" s="107">
        <v>0.95833333333333337</v>
      </c>
      <c r="M852" s="107" t="s">
        <v>541</v>
      </c>
      <c r="N852" s="107" t="s">
        <v>529</v>
      </c>
      <c r="O852" s="107" t="s">
        <v>669</v>
      </c>
      <c r="P852" s="104" t="s">
        <v>23</v>
      </c>
      <c r="Q852" s="104" t="s">
        <v>26</v>
      </c>
      <c r="R852" s="104" t="s">
        <v>113</v>
      </c>
      <c r="S852" s="104">
        <v>5</v>
      </c>
      <c r="T852" s="104">
        <v>8</v>
      </c>
      <c r="U852" s="137">
        <v>33</v>
      </c>
      <c r="V852" s="138">
        <v>264</v>
      </c>
    </row>
    <row r="853" spans="1:22" x14ac:dyDescent="0.25">
      <c r="A853" s="108" t="s">
        <v>661</v>
      </c>
      <c r="B853" s="109" t="s">
        <v>22</v>
      </c>
      <c r="C853" s="109" t="s">
        <v>176</v>
      </c>
      <c r="D853" s="109" t="s">
        <v>85</v>
      </c>
      <c r="E853" s="109" t="s">
        <v>170</v>
      </c>
      <c r="F853" s="109">
        <v>2016</v>
      </c>
      <c r="G853" s="110">
        <v>43184.791666666664</v>
      </c>
      <c r="H853" s="110">
        <v>43195.958333333336</v>
      </c>
      <c r="I853" s="111">
        <v>43184</v>
      </c>
      <c r="J853" s="111">
        <v>43195</v>
      </c>
      <c r="K853" s="112" t="s">
        <v>526</v>
      </c>
      <c r="L853" s="112">
        <v>0.95833333333333337</v>
      </c>
      <c r="M853" s="112" t="s">
        <v>541</v>
      </c>
      <c r="N853" s="112" t="s">
        <v>529</v>
      </c>
      <c r="O853" s="112" t="s">
        <v>669</v>
      </c>
      <c r="P853" s="109" t="s">
        <v>23</v>
      </c>
      <c r="Q853" s="109" t="s">
        <v>16</v>
      </c>
      <c r="R853" s="109" t="s">
        <v>109</v>
      </c>
      <c r="S853" s="109">
        <v>3</v>
      </c>
      <c r="T853" s="109">
        <v>12</v>
      </c>
      <c r="U853" s="139">
        <v>47</v>
      </c>
      <c r="V853" s="140">
        <v>564</v>
      </c>
    </row>
    <row r="854" spans="1:22" x14ac:dyDescent="0.25">
      <c r="A854" s="103" t="s">
        <v>662</v>
      </c>
      <c r="B854" s="104" t="s">
        <v>11</v>
      </c>
      <c r="C854" s="104" t="s">
        <v>175</v>
      </c>
      <c r="D854" s="104" t="s">
        <v>76</v>
      </c>
      <c r="E854" s="104" t="s">
        <v>174</v>
      </c>
      <c r="F854" s="104">
        <v>2016</v>
      </c>
      <c r="G854" s="105">
        <v>43184.791666666664</v>
      </c>
      <c r="H854" s="105">
        <v>43195.958333333336</v>
      </c>
      <c r="I854" s="106">
        <v>43184</v>
      </c>
      <c r="J854" s="106">
        <v>43195</v>
      </c>
      <c r="K854" s="107" t="s">
        <v>526</v>
      </c>
      <c r="L854" s="107">
        <v>0.95833333333333337</v>
      </c>
      <c r="M854" s="107" t="s">
        <v>541</v>
      </c>
      <c r="N854" s="107" t="s">
        <v>529</v>
      </c>
      <c r="O854" s="107" t="s">
        <v>669</v>
      </c>
      <c r="P854" s="104" t="s">
        <v>9</v>
      </c>
      <c r="Q854" s="104" t="s">
        <v>21</v>
      </c>
      <c r="R854" s="104" t="s">
        <v>113</v>
      </c>
      <c r="S854" s="104">
        <v>2</v>
      </c>
      <c r="T854" s="104">
        <v>9</v>
      </c>
      <c r="U854" s="137">
        <v>52</v>
      </c>
      <c r="V854" s="138">
        <v>468</v>
      </c>
    </row>
    <row r="855" spans="1:22" x14ac:dyDescent="0.25">
      <c r="A855" s="108" t="s">
        <v>663</v>
      </c>
      <c r="B855" s="109" t="s">
        <v>22</v>
      </c>
      <c r="C855" s="109" t="s">
        <v>176</v>
      </c>
      <c r="D855" s="109" t="s">
        <v>83</v>
      </c>
      <c r="E855" s="109" t="s">
        <v>174</v>
      </c>
      <c r="F855" s="109">
        <v>2016</v>
      </c>
      <c r="G855" s="110">
        <v>43184.791666666664</v>
      </c>
      <c r="H855" s="110">
        <v>43195.958333333336</v>
      </c>
      <c r="I855" s="111">
        <v>43184</v>
      </c>
      <c r="J855" s="111">
        <v>43195</v>
      </c>
      <c r="K855" s="112" t="s">
        <v>526</v>
      </c>
      <c r="L855" s="112">
        <v>0.95833333333333337</v>
      </c>
      <c r="M855" s="112" t="s">
        <v>541</v>
      </c>
      <c r="N855" s="112" t="s">
        <v>529</v>
      </c>
      <c r="O855" s="112" t="s">
        <v>669</v>
      </c>
      <c r="P855" s="109" t="s">
        <v>23</v>
      </c>
      <c r="Q855" s="109" t="s">
        <v>37</v>
      </c>
      <c r="R855" s="109" t="s">
        <v>113</v>
      </c>
      <c r="S855" s="109">
        <v>3</v>
      </c>
      <c r="T855" s="109">
        <v>8</v>
      </c>
      <c r="U855" s="139">
        <v>62</v>
      </c>
      <c r="V855" s="140">
        <v>496</v>
      </c>
    </row>
    <row r="856" spans="1:22" x14ac:dyDescent="0.25">
      <c r="A856" s="103" t="s">
        <v>664</v>
      </c>
      <c r="B856" s="104" t="s">
        <v>17</v>
      </c>
      <c r="C856" s="104" t="s">
        <v>176</v>
      </c>
      <c r="D856" s="104" t="s">
        <v>77</v>
      </c>
      <c r="E856" s="104" t="s">
        <v>172</v>
      </c>
      <c r="F856" s="104">
        <v>2016</v>
      </c>
      <c r="G856" s="105">
        <v>43186.583333333336</v>
      </c>
      <c r="H856" s="105">
        <v>43199.75</v>
      </c>
      <c r="I856" s="106">
        <v>43186</v>
      </c>
      <c r="J856" s="106">
        <v>43199</v>
      </c>
      <c r="K856" s="107" t="s">
        <v>527</v>
      </c>
      <c r="L856" s="107">
        <v>0.75</v>
      </c>
      <c r="M856" s="107" t="s">
        <v>542</v>
      </c>
      <c r="N856" s="107" t="s">
        <v>529</v>
      </c>
      <c r="O856" s="107" t="s">
        <v>669</v>
      </c>
      <c r="P856" s="104" t="s">
        <v>9</v>
      </c>
      <c r="Q856" s="104" t="s">
        <v>26</v>
      </c>
      <c r="R856" s="104" t="s">
        <v>113</v>
      </c>
      <c r="S856" s="104">
        <v>4</v>
      </c>
      <c r="T856" s="104">
        <v>9</v>
      </c>
      <c r="U856" s="137">
        <v>33</v>
      </c>
      <c r="V856" s="138">
        <v>297</v>
      </c>
    </row>
    <row r="857" spans="1:22" x14ac:dyDescent="0.25">
      <c r="A857" s="108" t="s">
        <v>665</v>
      </c>
      <c r="B857" s="109" t="s">
        <v>45</v>
      </c>
      <c r="C857" s="109" t="s">
        <v>177</v>
      </c>
      <c r="D857" s="109" t="s">
        <v>77</v>
      </c>
      <c r="E857" s="109" t="s">
        <v>172</v>
      </c>
      <c r="F857" s="109">
        <v>2016</v>
      </c>
      <c r="G857" s="110">
        <v>43187.375</v>
      </c>
      <c r="H857" s="110">
        <v>43193.75</v>
      </c>
      <c r="I857" s="111">
        <v>43187</v>
      </c>
      <c r="J857" s="111">
        <v>43193</v>
      </c>
      <c r="K857" s="112" t="s">
        <v>525</v>
      </c>
      <c r="L857" s="112">
        <v>0.75</v>
      </c>
      <c r="M857" s="112" t="s">
        <v>540</v>
      </c>
      <c r="N857" s="112" t="s">
        <v>529</v>
      </c>
      <c r="O857" s="112" t="s">
        <v>669</v>
      </c>
      <c r="P857" s="109" t="s">
        <v>9</v>
      </c>
      <c r="Q857" s="109" t="s">
        <v>190</v>
      </c>
      <c r="R857" s="109" t="s">
        <v>109</v>
      </c>
      <c r="S857" s="109">
        <v>5</v>
      </c>
      <c r="T857" s="109">
        <v>11</v>
      </c>
      <c r="U857" s="139">
        <v>33</v>
      </c>
      <c r="V857" s="140">
        <v>363</v>
      </c>
    </row>
    <row r="858" spans="1:22" x14ac:dyDescent="0.25">
      <c r="A858" s="103" t="s">
        <v>666</v>
      </c>
      <c r="B858" s="104" t="s">
        <v>45</v>
      </c>
      <c r="C858" s="104" t="s">
        <v>177</v>
      </c>
      <c r="D858" s="104" t="s">
        <v>85</v>
      </c>
      <c r="E858" s="104" t="s">
        <v>170</v>
      </c>
      <c r="F858" s="104">
        <v>2016</v>
      </c>
      <c r="G858" s="105">
        <v>43187.375</v>
      </c>
      <c r="H858" s="105">
        <v>43193.75</v>
      </c>
      <c r="I858" s="106">
        <v>43187</v>
      </c>
      <c r="J858" s="106">
        <v>43193</v>
      </c>
      <c r="K858" s="107" t="s">
        <v>525</v>
      </c>
      <c r="L858" s="107">
        <v>0.75</v>
      </c>
      <c r="M858" s="107" t="s">
        <v>540</v>
      </c>
      <c r="N858" s="107" t="s">
        <v>529</v>
      </c>
      <c r="O858" s="107" t="s">
        <v>669</v>
      </c>
      <c r="P858" s="104" t="s">
        <v>23</v>
      </c>
      <c r="Q858" s="104" t="s">
        <v>22</v>
      </c>
      <c r="R858" s="104" t="s">
        <v>109</v>
      </c>
      <c r="S858" s="104">
        <v>2</v>
      </c>
      <c r="T858" s="104">
        <v>8</v>
      </c>
      <c r="U858" s="137">
        <v>47</v>
      </c>
      <c r="V858" s="138">
        <v>376</v>
      </c>
    </row>
    <row r="859" spans="1:22" x14ac:dyDescent="0.25">
      <c r="A859" s="108" t="s">
        <v>667</v>
      </c>
      <c r="B859" s="109" t="s">
        <v>45</v>
      </c>
      <c r="C859" s="109" t="s">
        <v>177</v>
      </c>
      <c r="D859" s="109" t="s">
        <v>86</v>
      </c>
      <c r="E859" s="109" t="s">
        <v>169</v>
      </c>
      <c r="F859" s="109">
        <v>2016</v>
      </c>
      <c r="G859" s="110">
        <v>43188.333333333336</v>
      </c>
      <c r="H859" s="110">
        <v>43201.5</v>
      </c>
      <c r="I859" s="111">
        <v>43188</v>
      </c>
      <c r="J859" s="111">
        <v>43201</v>
      </c>
      <c r="K859" s="112" t="s">
        <v>522</v>
      </c>
      <c r="L859" s="112">
        <v>0.5</v>
      </c>
      <c r="M859" s="112" t="s">
        <v>539</v>
      </c>
      <c r="N859" s="112" t="s">
        <v>529</v>
      </c>
      <c r="O859" s="112" t="s">
        <v>669</v>
      </c>
      <c r="P859" s="109" t="s">
        <v>9</v>
      </c>
      <c r="Q859" s="109" t="s">
        <v>21</v>
      </c>
      <c r="R859" s="109" t="s">
        <v>113</v>
      </c>
      <c r="S859" s="109">
        <v>5</v>
      </c>
      <c r="T859" s="109">
        <v>9</v>
      </c>
      <c r="U859" s="139">
        <v>47</v>
      </c>
      <c r="V859" s="140">
        <v>423</v>
      </c>
    </row>
    <row r="860" spans="1:22" x14ac:dyDescent="0.25">
      <c r="A860" s="103" t="s">
        <v>668</v>
      </c>
      <c r="B860" s="104" t="s">
        <v>39</v>
      </c>
      <c r="C860" s="104" t="s">
        <v>177</v>
      </c>
      <c r="D860" s="104" t="s">
        <v>83</v>
      </c>
      <c r="E860" s="104" t="s">
        <v>174</v>
      </c>
      <c r="F860" s="104">
        <v>2016</v>
      </c>
      <c r="G860" s="105">
        <v>43188.333333333336</v>
      </c>
      <c r="H860" s="105">
        <v>43201.5</v>
      </c>
      <c r="I860" s="106">
        <v>43188</v>
      </c>
      <c r="J860" s="106">
        <v>43201</v>
      </c>
      <c r="K860" s="107" t="s">
        <v>522</v>
      </c>
      <c r="L860" s="107">
        <v>0.5</v>
      </c>
      <c r="M860" s="107" t="s">
        <v>539</v>
      </c>
      <c r="N860" s="107" t="s">
        <v>529</v>
      </c>
      <c r="O860" s="107" t="s">
        <v>669</v>
      </c>
      <c r="P860" s="104" t="s">
        <v>23</v>
      </c>
      <c r="Q860" s="104" t="s">
        <v>35</v>
      </c>
      <c r="R860" s="104" t="s">
        <v>109</v>
      </c>
      <c r="S860" s="104">
        <v>5</v>
      </c>
      <c r="T860" s="104">
        <v>12</v>
      </c>
      <c r="U860" s="137">
        <v>62</v>
      </c>
      <c r="V860" s="138">
        <v>744</v>
      </c>
    </row>
    <row r="861" spans="1:22" x14ac:dyDescent="0.25">
      <c r="A861" s="108" t="s">
        <v>670</v>
      </c>
      <c r="B861" s="109" t="s">
        <v>7</v>
      </c>
      <c r="C861" s="109" t="s">
        <v>175</v>
      </c>
      <c r="D861" s="109" t="s">
        <v>78</v>
      </c>
      <c r="E861" s="109" t="s">
        <v>172</v>
      </c>
      <c r="F861" s="109">
        <v>2016</v>
      </c>
      <c r="G861" s="110">
        <v>43191.791666666664</v>
      </c>
      <c r="H861" s="110">
        <v>43202.958333333336</v>
      </c>
      <c r="I861" s="111">
        <v>43191</v>
      </c>
      <c r="J861" s="111">
        <v>43202</v>
      </c>
      <c r="K861" s="112" t="s">
        <v>526</v>
      </c>
      <c r="L861" s="112">
        <v>0.95833333333333337</v>
      </c>
      <c r="M861" s="112" t="s">
        <v>541</v>
      </c>
      <c r="N861" s="112" t="s">
        <v>530</v>
      </c>
      <c r="O861" s="112" t="s">
        <v>669</v>
      </c>
      <c r="P861" s="109" t="s">
        <v>9</v>
      </c>
      <c r="Q861" s="109" t="s">
        <v>16</v>
      </c>
      <c r="R861" s="109" t="s">
        <v>109</v>
      </c>
      <c r="S861" s="109">
        <v>5</v>
      </c>
      <c r="T861" s="109">
        <v>8</v>
      </c>
      <c r="U861" s="139">
        <v>61</v>
      </c>
      <c r="V861" s="140">
        <v>488</v>
      </c>
    </row>
    <row r="862" spans="1:22" x14ac:dyDescent="0.25">
      <c r="A862" s="103" t="s">
        <v>671</v>
      </c>
      <c r="B862" s="104" t="s">
        <v>39</v>
      </c>
      <c r="C862" s="104" t="s">
        <v>177</v>
      </c>
      <c r="D862" s="104" t="s">
        <v>83</v>
      </c>
      <c r="E862" s="104" t="s">
        <v>174</v>
      </c>
      <c r="F862" s="104">
        <v>2016</v>
      </c>
      <c r="G862" s="105">
        <v>43191.791666666664</v>
      </c>
      <c r="H862" s="105">
        <v>43202.958333333336</v>
      </c>
      <c r="I862" s="106">
        <v>43191</v>
      </c>
      <c r="J862" s="106">
        <v>43202</v>
      </c>
      <c r="K862" s="107" t="s">
        <v>526</v>
      </c>
      <c r="L862" s="107">
        <v>0.95833333333333337</v>
      </c>
      <c r="M862" s="107" t="s">
        <v>541</v>
      </c>
      <c r="N862" s="107" t="s">
        <v>530</v>
      </c>
      <c r="O862" s="107" t="s">
        <v>669</v>
      </c>
      <c r="P862" s="104" t="s">
        <v>9</v>
      </c>
      <c r="Q862" s="104" t="s">
        <v>41</v>
      </c>
      <c r="R862" s="104" t="s">
        <v>113</v>
      </c>
      <c r="S862" s="104">
        <v>4</v>
      </c>
      <c r="T862" s="104">
        <v>8</v>
      </c>
      <c r="U862" s="137">
        <v>62</v>
      </c>
      <c r="V862" s="138">
        <v>496</v>
      </c>
    </row>
    <row r="863" spans="1:22" x14ac:dyDescent="0.25">
      <c r="A863" s="108" t="s">
        <v>672</v>
      </c>
      <c r="B863" s="109" t="s">
        <v>11</v>
      </c>
      <c r="C863" s="109" t="s">
        <v>175</v>
      </c>
      <c r="D863" s="109" t="s">
        <v>77</v>
      </c>
      <c r="E863" s="109" t="s">
        <v>172</v>
      </c>
      <c r="F863" s="109">
        <v>2016</v>
      </c>
      <c r="G863" s="110">
        <v>43191.791666666664</v>
      </c>
      <c r="H863" s="110">
        <v>43202.958333333336</v>
      </c>
      <c r="I863" s="111">
        <v>43191</v>
      </c>
      <c r="J863" s="111">
        <v>43202</v>
      </c>
      <c r="K863" s="112" t="s">
        <v>526</v>
      </c>
      <c r="L863" s="112">
        <v>0.95833333333333337</v>
      </c>
      <c r="M863" s="112" t="s">
        <v>541</v>
      </c>
      <c r="N863" s="112" t="s">
        <v>530</v>
      </c>
      <c r="O863" s="112" t="s">
        <v>669</v>
      </c>
      <c r="P863" s="109" t="s">
        <v>9</v>
      </c>
      <c r="Q863" s="109" t="s">
        <v>37</v>
      </c>
      <c r="R863" s="109" t="s">
        <v>113</v>
      </c>
      <c r="S863" s="109">
        <v>4</v>
      </c>
      <c r="T863" s="109">
        <v>11</v>
      </c>
      <c r="U863" s="139">
        <v>33</v>
      </c>
      <c r="V863" s="140">
        <v>363</v>
      </c>
    </row>
    <row r="864" spans="1:22" x14ac:dyDescent="0.25">
      <c r="A864" s="103" t="s">
        <v>673</v>
      </c>
      <c r="B864" s="104" t="s">
        <v>19</v>
      </c>
      <c r="C864" s="104" t="s">
        <v>176</v>
      </c>
      <c r="D864" s="104" t="s">
        <v>86</v>
      </c>
      <c r="E864" s="104" t="s">
        <v>169</v>
      </c>
      <c r="F864" s="104">
        <v>2016</v>
      </c>
      <c r="G864" s="105">
        <v>43191.791666666664</v>
      </c>
      <c r="H864" s="105">
        <v>43202.958333333336</v>
      </c>
      <c r="I864" s="106">
        <v>43191</v>
      </c>
      <c r="J864" s="106">
        <v>43202</v>
      </c>
      <c r="K864" s="107" t="s">
        <v>526</v>
      </c>
      <c r="L864" s="107">
        <v>0.95833333333333337</v>
      </c>
      <c r="M864" s="107" t="s">
        <v>541</v>
      </c>
      <c r="N864" s="107" t="s">
        <v>530</v>
      </c>
      <c r="O864" s="107" t="s">
        <v>669</v>
      </c>
      <c r="P864" s="104" t="s">
        <v>23</v>
      </c>
      <c r="Q864" s="104" t="s">
        <v>44</v>
      </c>
      <c r="R864" s="104" t="s">
        <v>113</v>
      </c>
      <c r="S864" s="104">
        <v>5</v>
      </c>
      <c r="T864" s="104">
        <v>8</v>
      </c>
      <c r="U864" s="137">
        <v>47</v>
      </c>
      <c r="V864" s="138">
        <v>376</v>
      </c>
    </row>
    <row r="865" spans="1:22" x14ac:dyDescent="0.25">
      <c r="A865" s="108" t="s">
        <v>674</v>
      </c>
      <c r="B865" s="109" t="s">
        <v>17</v>
      </c>
      <c r="C865" s="109" t="s">
        <v>176</v>
      </c>
      <c r="D865" s="109" t="s">
        <v>77</v>
      </c>
      <c r="E865" s="109" t="s">
        <v>172</v>
      </c>
      <c r="F865" s="109">
        <v>2016</v>
      </c>
      <c r="G865" s="110">
        <v>43191.791666666664</v>
      </c>
      <c r="H865" s="110">
        <v>43202.958333333336</v>
      </c>
      <c r="I865" s="111">
        <v>43191</v>
      </c>
      <c r="J865" s="111">
        <v>43202</v>
      </c>
      <c r="K865" s="112" t="s">
        <v>526</v>
      </c>
      <c r="L865" s="112">
        <v>0.95833333333333337</v>
      </c>
      <c r="M865" s="112" t="s">
        <v>541</v>
      </c>
      <c r="N865" s="112" t="s">
        <v>530</v>
      </c>
      <c r="O865" s="112" t="s">
        <v>669</v>
      </c>
      <c r="P865" s="109" t="s">
        <v>9</v>
      </c>
      <c r="Q865" s="109" t="s">
        <v>190</v>
      </c>
      <c r="R865" s="109" t="s">
        <v>109</v>
      </c>
      <c r="S865" s="109">
        <v>4</v>
      </c>
      <c r="T865" s="109">
        <v>8</v>
      </c>
      <c r="U865" s="139">
        <v>33</v>
      </c>
      <c r="V865" s="140">
        <v>264</v>
      </c>
    </row>
    <row r="866" spans="1:22" x14ac:dyDescent="0.25">
      <c r="A866" s="103" t="s">
        <v>675</v>
      </c>
      <c r="B866" s="104" t="s">
        <v>14</v>
      </c>
      <c r="C866" s="104" t="s">
        <v>175</v>
      </c>
      <c r="D866" s="104" t="s">
        <v>89</v>
      </c>
      <c r="E866" s="104" t="s">
        <v>169</v>
      </c>
      <c r="F866" s="104">
        <v>2016</v>
      </c>
      <c r="G866" s="105">
        <v>43192.791666666664</v>
      </c>
      <c r="H866" s="105">
        <v>43205.958333333336</v>
      </c>
      <c r="I866" s="106">
        <v>43192</v>
      </c>
      <c r="J866" s="106">
        <v>43205</v>
      </c>
      <c r="K866" s="107" t="s">
        <v>526</v>
      </c>
      <c r="L866" s="107">
        <v>0.95833333333333337</v>
      </c>
      <c r="M866" s="107" t="s">
        <v>541</v>
      </c>
      <c r="N866" s="107" t="s">
        <v>530</v>
      </c>
      <c r="O866" s="107" t="s">
        <v>669</v>
      </c>
      <c r="P866" s="104" t="s">
        <v>23</v>
      </c>
      <c r="Q866" s="104" t="s">
        <v>33</v>
      </c>
      <c r="R866" s="104" t="s">
        <v>113</v>
      </c>
      <c r="S866" s="104">
        <v>4</v>
      </c>
      <c r="T866" s="104">
        <v>12</v>
      </c>
      <c r="U866" s="137">
        <v>61</v>
      </c>
      <c r="V866" s="138">
        <v>732</v>
      </c>
    </row>
    <row r="867" spans="1:22" x14ac:dyDescent="0.25">
      <c r="A867" s="108" t="s">
        <v>676</v>
      </c>
      <c r="B867" s="109" t="s">
        <v>19</v>
      </c>
      <c r="C867" s="109" t="s">
        <v>176</v>
      </c>
      <c r="D867" s="109" t="s">
        <v>77</v>
      </c>
      <c r="E867" s="109" t="s">
        <v>172</v>
      </c>
      <c r="F867" s="109">
        <v>2016</v>
      </c>
      <c r="G867" s="110">
        <v>43193.583333333336</v>
      </c>
      <c r="H867" s="110">
        <v>43206.75</v>
      </c>
      <c r="I867" s="111">
        <v>43193</v>
      </c>
      <c r="J867" s="111">
        <v>43206</v>
      </c>
      <c r="K867" s="112" t="s">
        <v>527</v>
      </c>
      <c r="L867" s="112">
        <v>0.75</v>
      </c>
      <c r="M867" s="112" t="s">
        <v>542</v>
      </c>
      <c r="N867" s="112" t="s">
        <v>530</v>
      </c>
      <c r="O867" s="112" t="s">
        <v>669</v>
      </c>
      <c r="P867" s="109" t="s">
        <v>23</v>
      </c>
      <c r="Q867" s="109" t="s">
        <v>18</v>
      </c>
      <c r="R867" s="109" t="s">
        <v>113</v>
      </c>
      <c r="S867" s="109">
        <v>2</v>
      </c>
      <c r="T867" s="109">
        <v>11</v>
      </c>
      <c r="U867" s="139">
        <v>33</v>
      </c>
      <c r="V867" s="140">
        <v>363</v>
      </c>
    </row>
    <row r="868" spans="1:22" x14ac:dyDescent="0.25">
      <c r="A868" s="103" t="s">
        <v>677</v>
      </c>
      <c r="B868" s="104" t="s">
        <v>17</v>
      </c>
      <c r="C868" s="104" t="s">
        <v>176</v>
      </c>
      <c r="D868" s="104" t="s">
        <v>88</v>
      </c>
      <c r="E868" s="104" t="s">
        <v>170</v>
      </c>
      <c r="F868" s="104">
        <v>2016</v>
      </c>
      <c r="G868" s="105">
        <v>43193.583333333336</v>
      </c>
      <c r="H868" s="105">
        <v>43206.75</v>
      </c>
      <c r="I868" s="106">
        <v>43193</v>
      </c>
      <c r="J868" s="106">
        <v>43206</v>
      </c>
      <c r="K868" s="107" t="s">
        <v>527</v>
      </c>
      <c r="L868" s="107">
        <v>0.75</v>
      </c>
      <c r="M868" s="107" t="s">
        <v>542</v>
      </c>
      <c r="N868" s="107" t="s">
        <v>530</v>
      </c>
      <c r="O868" s="107" t="s">
        <v>669</v>
      </c>
      <c r="P868" s="104" t="s">
        <v>9</v>
      </c>
      <c r="Q868" s="104" t="s">
        <v>44</v>
      </c>
      <c r="R868" s="104" t="s">
        <v>113</v>
      </c>
      <c r="S868" s="104">
        <v>5</v>
      </c>
      <c r="T868" s="104">
        <v>10</v>
      </c>
      <c r="U868" s="137">
        <v>41</v>
      </c>
      <c r="V868" s="138">
        <v>410</v>
      </c>
    </row>
    <row r="869" spans="1:22" x14ac:dyDescent="0.25">
      <c r="A869" s="108" t="s">
        <v>678</v>
      </c>
      <c r="B869" s="109" t="s">
        <v>14</v>
      </c>
      <c r="C869" s="109" t="s">
        <v>175</v>
      </c>
      <c r="D869" s="109" t="s">
        <v>77</v>
      </c>
      <c r="E869" s="109" t="s">
        <v>172</v>
      </c>
      <c r="F869" s="109">
        <v>2016</v>
      </c>
      <c r="G869" s="110">
        <v>43194.375</v>
      </c>
      <c r="H869" s="110">
        <v>43200.75</v>
      </c>
      <c r="I869" s="111">
        <v>43194</v>
      </c>
      <c r="J869" s="111">
        <v>43200</v>
      </c>
      <c r="K869" s="112" t="s">
        <v>525</v>
      </c>
      <c r="L869" s="112">
        <v>0.75</v>
      </c>
      <c r="M869" s="112" t="s">
        <v>540</v>
      </c>
      <c r="N869" s="112" t="s">
        <v>530</v>
      </c>
      <c r="O869" s="112" t="s">
        <v>669</v>
      </c>
      <c r="P869" s="109" t="s">
        <v>9</v>
      </c>
      <c r="Q869" s="109" t="s">
        <v>44</v>
      </c>
      <c r="R869" s="109" t="s">
        <v>113</v>
      </c>
      <c r="S869" s="109">
        <v>4</v>
      </c>
      <c r="T869" s="109">
        <v>9</v>
      </c>
      <c r="U869" s="139">
        <v>33</v>
      </c>
      <c r="V869" s="140">
        <v>297</v>
      </c>
    </row>
    <row r="870" spans="1:22" x14ac:dyDescent="0.25">
      <c r="A870" s="103" t="s">
        <v>679</v>
      </c>
      <c r="B870" s="104" t="s">
        <v>11</v>
      </c>
      <c r="C870" s="104" t="s">
        <v>175</v>
      </c>
      <c r="D870" s="104" t="s">
        <v>78</v>
      </c>
      <c r="E870" s="104" t="s">
        <v>172</v>
      </c>
      <c r="F870" s="104">
        <v>2016</v>
      </c>
      <c r="G870" s="105">
        <v>43194.375</v>
      </c>
      <c r="H870" s="105">
        <v>43200.75</v>
      </c>
      <c r="I870" s="106">
        <v>43194</v>
      </c>
      <c r="J870" s="106">
        <v>43200</v>
      </c>
      <c r="K870" s="107" t="s">
        <v>525</v>
      </c>
      <c r="L870" s="107">
        <v>0.75</v>
      </c>
      <c r="M870" s="107" t="s">
        <v>540</v>
      </c>
      <c r="N870" s="107" t="s">
        <v>530</v>
      </c>
      <c r="O870" s="107" t="s">
        <v>669</v>
      </c>
      <c r="P870" s="104" t="s">
        <v>9</v>
      </c>
      <c r="Q870" s="104" t="s">
        <v>33</v>
      </c>
      <c r="R870" s="104" t="s">
        <v>113</v>
      </c>
      <c r="S870" s="104">
        <v>5</v>
      </c>
      <c r="T870" s="104">
        <v>12</v>
      </c>
      <c r="U870" s="137">
        <v>61</v>
      </c>
      <c r="V870" s="138">
        <v>732</v>
      </c>
    </row>
    <row r="871" spans="1:22" x14ac:dyDescent="0.25">
      <c r="A871" s="108" t="s">
        <v>680</v>
      </c>
      <c r="B871" s="109" t="s">
        <v>11</v>
      </c>
      <c r="C871" s="109" t="s">
        <v>175</v>
      </c>
      <c r="D871" s="109" t="s">
        <v>89</v>
      </c>
      <c r="E871" s="109" t="s">
        <v>169</v>
      </c>
      <c r="F871" s="109">
        <v>2016</v>
      </c>
      <c r="G871" s="110">
        <v>43195.333333333336</v>
      </c>
      <c r="H871" s="110">
        <v>43208.5</v>
      </c>
      <c r="I871" s="111">
        <v>43195</v>
      </c>
      <c r="J871" s="111">
        <v>43208</v>
      </c>
      <c r="K871" s="112" t="s">
        <v>522</v>
      </c>
      <c r="L871" s="112">
        <v>0.5</v>
      </c>
      <c r="M871" s="112" t="s">
        <v>539</v>
      </c>
      <c r="N871" s="112" t="s">
        <v>530</v>
      </c>
      <c r="O871" s="112" t="s">
        <v>669</v>
      </c>
      <c r="P871" s="109" t="s">
        <v>23</v>
      </c>
      <c r="Q871" s="109" t="s">
        <v>190</v>
      </c>
      <c r="R871" s="109" t="s">
        <v>109</v>
      </c>
      <c r="S871" s="109">
        <v>2</v>
      </c>
      <c r="T871" s="109">
        <v>10</v>
      </c>
      <c r="U871" s="139">
        <v>61</v>
      </c>
      <c r="V871" s="140">
        <v>610</v>
      </c>
    </row>
    <row r="872" spans="1:22" x14ac:dyDescent="0.25">
      <c r="A872" s="103" t="s">
        <v>681</v>
      </c>
      <c r="B872" s="104" t="s">
        <v>39</v>
      </c>
      <c r="C872" s="104" t="s">
        <v>177</v>
      </c>
      <c r="D872" s="104" t="s">
        <v>80</v>
      </c>
      <c r="E872" s="104" t="s">
        <v>173</v>
      </c>
      <c r="F872" s="104">
        <v>2016</v>
      </c>
      <c r="G872" s="105">
        <v>43195.333333333336</v>
      </c>
      <c r="H872" s="105">
        <v>43208.5</v>
      </c>
      <c r="I872" s="106">
        <v>43195</v>
      </c>
      <c r="J872" s="106">
        <v>43208</v>
      </c>
      <c r="K872" s="107" t="s">
        <v>522</v>
      </c>
      <c r="L872" s="107">
        <v>0.5</v>
      </c>
      <c r="M872" s="107" t="s">
        <v>539</v>
      </c>
      <c r="N872" s="107" t="s">
        <v>530</v>
      </c>
      <c r="O872" s="107" t="s">
        <v>669</v>
      </c>
      <c r="P872" s="104" t="s">
        <v>23</v>
      </c>
      <c r="Q872" s="104" t="s">
        <v>41</v>
      </c>
      <c r="R872" s="104" t="s">
        <v>113</v>
      </c>
      <c r="S872" s="104">
        <v>2</v>
      </c>
      <c r="T872" s="104">
        <v>8</v>
      </c>
      <c r="U872" s="137">
        <v>31</v>
      </c>
      <c r="V872" s="138">
        <v>248</v>
      </c>
    </row>
    <row r="873" spans="1:22" x14ac:dyDescent="0.25">
      <c r="A873" s="108" t="s">
        <v>682</v>
      </c>
      <c r="B873" s="109" t="s">
        <v>22</v>
      </c>
      <c r="C873" s="109" t="s">
        <v>176</v>
      </c>
      <c r="D873" s="109" t="s">
        <v>76</v>
      </c>
      <c r="E873" s="109" t="s">
        <v>174</v>
      </c>
      <c r="F873" s="109">
        <v>2016</v>
      </c>
      <c r="G873" s="110">
        <v>43195.333333333336</v>
      </c>
      <c r="H873" s="110">
        <v>43208.5</v>
      </c>
      <c r="I873" s="111">
        <v>43195</v>
      </c>
      <c r="J873" s="111">
        <v>43208</v>
      </c>
      <c r="K873" s="112" t="s">
        <v>522</v>
      </c>
      <c r="L873" s="112">
        <v>0.5</v>
      </c>
      <c r="M873" s="112" t="s">
        <v>539</v>
      </c>
      <c r="N873" s="112" t="s">
        <v>530</v>
      </c>
      <c r="O873" s="112" t="s">
        <v>669</v>
      </c>
      <c r="P873" s="109" t="s">
        <v>23</v>
      </c>
      <c r="Q873" s="109" t="s">
        <v>33</v>
      </c>
      <c r="R873" s="109" t="s">
        <v>113</v>
      </c>
      <c r="S873" s="109">
        <v>2</v>
      </c>
      <c r="T873" s="109">
        <v>12</v>
      </c>
      <c r="U873" s="139">
        <v>52</v>
      </c>
      <c r="V873" s="140">
        <v>624</v>
      </c>
    </row>
    <row r="874" spans="1:22" x14ac:dyDescent="0.25">
      <c r="A874" s="103" t="s">
        <v>683</v>
      </c>
      <c r="B874" s="104" t="s">
        <v>11</v>
      </c>
      <c r="C874" s="104" t="s">
        <v>175</v>
      </c>
      <c r="D874" s="104" t="s">
        <v>89</v>
      </c>
      <c r="E874" s="104" t="s">
        <v>169</v>
      </c>
      <c r="F874" s="104">
        <v>2016</v>
      </c>
      <c r="G874" s="105">
        <v>43195.333333333336</v>
      </c>
      <c r="H874" s="105">
        <v>43208.5</v>
      </c>
      <c r="I874" s="106">
        <v>43195</v>
      </c>
      <c r="J874" s="106">
        <v>43208</v>
      </c>
      <c r="K874" s="107" t="s">
        <v>522</v>
      </c>
      <c r="L874" s="107">
        <v>0.5</v>
      </c>
      <c r="M874" s="107" t="s">
        <v>539</v>
      </c>
      <c r="N874" s="107" t="s">
        <v>530</v>
      </c>
      <c r="O874" s="107" t="s">
        <v>669</v>
      </c>
      <c r="P874" s="104" t="s">
        <v>23</v>
      </c>
      <c r="Q874" s="104" t="s">
        <v>16</v>
      </c>
      <c r="R874" s="104" t="s">
        <v>109</v>
      </c>
      <c r="S874" s="104">
        <v>4</v>
      </c>
      <c r="T874" s="104">
        <v>11</v>
      </c>
      <c r="U874" s="137">
        <v>61</v>
      </c>
      <c r="V874" s="138">
        <v>671</v>
      </c>
    </row>
    <row r="875" spans="1:22" x14ac:dyDescent="0.25">
      <c r="A875" s="108" t="s">
        <v>684</v>
      </c>
      <c r="B875" s="109" t="s">
        <v>14</v>
      </c>
      <c r="C875" s="109" t="s">
        <v>175</v>
      </c>
      <c r="D875" s="109" t="s">
        <v>83</v>
      </c>
      <c r="E875" s="109" t="s">
        <v>174</v>
      </c>
      <c r="F875" s="109">
        <v>2016</v>
      </c>
      <c r="G875" s="110">
        <v>43196.375</v>
      </c>
      <c r="H875" s="110">
        <v>43201.75</v>
      </c>
      <c r="I875" s="111">
        <v>43196</v>
      </c>
      <c r="J875" s="111">
        <v>43201</v>
      </c>
      <c r="K875" s="112" t="s">
        <v>525</v>
      </c>
      <c r="L875" s="112">
        <v>0.75</v>
      </c>
      <c r="M875" s="112" t="s">
        <v>540</v>
      </c>
      <c r="N875" s="112" t="s">
        <v>530</v>
      </c>
      <c r="O875" s="112" t="s">
        <v>669</v>
      </c>
      <c r="P875" s="109" t="s">
        <v>23</v>
      </c>
      <c r="Q875" s="109" t="s">
        <v>41</v>
      </c>
      <c r="R875" s="109" t="s">
        <v>113</v>
      </c>
      <c r="S875" s="109">
        <v>4</v>
      </c>
      <c r="T875" s="109">
        <v>11</v>
      </c>
      <c r="U875" s="139">
        <v>62</v>
      </c>
      <c r="V875" s="140">
        <v>682</v>
      </c>
    </row>
    <row r="876" spans="1:22" x14ac:dyDescent="0.25">
      <c r="A876" s="103" t="s">
        <v>685</v>
      </c>
      <c r="B876" s="104" t="s">
        <v>11</v>
      </c>
      <c r="C876" s="104" t="s">
        <v>175</v>
      </c>
      <c r="D876" s="104" t="s">
        <v>85</v>
      </c>
      <c r="E876" s="104" t="s">
        <v>170</v>
      </c>
      <c r="F876" s="104">
        <v>2016</v>
      </c>
      <c r="G876" s="105">
        <v>43198.791666666664</v>
      </c>
      <c r="H876" s="105">
        <v>43209.958333333336</v>
      </c>
      <c r="I876" s="106">
        <v>43198</v>
      </c>
      <c r="J876" s="106">
        <v>43209</v>
      </c>
      <c r="K876" s="107" t="s">
        <v>526</v>
      </c>
      <c r="L876" s="107">
        <v>0.95833333333333337</v>
      </c>
      <c r="M876" s="107" t="s">
        <v>541</v>
      </c>
      <c r="N876" s="107" t="s">
        <v>530</v>
      </c>
      <c r="O876" s="107" t="s">
        <v>669</v>
      </c>
      <c r="P876" s="104" t="s">
        <v>23</v>
      </c>
      <c r="Q876" s="104" t="s">
        <v>26</v>
      </c>
      <c r="R876" s="104" t="s">
        <v>113</v>
      </c>
      <c r="S876" s="104">
        <v>2</v>
      </c>
      <c r="T876" s="104">
        <v>9</v>
      </c>
      <c r="U876" s="137">
        <v>47</v>
      </c>
      <c r="V876" s="138">
        <v>423</v>
      </c>
    </row>
    <row r="877" spans="1:22" x14ac:dyDescent="0.25">
      <c r="A877" s="108" t="s">
        <v>686</v>
      </c>
      <c r="B877" s="109" t="s">
        <v>11</v>
      </c>
      <c r="C877" s="109" t="s">
        <v>175</v>
      </c>
      <c r="D877" s="109" t="s">
        <v>86</v>
      </c>
      <c r="E877" s="109" t="s">
        <v>169</v>
      </c>
      <c r="F877" s="109">
        <v>2016</v>
      </c>
      <c r="G877" s="110">
        <v>43198.791666666664</v>
      </c>
      <c r="H877" s="110">
        <v>43209.958333333336</v>
      </c>
      <c r="I877" s="111">
        <v>43198</v>
      </c>
      <c r="J877" s="111">
        <v>43209</v>
      </c>
      <c r="K877" s="112" t="s">
        <v>526</v>
      </c>
      <c r="L877" s="112">
        <v>0.95833333333333337</v>
      </c>
      <c r="M877" s="112" t="s">
        <v>541</v>
      </c>
      <c r="N877" s="112" t="s">
        <v>530</v>
      </c>
      <c r="O877" s="112" t="s">
        <v>669</v>
      </c>
      <c r="P877" s="109" t="s">
        <v>23</v>
      </c>
      <c r="Q877" s="109" t="s">
        <v>12</v>
      </c>
      <c r="R877" s="109" t="s">
        <v>113</v>
      </c>
      <c r="S877" s="109">
        <v>5</v>
      </c>
      <c r="T877" s="109">
        <v>9</v>
      </c>
      <c r="U877" s="139">
        <v>47</v>
      </c>
      <c r="V877" s="140">
        <v>423</v>
      </c>
    </row>
    <row r="878" spans="1:22" x14ac:dyDescent="0.25">
      <c r="A878" s="103" t="s">
        <v>687</v>
      </c>
      <c r="B878" s="104" t="s">
        <v>45</v>
      </c>
      <c r="C878" s="104" t="s">
        <v>177</v>
      </c>
      <c r="D878" s="104" t="s">
        <v>89</v>
      </c>
      <c r="E878" s="104" t="s">
        <v>169</v>
      </c>
      <c r="F878" s="104">
        <v>2016</v>
      </c>
      <c r="G878" s="105">
        <v>43199.791666666664</v>
      </c>
      <c r="H878" s="105">
        <v>43212.958333333336</v>
      </c>
      <c r="I878" s="106">
        <v>43199</v>
      </c>
      <c r="J878" s="106">
        <v>43212</v>
      </c>
      <c r="K878" s="107" t="s">
        <v>526</v>
      </c>
      <c r="L878" s="107">
        <v>0.95833333333333337</v>
      </c>
      <c r="M878" s="107" t="s">
        <v>541</v>
      </c>
      <c r="N878" s="107" t="s">
        <v>530</v>
      </c>
      <c r="O878" s="107" t="s">
        <v>669</v>
      </c>
      <c r="P878" s="104" t="s">
        <v>23</v>
      </c>
      <c r="Q878" s="104" t="s">
        <v>12</v>
      </c>
      <c r="R878" s="104" t="s">
        <v>113</v>
      </c>
      <c r="S878" s="104">
        <v>2</v>
      </c>
      <c r="T878" s="104">
        <v>11</v>
      </c>
      <c r="U878" s="137">
        <v>61</v>
      </c>
      <c r="V878" s="138">
        <v>671</v>
      </c>
    </row>
    <row r="879" spans="1:22" x14ac:dyDescent="0.25">
      <c r="A879" s="108" t="s">
        <v>688</v>
      </c>
      <c r="B879" s="109" t="s">
        <v>14</v>
      </c>
      <c r="C879" s="109" t="s">
        <v>175</v>
      </c>
      <c r="D879" s="109" t="s">
        <v>80</v>
      </c>
      <c r="E879" s="109" t="s">
        <v>173</v>
      </c>
      <c r="F879" s="109">
        <v>2016</v>
      </c>
      <c r="G879" s="110">
        <v>43199.791666666664</v>
      </c>
      <c r="H879" s="110">
        <v>43212.958333333336</v>
      </c>
      <c r="I879" s="111">
        <v>43199</v>
      </c>
      <c r="J879" s="111">
        <v>43212</v>
      </c>
      <c r="K879" s="112" t="s">
        <v>526</v>
      </c>
      <c r="L879" s="112">
        <v>0.95833333333333337</v>
      </c>
      <c r="M879" s="112" t="s">
        <v>541</v>
      </c>
      <c r="N879" s="112" t="s">
        <v>530</v>
      </c>
      <c r="O879" s="112" t="s">
        <v>669</v>
      </c>
      <c r="P879" s="109" t="s">
        <v>9</v>
      </c>
      <c r="Q879" s="109" t="s">
        <v>190</v>
      </c>
      <c r="R879" s="109" t="s">
        <v>109</v>
      </c>
      <c r="S879" s="109">
        <v>2</v>
      </c>
      <c r="T879" s="109">
        <v>9</v>
      </c>
      <c r="U879" s="139">
        <v>31</v>
      </c>
      <c r="V879" s="140">
        <v>279</v>
      </c>
    </row>
    <row r="880" spans="1:22" x14ac:dyDescent="0.25">
      <c r="A880" s="103" t="s">
        <v>689</v>
      </c>
      <c r="B880" s="104" t="s">
        <v>45</v>
      </c>
      <c r="C880" s="104" t="s">
        <v>177</v>
      </c>
      <c r="D880" s="104" t="s">
        <v>89</v>
      </c>
      <c r="E880" s="104" t="s">
        <v>169</v>
      </c>
      <c r="F880" s="104">
        <v>2016</v>
      </c>
      <c r="G880" s="105">
        <v>43199.791666666664</v>
      </c>
      <c r="H880" s="105">
        <v>43212.958333333336</v>
      </c>
      <c r="I880" s="106">
        <v>43199</v>
      </c>
      <c r="J880" s="106">
        <v>43212</v>
      </c>
      <c r="K880" s="107" t="s">
        <v>526</v>
      </c>
      <c r="L880" s="107">
        <v>0.95833333333333337</v>
      </c>
      <c r="M880" s="107" t="s">
        <v>541</v>
      </c>
      <c r="N880" s="107" t="s">
        <v>530</v>
      </c>
      <c r="O880" s="107" t="s">
        <v>669</v>
      </c>
      <c r="P880" s="104" t="s">
        <v>23</v>
      </c>
      <c r="Q880" s="104" t="s">
        <v>33</v>
      </c>
      <c r="R880" s="104" t="s">
        <v>113</v>
      </c>
      <c r="S880" s="104">
        <v>4</v>
      </c>
      <c r="T880" s="104">
        <v>8</v>
      </c>
      <c r="U880" s="137">
        <v>61</v>
      </c>
      <c r="V880" s="138">
        <v>488</v>
      </c>
    </row>
    <row r="881" spans="1:22" x14ac:dyDescent="0.25">
      <c r="A881" s="108" t="s">
        <v>690</v>
      </c>
      <c r="B881" s="109" t="s">
        <v>19</v>
      </c>
      <c r="C881" s="109" t="s">
        <v>176</v>
      </c>
      <c r="D881" s="109" t="s">
        <v>85</v>
      </c>
      <c r="E881" s="109" t="s">
        <v>170</v>
      </c>
      <c r="F881" s="109">
        <v>2016</v>
      </c>
      <c r="G881" s="110">
        <v>43201.375</v>
      </c>
      <c r="H881" s="110">
        <v>43207.75</v>
      </c>
      <c r="I881" s="111">
        <v>43201</v>
      </c>
      <c r="J881" s="111">
        <v>43207</v>
      </c>
      <c r="K881" s="112" t="s">
        <v>525</v>
      </c>
      <c r="L881" s="112">
        <v>0.75</v>
      </c>
      <c r="M881" s="112" t="s">
        <v>540</v>
      </c>
      <c r="N881" s="112" t="s">
        <v>530</v>
      </c>
      <c r="O881" s="112" t="s">
        <v>669</v>
      </c>
      <c r="P881" s="109" t="s">
        <v>23</v>
      </c>
      <c r="Q881" s="109" t="s">
        <v>190</v>
      </c>
      <c r="R881" s="109" t="s">
        <v>109</v>
      </c>
      <c r="S881" s="109">
        <v>5</v>
      </c>
      <c r="T881" s="109">
        <v>8</v>
      </c>
      <c r="U881" s="139">
        <v>47</v>
      </c>
      <c r="V881" s="140">
        <v>376</v>
      </c>
    </row>
    <row r="882" spans="1:22" x14ac:dyDescent="0.25">
      <c r="A882" s="103" t="s">
        <v>691</v>
      </c>
      <c r="B882" s="104" t="s">
        <v>11</v>
      </c>
      <c r="C882" s="104" t="s">
        <v>175</v>
      </c>
      <c r="D882" s="104" t="s">
        <v>83</v>
      </c>
      <c r="E882" s="104" t="s">
        <v>174</v>
      </c>
      <c r="F882" s="104">
        <v>2016</v>
      </c>
      <c r="G882" s="105">
        <v>43201.375</v>
      </c>
      <c r="H882" s="105">
        <v>43207.75</v>
      </c>
      <c r="I882" s="106">
        <v>43201</v>
      </c>
      <c r="J882" s="106">
        <v>43207</v>
      </c>
      <c r="K882" s="107" t="s">
        <v>525</v>
      </c>
      <c r="L882" s="107">
        <v>0.75</v>
      </c>
      <c r="M882" s="107" t="s">
        <v>540</v>
      </c>
      <c r="N882" s="107" t="s">
        <v>530</v>
      </c>
      <c r="O882" s="107" t="s">
        <v>669</v>
      </c>
      <c r="P882" s="104" t="s">
        <v>9</v>
      </c>
      <c r="Q882" s="104" t="s">
        <v>35</v>
      </c>
      <c r="R882" s="104" t="s">
        <v>109</v>
      </c>
      <c r="S882" s="104">
        <v>5</v>
      </c>
      <c r="T882" s="104">
        <v>10</v>
      </c>
      <c r="U882" s="137">
        <v>62</v>
      </c>
      <c r="V882" s="138">
        <v>620</v>
      </c>
    </row>
    <row r="883" spans="1:22" x14ac:dyDescent="0.25">
      <c r="A883" s="108" t="s">
        <v>692</v>
      </c>
      <c r="B883" s="109" t="s">
        <v>17</v>
      </c>
      <c r="C883" s="109" t="s">
        <v>176</v>
      </c>
      <c r="D883" s="109" t="s">
        <v>79</v>
      </c>
      <c r="E883" s="109" t="s">
        <v>168</v>
      </c>
      <c r="F883" s="109">
        <v>2016</v>
      </c>
      <c r="G883" s="110">
        <v>43201.375</v>
      </c>
      <c r="H883" s="110">
        <v>43207.75</v>
      </c>
      <c r="I883" s="111">
        <v>43201</v>
      </c>
      <c r="J883" s="111">
        <v>43207</v>
      </c>
      <c r="K883" s="112" t="s">
        <v>525</v>
      </c>
      <c r="L883" s="112">
        <v>0.75</v>
      </c>
      <c r="M883" s="112" t="s">
        <v>540</v>
      </c>
      <c r="N883" s="112" t="s">
        <v>530</v>
      </c>
      <c r="O883" s="112" t="s">
        <v>669</v>
      </c>
      <c r="P883" s="109" t="s">
        <v>23</v>
      </c>
      <c r="Q883" s="109" t="s">
        <v>38</v>
      </c>
      <c r="R883" s="109" t="s">
        <v>113</v>
      </c>
      <c r="S883" s="109">
        <v>4</v>
      </c>
      <c r="T883" s="109">
        <v>12</v>
      </c>
      <c r="U883" s="139">
        <v>47</v>
      </c>
      <c r="V883" s="140">
        <v>564</v>
      </c>
    </row>
    <row r="884" spans="1:22" x14ac:dyDescent="0.25">
      <c r="A884" s="103" t="s">
        <v>693</v>
      </c>
      <c r="B884" s="104" t="s">
        <v>11</v>
      </c>
      <c r="C884" s="104" t="s">
        <v>175</v>
      </c>
      <c r="D884" s="104" t="s">
        <v>82</v>
      </c>
      <c r="E884" s="104" t="s">
        <v>172</v>
      </c>
      <c r="F884" s="104">
        <v>2016</v>
      </c>
      <c r="G884" s="105">
        <v>43202.333333333336</v>
      </c>
      <c r="H884" s="105">
        <v>43215.5</v>
      </c>
      <c r="I884" s="106">
        <v>43202</v>
      </c>
      <c r="J884" s="106">
        <v>43215</v>
      </c>
      <c r="K884" s="107" t="s">
        <v>522</v>
      </c>
      <c r="L884" s="107">
        <v>0.5</v>
      </c>
      <c r="M884" s="107" t="s">
        <v>539</v>
      </c>
      <c r="N884" s="107" t="s">
        <v>530</v>
      </c>
      <c r="O884" s="107" t="s">
        <v>669</v>
      </c>
      <c r="P884" s="104" t="s">
        <v>23</v>
      </c>
      <c r="Q884" s="104" t="s">
        <v>16</v>
      </c>
      <c r="R884" s="104" t="s">
        <v>109</v>
      </c>
      <c r="S884" s="104">
        <v>3</v>
      </c>
      <c r="T884" s="104">
        <v>8</v>
      </c>
      <c r="U884" s="137">
        <v>73</v>
      </c>
      <c r="V884" s="138">
        <v>584</v>
      </c>
    </row>
    <row r="885" spans="1:22" x14ac:dyDescent="0.25">
      <c r="A885" s="108" t="s">
        <v>694</v>
      </c>
      <c r="B885" s="109" t="s">
        <v>29</v>
      </c>
      <c r="C885" s="109" t="s">
        <v>177</v>
      </c>
      <c r="D885" s="109" t="s">
        <v>80</v>
      </c>
      <c r="E885" s="109" t="s">
        <v>173</v>
      </c>
      <c r="F885" s="109">
        <v>2016</v>
      </c>
      <c r="G885" s="110">
        <v>43203.375</v>
      </c>
      <c r="H885" s="110">
        <v>43208.75</v>
      </c>
      <c r="I885" s="111">
        <v>43203</v>
      </c>
      <c r="J885" s="111">
        <v>43208</v>
      </c>
      <c r="K885" s="112" t="s">
        <v>525</v>
      </c>
      <c r="L885" s="112">
        <v>0.75</v>
      </c>
      <c r="M885" s="112" t="s">
        <v>540</v>
      </c>
      <c r="N885" s="112" t="s">
        <v>530</v>
      </c>
      <c r="O885" s="112" t="s">
        <v>669</v>
      </c>
      <c r="P885" s="109" t="s">
        <v>23</v>
      </c>
      <c r="Q885" s="109" t="s">
        <v>18</v>
      </c>
      <c r="R885" s="109" t="s">
        <v>113</v>
      </c>
      <c r="S885" s="109">
        <v>2</v>
      </c>
      <c r="T885" s="109">
        <v>8</v>
      </c>
      <c r="U885" s="139">
        <v>31</v>
      </c>
      <c r="V885" s="140">
        <v>248</v>
      </c>
    </row>
    <row r="886" spans="1:22" x14ac:dyDescent="0.25">
      <c r="A886" s="103" t="s">
        <v>695</v>
      </c>
      <c r="B886" s="104" t="s">
        <v>45</v>
      </c>
      <c r="C886" s="104" t="s">
        <v>177</v>
      </c>
      <c r="D886" s="104" t="s">
        <v>78</v>
      </c>
      <c r="E886" s="104" t="s">
        <v>172</v>
      </c>
      <c r="F886" s="104">
        <v>2016</v>
      </c>
      <c r="G886" s="105">
        <v>43203.375</v>
      </c>
      <c r="H886" s="105">
        <v>43208.75</v>
      </c>
      <c r="I886" s="106">
        <v>43203</v>
      </c>
      <c r="J886" s="106">
        <v>43208</v>
      </c>
      <c r="K886" s="107" t="s">
        <v>525</v>
      </c>
      <c r="L886" s="107">
        <v>0.75</v>
      </c>
      <c r="M886" s="107" t="s">
        <v>540</v>
      </c>
      <c r="N886" s="107" t="s">
        <v>530</v>
      </c>
      <c r="O886" s="107" t="s">
        <v>669</v>
      </c>
      <c r="P886" s="104" t="s">
        <v>23</v>
      </c>
      <c r="Q886" s="104" t="s">
        <v>33</v>
      </c>
      <c r="R886" s="104" t="s">
        <v>113</v>
      </c>
      <c r="S886" s="104">
        <v>2</v>
      </c>
      <c r="T886" s="104">
        <v>9</v>
      </c>
      <c r="U886" s="137">
        <v>61</v>
      </c>
      <c r="V886" s="138">
        <v>549</v>
      </c>
    </row>
    <row r="887" spans="1:22" x14ac:dyDescent="0.25">
      <c r="A887" s="108" t="s">
        <v>696</v>
      </c>
      <c r="B887" s="109" t="s">
        <v>22</v>
      </c>
      <c r="C887" s="109" t="s">
        <v>176</v>
      </c>
      <c r="D887" s="109" t="s">
        <v>76</v>
      </c>
      <c r="E887" s="109" t="s">
        <v>174</v>
      </c>
      <c r="F887" s="109">
        <v>2016</v>
      </c>
      <c r="G887" s="110">
        <v>43205.791666666664</v>
      </c>
      <c r="H887" s="110">
        <v>43216.958333333336</v>
      </c>
      <c r="I887" s="111">
        <v>43205</v>
      </c>
      <c r="J887" s="111">
        <v>43216</v>
      </c>
      <c r="K887" s="112" t="s">
        <v>526</v>
      </c>
      <c r="L887" s="112">
        <v>0.95833333333333337</v>
      </c>
      <c r="M887" s="112" t="s">
        <v>541</v>
      </c>
      <c r="N887" s="112" t="s">
        <v>530</v>
      </c>
      <c r="O887" s="112" t="s">
        <v>669</v>
      </c>
      <c r="P887" s="109" t="s">
        <v>9</v>
      </c>
      <c r="Q887" s="109" t="s">
        <v>28</v>
      </c>
      <c r="R887" s="109" t="s">
        <v>109</v>
      </c>
      <c r="S887" s="109">
        <v>4</v>
      </c>
      <c r="T887" s="109">
        <v>9</v>
      </c>
      <c r="U887" s="139">
        <v>52</v>
      </c>
      <c r="V887" s="140">
        <v>468</v>
      </c>
    </row>
    <row r="888" spans="1:22" x14ac:dyDescent="0.25">
      <c r="A888" s="103" t="s">
        <v>697</v>
      </c>
      <c r="B888" s="104" t="s">
        <v>19</v>
      </c>
      <c r="C888" s="104" t="s">
        <v>176</v>
      </c>
      <c r="D888" s="104" t="s">
        <v>80</v>
      </c>
      <c r="E888" s="104" t="s">
        <v>173</v>
      </c>
      <c r="F888" s="104">
        <v>2016</v>
      </c>
      <c r="G888" s="105">
        <v>43205.791666666664</v>
      </c>
      <c r="H888" s="105">
        <v>43216.958333333336</v>
      </c>
      <c r="I888" s="106">
        <v>43205</v>
      </c>
      <c r="J888" s="106">
        <v>43216</v>
      </c>
      <c r="K888" s="107" t="s">
        <v>526</v>
      </c>
      <c r="L888" s="107">
        <v>0.95833333333333337</v>
      </c>
      <c r="M888" s="107" t="s">
        <v>541</v>
      </c>
      <c r="N888" s="107" t="s">
        <v>530</v>
      </c>
      <c r="O888" s="107" t="s">
        <v>669</v>
      </c>
      <c r="P888" s="104" t="s">
        <v>23</v>
      </c>
      <c r="Q888" s="104" t="s">
        <v>16</v>
      </c>
      <c r="R888" s="104" t="s">
        <v>109</v>
      </c>
      <c r="S888" s="104">
        <v>5</v>
      </c>
      <c r="T888" s="104">
        <v>8</v>
      </c>
      <c r="U888" s="137">
        <v>31</v>
      </c>
      <c r="V888" s="138">
        <v>248</v>
      </c>
    </row>
    <row r="889" spans="1:22" x14ac:dyDescent="0.25">
      <c r="A889" s="108" t="s">
        <v>698</v>
      </c>
      <c r="B889" s="109" t="s">
        <v>45</v>
      </c>
      <c r="C889" s="109" t="s">
        <v>177</v>
      </c>
      <c r="D889" s="109" t="s">
        <v>89</v>
      </c>
      <c r="E889" s="109" t="s">
        <v>169</v>
      </c>
      <c r="F889" s="109">
        <v>2016</v>
      </c>
      <c r="G889" s="110">
        <v>43205.791666666664</v>
      </c>
      <c r="H889" s="110">
        <v>43216.958333333336</v>
      </c>
      <c r="I889" s="111">
        <v>43205</v>
      </c>
      <c r="J889" s="111">
        <v>43216</v>
      </c>
      <c r="K889" s="112" t="s">
        <v>526</v>
      </c>
      <c r="L889" s="112">
        <v>0.95833333333333337</v>
      </c>
      <c r="M889" s="112" t="s">
        <v>541</v>
      </c>
      <c r="N889" s="112" t="s">
        <v>530</v>
      </c>
      <c r="O889" s="112" t="s">
        <v>669</v>
      </c>
      <c r="P889" s="109" t="s">
        <v>23</v>
      </c>
      <c r="Q889" s="109" t="s">
        <v>35</v>
      </c>
      <c r="R889" s="109" t="s">
        <v>109</v>
      </c>
      <c r="S889" s="109">
        <v>2</v>
      </c>
      <c r="T889" s="109">
        <v>10</v>
      </c>
      <c r="U889" s="139">
        <v>61</v>
      </c>
      <c r="V889" s="140">
        <v>610</v>
      </c>
    </row>
    <row r="890" spans="1:22" x14ac:dyDescent="0.25">
      <c r="A890" s="103" t="s">
        <v>699</v>
      </c>
      <c r="B890" s="104" t="s">
        <v>22</v>
      </c>
      <c r="C890" s="104" t="s">
        <v>176</v>
      </c>
      <c r="D890" s="104" t="s">
        <v>81</v>
      </c>
      <c r="E890" s="104" t="s">
        <v>172</v>
      </c>
      <c r="F890" s="104">
        <v>2016</v>
      </c>
      <c r="G890" s="105">
        <v>43205.791666666664</v>
      </c>
      <c r="H890" s="105">
        <v>43216.958333333336</v>
      </c>
      <c r="I890" s="106">
        <v>43205</v>
      </c>
      <c r="J890" s="106">
        <v>43216</v>
      </c>
      <c r="K890" s="107" t="s">
        <v>526</v>
      </c>
      <c r="L890" s="107">
        <v>0.95833333333333337</v>
      </c>
      <c r="M890" s="107" t="s">
        <v>541</v>
      </c>
      <c r="N890" s="107" t="s">
        <v>530</v>
      </c>
      <c r="O890" s="107" t="s">
        <v>669</v>
      </c>
      <c r="P890" s="104" t="s">
        <v>23</v>
      </c>
      <c r="Q890" s="104" t="s">
        <v>12</v>
      </c>
      <c r="R890" s="104" t="s">
        <v>113</v>
      </c>
      <c r="S890" s="104">
        <v>5</v>
      </c>
      <c r="T890" s="104">
        <v>8</v>
      </c>
      <c r="U890" s="137">
        <v>42</v>
      </c>
      <c r="V890" s="138">
        <v>336</v>
      </c>
    </row>
    <row r="891" spans="1:22" x14ac:dyDescent="0.25">
      <c r="A891" s="108" t="s">
        <v>700</v>
      </c>
      <c r="B891" s="109" t="s">
        <v>29</v>
      </c>
      <c r="C891" s="109" t="s">
        <v>177</v>
      </c>
      <c r="D891" s="109" t="s">
        <v>78</v>
      </c>
      <c r="E891" s="109" t="s">
        <v>172</v>
      </c>
      <c r="F891" s="109">
        <v>2016</v>
      </c>
      <c r="G891" s="110">
        <v>43205.791666666664</v>
      </c>
      <c r="H891" s="110">
        <v>43216.958333333336</v>
      </c>
      <c r="I891" s="111">
        <v>43205</v>
      </c>
      <c r="J891" s="111">
        <v>43216</v>
      </c>
      <c r="K891" s="112" t="s">
        <v>526</v>
      </c>
      <c r="L891" s="112">
        <v>0.95833333333333337</v>
      </c>
      <c r="M891" s="112" t="s">
        <v>541</v>
      </c>
      <c r="N891" s="112" t="s">
        <v>530</v>
      </c>
      <c r="O891" s="112" t="s">
        <v>669</v>
      </c>
      <c r="P891" s="109" t="s">
        <v>9</v>
      </c>
      <c r="Q891" s="109" t="s">
        <v>16</v>
      </c>
      <c r="R891" s="109" t="s">
        <v>109</v>
      </c>
      <c r="S891" s="109">
        <v>5</v>
      </c>
      <c r="T891" s="109">
        <v>9</v>
      </c>
      <c r="U891" s="139">
        <v>61</v>
      </c>
      <c r="V891" s="140">
        <v>549</v>
      </c>
    </row>
    <row r="892" spans="1:22" x14ac:dyDescent="0.25">
      <c r="A892" s="103" t="s">
        <v>701</v>
      </c>
      <c r="B892" s="104" t="s">
        <v>19</v>
      </c>
      <c r="C892" s="104" t="s">
        <v>176</v>
      </c>
      <c r="D892" s="104" t="s">
        <v>80</v>
      </c>
      <c r="E892" s="104" t="s">
        <v>173</v>
      </c>
      <c r="F892" s="104">
        <v>2016</v>
      </c>
      <c r="G892" s="105">
        <v>43205.791666666664</v>
      </c>
      <c r="H892" s="105">
        <v>43216.958333333336</v>
      </c>
      <c r="I892" s="106">
        <v>43205</v>
      </c>
      <c r="J892" s="106">
        <v>43216</v>
      </c>
      <c r="K892" s="107" t="s">
        <v>526</v>
      </c>
      <c r="L892" s="107">
        <v>0.95833333333333337</v>
      </c>
      <c r="M892" s="107" t="s">
        <v>541</v>
      </c>
      <c r="N892" s="107" t="s">
        <v>530</v>
      </c>
      <c r="O892" s="107" t="s">
        <v>669</v>
      </c>
      <c r="P892" s="104" t="s">
        <v>23</v>
      </c>
      <c r="Q892" s="104" t="s">
        <v>41</v>
      </c>
      <c r="R892" s="104" t="s">
        <v>113</v>
      </c>
      <c r="S892" s="104">
        <v>5</v>
      </c>
      <c r="T892" s="104">
        <v>9</v>
      </c>
      <c r="U892" s="137">
        <v>31</v>
      </c>
      <c r="V892" s="138">
        <v>279</v>
      </c>
    </row>
    <row r="893" spans="1:22" x14ac:dyDescent="0.25">
      <c r="A893" s="108" t="s">
        <v>702</v>
      </c>
      <c r="B893" s="109" t="s">
        <v>45</v>
      </c>
      <c r="C893" s="109" t="s">
        <v>177</v>
      </c>
      <c r="D893" s="109" t="s">
        <v>78</v>
      </c>
      <c r="E893" s="109" t="s">
        <v>172</v>
      </c>
      <c r="F893" s="109">
        <v>2016</v>
      </c>
      <c r="G893" s="110">
        <v>43205.791666666664</v>
      </c>
      <c r="H893" s="110">
        <v>43216.958333333336</v>
      </c>
      <c r="I893" s="111">
        <v>43205</v>
      </c>
      <c r="J893" s="111">
        <v>43216</v>
      </c>
      <c r="K893" s="112" t="s">
        <v>526</v>
      </c>
      <c r="L893" s="112">
        <v>0.95833333333333337</v>
      </c>
      <c r="M893" s="112" t="s">
        <v>541</v>
      </c>
      <c r="N893" s="112" t="s">
        <v>530</v>
      </c>
      <c r="O893" s="112" t="s">
        <v>669</v>
      </c>
      <c r="P893" s="109" t="s">
        <v>9</v>
      </c>
      <c r="Q893" s="109" t="s">
        <v>16</v>
      </c>
      <c r="R893" s="109" t="s">
        <v>109</v>
      </c>
      <c r="S893" s="109">
        <v>3</v>
      </c>
      <c r="T893" s="109">
        <v>10</v>
      </c>
      <c r="U893" s="139">
        <v>61</v>
      </c>
      <c r="V893" s="140">
        <v>610</v>
      </c>
    </row>
    <row r="894" spans="1:22" x14ac:dyDescent="0.25">
      <c r="A894" s="103" t="s">
        <v>703</v>
      </c>
      <c r="B894" s="104" t="s">
        <v>11</v>
      </c>
      <c r="C894" s="104" t="s">
        <v>175</v>
      </c>
      <c r="D894" s="104" t="s">
        <v>88</v>
      </c>
      <c r="E894" s="104" t="s">
        <v>170</v>
      </c>
      <c r="F894" s="104">
        <v>2016</v>
      </c>
      <c r="G894" s="105">
        <v>43205.791666666664</v>
      </c>
      <c r="H894" s="105">
        <v>43216.958333333336</v>
      </c>
      <c r="I894" s="106">
        <v>43205</v>
      </c>
      <c r="J894" s="106">
        <v>43216</v>
      </c>
      <c r="K894" s="107" t="s">
        <v>526</v>
      </c>
      <c r="L894" s="107">
        <v>0.95833333333333337</v>
      </c>
      <c r="M894" s="107" t="s">
        <v>541</v>
      </c>
      <c r="N894" s="107" t="s">
        <v>530</v>
      </c>
      <c r="O894" s="107" t="s">
        <v>669</v>
      </c>
      <c r="P894" s="104" t="s">
        <v>9</v>
      </c>
      <c r="Q894" s="104" t="s">
        <v>24</v>
      </c>
      <c r="R894" s="104" t="s">
        <v>113</v>
      </c>
      <c r="S894" s="104">
        <v>5</v>
      </c>
      <c r="T894" s="104">
        <v>8</v>
      </c>
      <c r="U894" s="137">
        <v>41</v>
      </c>
      <c r="V894" s="138">
        <v>328</v>
      </c>
    </row>
    <row r="895" spans="1:22" x14ac:dyDescent="0.25">
      <c r="A895" s="108" t="s">
        <v>704</v>
      </c>
      <c r="B895" s="109" t="s">
        <v>17</v>
      </c>
      <c r="C895" s="109" t="s">
        <v>176</v>
      </c>
      <c r="D895" s="109" t="s">
        <v>88</v>
      </c>
      <c r="E895" s="109" t="s">
        <v>170</v>
      </c>
      <c r="F895" s="109">
        <v>2016</v>
      </c>
      <c r="G895" s="110">
        <v>43207.583333333336</v>
      </c>
      <c r="H895" s="110">
        <v>43220.75</v>
      </c>
      <c r="I895" s="111">
        <v>43207</v>
      </c>
      <c r="J895" s="111">
        <v>43220</v>
      </c>
      <c r="K895" s="112" t="s">
        <v>527</v>
      </c>
      <c r="L895" s="112">
        <v>0.75</v>
      </c>
      <c r="M895" s="112" t="s">
        <v>542</v>
      </c>
      <c r="N895" s="112" t="s">
        <v>530</v>
      </c>
      <c r="O895" s="112" t="s">
        <v>669</v>
      </c>
      <c r="P895" s="109" t="s">
        <v>9</v>
      </c>
      <c r="Q895" s="109" t="s">
        <v>22</v>
      </c>
      <c r="R895" s="109" t="s">
        <v>109</v>
      </c>
      <c r="S895" s="109">
        <v>4</v>
      </c>
      <c r="T895" s="109">
        <v>11</v>
      </c>
      <c r="U895" s="139">
        <v>41</v>
      </c>
      <c r="V895" s="140">
        <v>451</v>
      </c>
    </row>
    <row r="896" spans="1:22" x14ac:dyDescent="0.25">
      <c r="A896" s="103" t="s">
        <v>705</v>
      </c>
      <c r="B896" s="104" t="s">
        <v>11</v>
      </c>
      <c r="C896" s="104" t="s">
        <v>175</v>
      </c>
      <c r="D896" s="104" t="s">
        <v>79</v>
      </c>
      <c r="E896" s="104" t="s">
        <v>168</v>
      </c>
      <c r="F896" s="104">
        <v>2016</v>
      </c>
      <c r="G896" s="105">
        <v>43208.375</v>
      </c>
      <c r="H896" s="105">
        <v>43214.75</v>
      </c>
      <c r="I896" s="106">
        <v>43208</v>
      </c>
      <c r="J896" s="106">
        <v>43214</v>
      </c>
      <c r="K896" s="107" t="s">
        <v>525</v>
      </c>
      <c r="L896" s="107">
        <v>0.75</v>
      </c>
      <c r="M896" s="107" t="s">
        <v>540</v>
      </c>
      <c r="N896" s="107" t="s">
        <v>530</v>
      </c>
      <c r="O896" s="107" t="s">
        <v>669</v>
      </c>
      <c r="P896" s="104" t="s">
        <v>23</v>
      </c>
      <c r="Q896" s="104" t="s">
        <v>33</v>
      </c>
      <c r="R896" s="104" t="s">
        <v>113</v>
      </c>
      <c r="S896" s="104">
        <v>5</v>
      </c>
      <c r="T896" s="104">
        <v>11</v>
      </c>
      <c r="U896" s="137">
        <v>47</v>
      </c>
      <c r="V896" s="138">
        <v>517</v>
      </c>
    </row>
    <row r="897" spans="1:22" x14ac:dyDescent="0.25">
      <c r="A897" s="108" t="s">
        <v>706</v>
      </c>
      <c r="B897" s="109" t="s">
        <v>29</v>
      </c>
      <c r="C897" s="109" t="s">
        <v>177</v>
      </c>
      <c r="D897" s="109" t="s">
        <v>89</v>
      </c>
      <c r="E897" s="109" t="s">
        <v>169</v>
      </c>
      <c r="F897" s="109">
        <v>2016</v>
      </c>
      <c r="G897" s="110">
        <v>43210.375</v>
      </c>
      <c r="H897" s="110">
        <v>43215.75</v>
      </c>
      <c r="I897" s="111">
        <v>43210</v>
      </c>
      <c r="J897" s="111">
        <v>43215</v>
      </c>
      <c r="K897" s="112" t="s">
        <v>525</v>
      </c>
      <c r="L897" s="112">
        <v>0.75</v>
      </c>
      <c r="M897" s="112" t="s">
        <v>540</v>
      </c>
      <c r="N897" s="112" t="s">
        <v>530</v>
      </c>
      <c r="O897" s="112" t="s">
        <v>669</v>
      </c>
      <c r="P897" s="109" t="s">
        <v>23</v>
      </c>
      <c r="Q897" s="109" t="s">
        <v>12</v>
      </c>
      <c r="R897" s="109" t="s">
        <v>113</v>
      </c>
      <c r="S897" s="109">
        <v>3</v>
      </c>
      <c r="T897" s="109">
        <v>10</v>
      </c>
      <c r="U897" s="139">
        <v>61</v>
      </c>
      <c r="V897" s="140">
        <v>610</v>
      </c>
    </row>
    <row r="898" spans="1:22" x14ac:dyDescent="0.25">
      <c r="A898" s="103" t="s">
        <v>707</v>
      </c>
      <c r="B898" s="104" t="s">
        <v>7</v>
      </c>
      <c r="C898" s="104" t="s">
        <v>175</v>
      </c>
      <c r="D898" s="104" t="s">
        <v>83</v>
      </c>
      <c r="E898" s="104" t="s">
        <v>174</v>
      </c>
      <c r="F898" s="104">
        <v>2016</v>
      </c>
      <c r="G898" s="105">
        <v>43210.375</v>
      </c>
      <c r="H898" s="105">
        <v>43215.75</v>
      </c>
      <c r="I898" s="106">
        <v>43210</v>
      </c>
      <c r="J898" s="106">
        <v>43215</v>
      </c>
      <c r="K898" s="107" t="s">
        <v>525</v>
      </c>
      <c r="L898" s="107">
        <v>0.75</v>
      </c>
      <c r="M898" s="107" t="s">
        <v>540</v>
      </c>
      <c r="N898" s="107" t="s">
        <v>530</v>
      </c>
      <c r="O898" s="107" t="s">
        <v>669</v>
      </c>
      <c r="P898" s="104" t="s">
        <v>9</v>
      </c>
      <c r="Q898" s="104" t="s">
        <v>28</v>
      </c>
      <c r="R898" s="104" t="s">
        <v>109</v>
      </c>
      <c r="S898" s="104">
        <v>2</v>
      </c>
      <c r="T898" s="104">
        <v>8</v>
      </c>
      <c r="U898" s="137">
        <v>62</v>
      </c>
      <c r="V898" s="138">
        <v>496</v>
      </c>
    </row>
    <row r="899" spans="1:22" x14ac:dyDescent="0.25">
      <c r="A899" s="108" t="s">
        <v>708</v>
      </c>
      <c r="B899" s="109" t="s">
        <v>19</v>
      </c>
      <c r="C899" s="109" t="s">
        <v>176</v>
      </c>
      <c r="D899" s="109" t="s">
        <v>86</v>
      </c>
      <c r="E899" s="109" t="s">
        <v>169</v>
      </c>
      <c r="F899" s="109">
        <v>2016</v>
      </c>
      <c r="G899" s="110">
        <v>43212.791666666664</v>
      </c>
      <c r="H899" s="110">
        <v>43223.958333333336</v>
      </c>
      <c r="I899" s="111">
        <v>43212</v>
      </c>
      <c r="J899" s="111">
        <v>43223</v>
      </c>
      <c r="K899" s="112" t="s">
        <v>526</v>
      </c>
      <c r="L899" s="112">
        <v>0.95833333333333337</v>
      </c>
      <c r="M899" s="112" t="s">
        <v>541</v>
      </c>
      <c r="N899" s="112" t="s">
        <v>530</v>
      </c>
      <c r="O899" s="112" t="s">
        <v>669</v>
      </c>
      <c r="P899" s="109" t="s">
        <v>9</v>
      </c>
      <c r="Q899" s="109" t="s">
        <v>33</v>
      </c>
      <c r="R899" s="109" t="s">
        <v>113</v>
      </c>
      <c r="S899" s="109">
        <v>5</v>
      </c>
      <c r="T899" s="109">
        <v>10</v>
      </c>
      <c r="U899" s="139">
        <v>47</v>
      </c>
      <c r="V899" s="140">
        <v>470</v>
      </c>
    </row>
    <row r="900" spans="1:22" x14ac:dyDescent="0.25">
      <c r="A900" s="103" t="s">
        <v>709</v>
      </c>
      <c r="B900" s="104" t="s">
        <v>7</v>
      </c>
      <c r="C900" s="104" t="s">
        <v>175</v>
      </c>
      <c r="D900" s="104" t="s">
        <v>84</v>
      </c>
      <c r="E900" s="104" t="s">
        <v>172</v>
      </c>
      <c r="F900" s="104">
        <v>2016</v>
      </c>
      <c r="G900" s="105">
        <v>43212.791666666664</v>
      </c>
      <c r="H900" s="105">
        <v>43223.958333333336</v>
      </c>
      <c r="I900" s="106">
        <v>43212</v>
      </c>
      <c r="J900" s="106">
        <v>43223</v>
      </c>
      <c r="K900" s="107" t="s">
        <v>526</v>
      </c>
      <c r="L900" s="107">
        <v>0.95833333333333337</v>
      </c>
      <c r="M900" s="107" t="s">
        <v>541</v>
      </c>
      <c r="N900" s="107" t="s">
        <v>530</v>
      </c>
      <c r="O900" s="107" t="s">
        <v>669</v>
      </c>
      <c r="P900" s="104" t="s">
        <v>23</v>
      </c>
      <c r="Q900" s="104" t="s">
        <v>24</v>
      </c>
      <c r="R900" s="104" t="s">
        <v>113</v>
      </c>
      <c r="S900" s="104">
        <v>4</v>
      </c>
      <c r="T900" s="104">
        <v>11</v>
      </c>
      <c r="U900" s="137">
        <v>51</v>
      </c>
      <c r="V900" s="138">
        <v>561</v>
      </c>
    </row>
    <row r="901" spans="1:22" x14ac:dyDescent="0.25">
      <c r="A901" s="108" t="s">
        <v>710</v>
      </c>
      <c r="B901" s="109" t="s">
        <v>22</v>
      </c>
      <c r="C901" s="109" t="s">
        <v>176</v>
      </c>
      <c r="D901" s="109" t="s">
        <v>83</v>
      </c>
      <c r="E901" s="109" t="s">
        <v>174</v>
      </c>
      <c r="F901" s="109">
        <v>2016</v>
      </c>
      <c r="G901" s="110">
        <v>43213.791666666664</v>
      </c>
      <c r="H901" s="110">
        <v>43226.958333333336</v>
      </c>
      <c r="I901" s="111">
        <v>43213</v>
      </c>
      <c r="J901" s="111">
        <v>43226</v>
      </c>
      <c r="K901" s="112" t="s">
        <v>526</v>
      </c>
      <c r="L901" s="112">
        <v>0.95833333333333337</v>
      </c>
      <c r="M901" s="112" t="s">
        <v>541</v>
      </c>
      <c r="N901" s="112" t="s">
        <v>530</v>
      </c>
      <c r="O901" s="112" t="s">
        <v>669</v>
      </c>
      <c r="P901" s="109" t="s">
        <v>9</v>
      </c>
      <c r="Q901" s="109" t="s">
        <v>16</v>
      </c>
      <c r="R901" s="109" t="s">
        <v>109</v>
      </c>
      <c r="S901" s="109">
        <v>2</v>
      </c>
      <c r="T901" s="109">
        <v>8</v>
      </c>
      <c r="U901" s="139">
        <v>62</v>
      </c>
      <c r="V901" s="140">
        <v>496</v>
      </c>
    </row>
    <row r="902" spans="1:22" x14ac:dyDescent="0.25">
      <c r="A902" s="103" t="s">
        <v>711</v>
      </c>
      <c r="B902" s="104" t="s">
        <v>29</v>
      </c>
      <c r="C902" s="104" t="s">
        <v>177</v>
      </c>
      <c r="D902" s="104" t="s">
        <v>84</v>
      </c>
      <c r="E902" s="104" t="s">
        <v>172</v>
      </c>
      <c r="F902" s="104">
        <v>2016</v>
      </c>
      <c r="G902" s="105">
        <v>43213.791666666664</v>
      </c>
      <c r="H902" s="105">
        <v>43226.958333333336</v>
      </c>
      <c r="I902" s="106">
        <v>43213</v>
      </c>
      <c r="J902" s="106">
        <v>43226</v>
      </c>
      <c r="K902" s="107" t="s">
        <v>526</v>
      </c>
      <c r="L902" s="107">
        <v>0.95833333333333337</v>
      </c>
      <c r="M902" s="107" t="s">
        <v>541</v>
      </c>
      <c r="N902" s="107" t="s">
        <v>530</v>
      </c>
      <c r="O902" s="107" t="s">
        <v>669</v>
      </c>
      <c r="P902" s="104" t="s">
        <v>23</v>
      </c>
      <c r="Q902" s="104" t="s">
        <v>44</v>
      </c>
      <c r="R902" s="104" t="s">
        <v>113</v>
      </c>
      <c r="S902" s="104">
        <v>2</v>
      </c>
      <c r="T902" s="104">
        <v>8</v>
      </c>
      <c r="U902" s="137">
        <v>51</v>
      </c>
      <c r="V902" s="138">
        <v>408</v>
      </c>
    </row>
    <row r="903" spans="1:22" x14ac:dyDescent="0.25">
      <c r="A903" s="108" t="s">
        <v>712</v>
      </c>
      <c r="B903" s="109" t="s">
        <v>45</v>
      </c>
      <c r="C903" s="109" t="s">
        <v>177</v>
      </c>
      <c r="D903" s="109" t="s">
        <v>80</v>
      </c>
      <c r="E903" s="109" t="s">
        <v>173</v>
      </c>
      <c r="F903" s="109">
        <v>2016</v>
      </c>
      <c r="G903" s="110">
        <v>43213.791666666664</v>
      </c>
      <c r="H903" s="110">
        <v>43226.958333333336</v>
      </c>
      <c r="I903" s="111">
        <v>43213</v>
      </c>
      <c r="J903" s="111">
        <v>43226</v>
      </c>
      <c r="K903" s="112" t="s">
        <v>526</v>
      </c>
      <c r="L903" s="112">
        <v>0.95833333333333337</v>
      </c>
      <c r="M903" s="112" t="s">
        <v>541</v>
      </c>
      <c r="N903" s="112" t="s">
        <v>530</v>
      </c>
      <c r="O903" s="112" t="s">
        <v>669</v>
      </c>
      <c r="P903" s="109" t="s">
        <v>9</v>
      </c>
      <c r="Q903" s="109" t="s">
        <v>190</v>
      </c>
      <c r="R903" s="109" t="s">
        <v>109</v>
      </c>
      <c r="S903" s="109">
        <v>4</v>
      </c>
      <c r="T903" s="109">
        <v>9</v>
      </c>
      <c r="U903" s="139">
        <v>31</v>
      </c>
      <c r="V903" s="140">
        <v>279</v>
      </c>
    </row>
    <row r="904" spans="1:22" x14ac:dyDescent="0.25">
      <c r="A904" s="103" t="s">
        <v>713</v>
      </c>
      <c r="B904" s="104" t="s">
        <v>11</v>
      </c>
      <c r="C904" s="104" t="s">
        <v>175</v>
      </c>
      <c r="D904" s="104" t="s">
        <v>78</v>
      </c>
      <c r="E904" s="104" t="s">
        <v>172</v>
      </c>
      <c r="F904" s="104">
        <v>2016</v>
      </c>
      <c r="G904" s="105">
        <v>43214.583333333336</v>
      </c>
      <c r="H904" s="105">
        <v>43227.75</v>
      </c>
      <c r="I904" s="106">
        <v>43214</v>
      </c>
      <c r="J904" s="106">
        <v>43227</v>
      </c>
      <c r="K904" s="107" t="s">
        <v>527</v>
      </c>
      <c r="L904" s="107">
        <v>0.75</v>
      </c>
      <c r="M904" s="107" t="s">
        <v>542</v>
      </c>
      <c r="N904" s="107" t="s">
        <v>530</v>
      </c>
      <c r="O904" s="107" t="s">
        <v>669</v>
      </c>
      <c r="P904" s="104" t="s">
        <v>9</v>
      </c>
      <c r="Q904" s="104" t="s">
        <v>190</v>
      </c>
      <c r="R904" s="104" t="s">
        <v>109</v>
      </c>
      <c r="S904" s="104">
        <v>2</v>
      </c>
      <c r="T904" s="104">
        <v>8</v>
      </c>
      <c r="U904" s="137">
        <v>61</v>
      </c>
      <c r="V904" s="138">
        <v>488</v>
      </c>
    </row>
    <row r="905" spans="1:22" x14ac:dyDescent="0.25">
      <c r="A905" s="108" t="s">
        <v>714</v>
      </c>
      <c r="B905" s="109" t="s">
        <v>14</v>
      </c>
      <c r="C905" s="109" t="s">
        <v>175</v>
      </c>
      <c r="D905" s="109" t="s">
        <v>84</v>
      </c>
      <c r="E905" s="109" t="s">
        <v>172</v>
      </c>
      <c r="F905" s="109">
        <v>2016</v>
      </c>
      <c r="G905" s="110">
        <v>43215.375</v>
      </c>
      <c r="H905" s="110">
        <v>43221.75</v>
      </c>
      <c r="I905" s="111">
        <v>43215</v>
      </c>
      <c r="J905" s="111">
        <v>43221</v>
      </c>
      <c r="K905" s="112" t="s">
        <v>525</v>
      </c>
      <c r="L905" s="112">
        <v>0.75</v>
      </c>
      <c r="M905" s="112" t="s">
        <v>540</v>
      </c>
      <c r="N905" s="112" t="s">
        <v>530</v>
      </c>
      <c r="O905" s="112" t="s">
        <v>669</v>
      </c>
      <c r="P905" s="109" t="s">
        <v>23</v>
      </c>
      <c r="Q905" s="109" t="s">
        <v>35</v>
      </c>
      <c r="R905" s="109" t="s">
        <v>109</v>
      </c>
      <c r="S905" s="109">
        <v>3</v>
      </c>
      <c r="T905" s="109">
        <v>11</v>
      </c>
      <c r="U905" s="139">
        <v>51</v>
      </c>
      <c r="V905" s="140">
        <v>561</v>
      </c>
    </row>
    <row r="906" spans="1:22" x14ac:dyDescent="0.25">
      <c r="A906" s="103" t="s">
        <v>715</v>
      </c>
      <c r="B906" s="104" t="s">
        <v>29</v>
      </c>
      <c r="C906" s="104" t="s">
        <v>177</v>
      </c>
      <c r="D906" s="104" t="s">
        <v>77</v>
      </c>
      <c r="E906" s="104" t="s">
        <v>172</v>
      </c>
      <c r="F906" s="104">
        <v>2016</v>
      </c>
      <c r="G906" s="105">
        <v>43216.333333333336</v>
      </c>
      <c r="H906" s="105">
        <v>43229.5</v>
      </c>
      <c r="I906" s="106">
        <v>43216</v>
      </c>
      <c r="J906" s="106">
        <v>43229</v>
      </c>
      <c r="K906" s="107" t="s">
        <v>522</v>
      </c>
      <c r="L906" s="107">
        <v>0.5</v>
      </c>
      <c r="M906" s="107" t="s">
        <v>539</v>
      </c>
      <c r="N906" s="107" t="s">
        <v>530</v>
      </c>
      <c r="O906" s="107" t="s">
        <v>669</v>
      </c>
      <c r="P906" s="104" t="s">
        <v>9</v>
      </c>
      <c r="Q906" s="104" t="s">
        <v>44</v>
      </c>
      <c r="R906" s="104" t="s">
        <v>113</v>
      </c>
      <c r="S906" s="104">
        <v>4</v>
      </c>
      <c r="T906" s="104">
        <v>11</v>
      </c>
      <c r="U906" s="137">
        <v>33</v>
      </c>
      <c r="V906" s="138">
        <v>363</v>
      </c>
    </row>
    <row r="907" spans="1:22" x14ac:dyDescent="0.25">
      <c r="A907" s="108" t="s">
        <v>716</v>
      </c>
      <c r="B907" s="109" t="s">
        <v>17</v>
      </c>
      <c r="C907" s="109" t="s">
        <v>176</v>
      </c>
      <c r="D907" s="109" t="s">
        <v>84</v>
      </c>
      <c r="E907" s="109" t="s">
        <v>172</v>
      </c>
      <c r="F907" s="109">
        <v>2016</v>
      </c>
      <c r="G907" s="110">
        <v>43217.375</v>
      </c>
      <c r="H907" s="110">
        <v>43222.75</v>
      </c>
      <c r="I907" s="111">
        <v>43217</v>
      </c>
      <c r="J907" s="111">
        <v>43222</v>
      </c>
      <c r="K907" s="112" t="s">
        <v>525</v>
      </c>
      <c r="L907" s="112">
        <v>0.75</v>
      </c>
      <c r="M907" s="112" t="s">
        <v>540</v>
      </c>
      <c r="N907" s="112" t="s">
        <v>530</v>
      </c>
      <c r="O907" s="112" t="s">
        <v>669</v>
      </c>
      <c r="P907" s="109" t="s">
        <v>23</v>
      </c>
      <c r="Q907" s="109" t="s">
        <v>18</v>
      </c>
      <c r="R907" s="109" t="s">
        <v>113</v>
      </c>
      <c r="S907" s="109">
        <v>3</v>
      </c>
      <c r="T907" s="109">
        <v>8</v>
      </c>
      <c r="U907" s="139">
        <v>51</v>
      </c>
      <c r="V907" s="140">
        <v>408</v>
      </c>
    </row>
    <row r="908" spans="1:22" x14ac:dyDescent="0.25">
      <c r="A908" s="103" t="s">
        <v>717</v>
      </c>
      <c r="B908" s="104" t="s">
        <v>45</v>
      </c>
      <c r="C908" s="104" t="s">
        <v>177</v>
      </c>
      <c r="D908" s="104" t="s">
        <v>78</v>
      </c>
      <c r="E908" s="104" t="s">
        <v>172</v>
      </c>
      <c r="F908" s="104">
        <v>2016</v>
      </c>
      <c r="G908" s="105">
        <v>43217.375</v>
      </c>
      <c r="H908" s="105">
        <v>43222.75</v>
      </c>
      <c r="I908" s="106">
        <v>43217</v>
      </c>
      <c r="J908" s="106">
        <v>43222</v>
      </c>
      <c r="K908" s="107" t="s">
        <v>525</v>
      </c>
      <c r="L908" s="107">
        <v>0.75</v>
      </c>
      <c r="M908" s="107" t="s">
        <v>540</v>
      </c>
      <c r="N908" s="107" t="s">
        <v>530</v>
      </c>
      <c r="O908" s="107" t="s">
        <v>669</v>
      </c>
      <c r="P908" s="104" t="s">
        <v>9</v>
      </c>
      <c r="Q908" s="104" t="s">
        <v>22</v>
      </c>
      <c r="R908" s="104" t="s">
        <v>109</v>
      </c>
      <c r="S908" s="104">
        <v>2</v>
      </c>
      <c r="T908" s="104">
        <v>12</v>
      </c>
      <c r="U908" s="137">
        <v>61</v>
      </c>
      <c r="V908" s="138">
        <v>732</v>
      </c>
    </row>
    <row r="909" spans="1:22" x14ac:dyDescent="0.25">
      <c r="A909" s="108" t="s">
        <v>718</v>
      </c>
      <c r="B909" s="109" t="s">
        <v>45</v>
      </c>
      <c r="C909" s="109" t="s">
        <v>177</v>
      </c>
      <c r="D909" s="109" t="s">
        <v>81</v>
      </c>
      <c r="E909" s="109" t="s">
        <v>172</v>
      </c>
      <c r="F909" s="109">
        <v>2016</v>
      </c>
      <c r="G909" s="110">
        <v>43217.375</v>
      </c>
      <c r="H909" s="110">
        <v>43222.75</v>
      </c>
      <c r="I909" s="111">
        <v>43217</v>
      </c>
      <c r="J909" s="111">
        <v>43222</v>
      </c>
      <c r="K909" s="112" t="s">
        <v>525</v>
      </c>
      <c r="L909" s="112">
        <v>0.75</v>
      </c>
      <c r="M909" s="112" t="s">
        <v>540</v>
      </c>
      <c r="N909" s="112" t="s">
        <v>530</v>
      </c>
      <c r="O909" s="112" t="s">
        <v>669</v>
      </c>
      <c r="P909" s="109" t="s">
        <v>9</v>
      </c>
      <c r="Q909" s="109" t="s">
        <v>31</v>
      </c>
      <c r="R909" s="109" t="s">
        <v>113</v>
      </c>
      <c r="S909" s="109">
        <v>3</v>
      </c>
      <c r="T909" s="109">
        <v>12</v>
      </c>
      <c r="U909" s="139">
        <v>42</v>
      </c>
      <c r="V909" s="140">
        <v>504</v>
      </c>
    </row>
    <row r="910" spans="1:22" x14ac:dyDescent="0.25">
      <c r="A910" s="103" t="s">
        <v>719</v>
      </c>
      <c r="B910" s="104" t="s">
        <v>7</v>
      </c>
      <c r="C910" s="104" t="s">
        <v>175</v>
      </c>
      <c r="D910" s="104" t="s">
        <v>76</v>
      </c>
      <c r="E910" s="104" t="s">
        <v>174</v>
      </c>
      <c r="F910" s="104">
        <v>2016</v>
      </c>
      <c r="G910" s="105">
        <v>43219.791666666664</v>
      </c>
      <c r="H910" s="105">
        <v>43230.958333333336</v>
      </c>
      <c r="I910" s="106">
        <v>43219</v>
      </c>
      <c r="J910" s="106">
        <v>43230</v>
      </c>
      <c r="K910" s="107" t="s">
        <v>526</v>
      </c>
      <c r="L910" s="107">
        <v>0.95833333333333337</v>
      </c>
      <c r="M910" s="107" t="s">
        <v>541</v>
      </c>
      <c r="N910" s="107" t="s">
        <v>530</v>
      </c>
      <c r="O910" s="107" t="s">
        <v>669</v>
      </c>
      <c r="P910" s="104" t="s">
        <v>9</v>
      </c>
      <c r="Q910" s="104" t="s">
        <v>22</v>
      </c>
      <c r="R910" s="104" t="s">
        <v>109</v>
      </c>
      <c r="S910" s="104">
        <v>2</v>
      </c>
      <c r="T910" s="104">
        <v>10</v>
      </c>
      <c r="U910" s="137">
        <v>52</v>
      </c>
      <c r="V910" s="138">
        <v>520</v>
      </c>
    </row>
    <row r="911" spans="1:22" x14ac:dyDescent="0.25">
      <c r="A911" s="108" t="s">
        <v>720</v>
      </c>
      <c r="B911" s="109" t="s">
        <v>17</v>
      </c>
      <c r="C911" s="109" t="s">
        <v>176</v>
      </c>
      <c r="D911" s="109" t="s">
        <v>88</v>
      </c>
      <c r="E911" s="109" t="s">
        <v>170</v>
      </c>
      <c r="F911" s="109">
        <v>2016</v>
      </c>
      <c r="G911" s="110">
        <v>43220.791666666664</v>
      </c>
      <c r="H911" s="110">
        <v>43233.958333333336</v>
      </c>
      <c r="I911" s="111">
        <v>43220</v>
      </c>
      <c r="J911" s="111">
        <v>43233</v>
      </c>
      <c r="K911" s="112" t="s">
        <v>526</v>
      </c>
      <c r="L911" s="112">
        <v>0.95833333333333337</v>
      </c>
      <c r="M911" s="112" t="s">
        <v>541</v>
      </c>
      <c r="N911" s="112" t="s">
        <v>530</v>
      </c>
      <c r="O911" s="112" t="s">
        <v>669</v>
      </c>
      <c r="P911" s="109" t="s">
        <v>9</v>
      </c>
      <c r="Q911" s="109" t="s">
        <v>38</v>
      </c>
      <c r="R911" s="109" t="s">
        <v>113</v>
      </c>
      <c r="S911" s="109">
        <v>3</v>
      </c>
      <c r="T911" s="109">
        <v>11</v>
      </c>
      <c r="U911" s="139">
        <v>41</v>
      </c>
      <c r="V911" s="140">
        <v>451</v>
      </c>
    </row>
    <row r="912" spans="1:22" x14ac:dyDescent="0.25">
      <c r="A912" s="103" t="s">
        <v>721</v>
      </c>
      <c r="B912" s="104" t="s">
        <v>39</v>
      </c>
      <c r="C912" s="104" t="s">
        <v>177</v>
      </c>
      <c r="D912" s="104" t="s">
        <v>83</v>
      </c>
      <c r="E912" s="104" t="s">
        <v>174</v>
      </c>
      <c r="F912" s="104">
        <v>2016</v>
      </c>
      <c r="G912" s="105">
        <v>43220.791666666664</v>
      </c>
      <c r="H912" s="105">
        <v>43233.958333333336</v>
      </c>
      <c r="I912" s="106">
        <v>43220</v>
      </c>
      <c r="J912" s="106">
        <v>43233</v>
      </c>
      <c r="K912" s="107" t="s">
        <v>526</v>
      </c>
      <c r="L912" s="107">
        <v>0.95833333333333337</v>
      </c>
      <c r="M912" s="107" t="s">
        <v>541</v>
      </c>
      <c r="N912" s="107" t="s">
        <v>530</v>
      </c>
      <c r="O912" s="107" t="s">
        <v>669</v>
      </c>
      <c r="P912" s="104" t="s">
        <v>9</v>
      </c>
      <c r="Q912" s="104" t="s">
        <v>33</v>
      </c>
      <c r="R912" s="104" t="s">
        <v>113</v>
      </c>
      <c r="S912" s="104">
        <v>2</v>
      </c>
      <c r="T912" s="104">
        <v>12</v>
      </c>
      <c r="U912" s="137">
        <v>62</v>
      </c>
      <c r="V912" s="138">
        <v>744</v>
      </c>
    </row>
    <row r="913" spans="1:22" x14ac:dyDescent="0.25">
      <c r="A913" s="108" t="s">
        <v>722</v>
      </c>
      <c r="B913" s="109" t="s">
        <v>14</v>
      </c>
      <c r="C913" s="109" t="s">
        <v>175</v>
      </c>
      <c r="D913" s="109" t="s">
        <v>79</v>
      </c>
      <c r="E913" s="109" t="s">
        <v>168</v>
      </c>
      <c r="F913" s="109">
        <v>2016</v>
      </c>
      <c r="G913" s="110">
        <v>43220.791666666664</v>
      </c>
      <c r="H913" s="110">
        <v>43233.958333333336</v>
      </c>
      <c r="I913" s="111">
        <v>43220</v>
      </c>
      <c r="J913" s="111">
        <v>43233</v>
      </c>
      <c r="K913" s="112" t="s">
        <v>526</v>
      </c>
      <c r="L913" s="112">
        <v>0.95833333333333337</v>
      </c>
      <c r="M913" s="112" t="s">
        <v>541</v>
      </c>
      <c r="N913" s="112" t="s">
        <v>530</v>
      </c>
      <c r="O913" s="112" t="s">
        <v>669</v>
      </c>
      <c r="P913" s="109" t="s">
        <v>23</v>
      </c>
      <c r="Q913" s="109" t="s">
        <v>26</v>
      </c>
      <c r="R913" s="109" t="s">
        <v>113</v>
      </c>
      <c r="S913" s="109">
        <v>3</v>
      </c>
      <c r="T913" s="109">
        <v>12</v>
      </c>
      <c r="U913" s="139">
        <v>47</v>
      </c>
      <c r="V913" s="140">
        <v>564</v>
      </c>
    </row>
    <row r="914" spans="1:22" x14ac:dyDescent="0.25">
      <c r="A914" s="103" t="s">
        <v>723</v>
      </c>
      <c r="B914" s="104" t="s">
        <v>7</v>
      </c>
      <c r="C914" s="104" t="s">
        <v>175</v>
      </c>
      <c r="D914" s="104" t="s">
        <v>76</v>
      </c>
      <c r="E914" s="104" t="s">
        <v>174</v>
      </c>
      <c r="F914" s="104">
        <v>2016</v>
      </c>
      <c r="G914" s="105">
        <v>43221.583333333336</v>
      </c>
      <c r="H914" s="105">
        <v>43234.75</v>
      </c>
      <c r="I914" s="106">
        <v>43221</v>
      </c>
      <c r="J914" s="106">
        <v>43234</v>
      </c>
      <c r="K914" s="107" t="s">
        <v>527</v>
      </c>
      <c r="L914" s="107">
        <v>0.75</v>
      </c>
      <c r="M914" s="107" t="s">
        <v>542</v>
      </c>
      <c r="N914" s="107" t="s">
        <v>531</v>
      </c>
      <c r="O914" s="107" t="s">
        <v>669</v>
      </c>
      <c r="P914" s="104" t="s">
        <v>9</v>
      </c>
      <c r="Q914" s="104" t="s">
        <v>190</v>
      </c>
      <c r="R914" s="104" t="s">
        <v>109</v>
      </c>
      <c r="S914" s="104">
        <v>5</v>
      </c>
      <c r="T914" s="104">
        <v>11</v>
      </c>
      <c r="U914" s="137">
        <v>53</v>
      </c>
      <c r="V914" s="138">
        <v>583</v>
      </c>
    </row>
    <row r="915" spans="1:22" x14ac:dyDescent="0.25">
      <c r="A915" s="108" t="s">
        <v>724</v>
      </c>
      <c r="B915" s="109" t="s">
        <v>11</v>
      </c>
      <c r="C915" s="109" t="s">
        <v>175</v>
      </c>
      <c r="D915" s="109" t="s">
        <v>76</v>
      </c>
      <c r="E915" s="109" t="s">
        <v>174</v>
      </c>
      <c r="F915" s="109">
        <v>2016</v>
      </c>
      <c r="G915" s="110">
        <v>43222.375</v>
      </c>
      <c r="H915" s="110">
        <v>43228.75</v>
      </c>
      <c r="I915" s="111">
        <v>43222</v>
      </c>
      <c r="J915" s="111">
        <v>43228</v>
      </c>
      <c r="K915" s="112" t="s">
        <v>525</v>
      </c>
      <c r="L915" s="112">
        <v>0.75</v>
      </c>
      <c r="M915" s="112" t="s">
        <v>540</v>
      </c>
      <c r="N915" s="112" t="s">
        <v>531</v>
      </c>
      <c r="O915" s="112" t="s">
        <v>669</v>
      </c>
      <c r="P915" s="109" t="s">
        <v>9</v>
      </c>
      <c r="Q915" s="109" t="s">
        <v>12</v>
      </c>
      <c r="R915" s="109" t="s">
        <v>113</v>
      </c>
      <c r="S915" s="109">
        <v>2</v>
      </c>
      <c r="T915" s="109">
        <v>11</v>
      </c>
      <c r="U915" s="139">
        <v>53</v>
      </c>
      <c r="V915" s="140">
        <v>583</v>
      </c>
    </row>
    <row r="916" spans="1:22" x14ac:dyDescent="0.25">
      <c r="A916" s="103" t="s">
        <v>725</v>
      </c>
      <c r="B916" s="104" t="s">
        <v>14</v>
      </c>
      <c r="C916" s="104" t="s">
        <v>175</v>
      </c>
      <c r="D916" s="104" t="s">
        <v>77</v>
      </c>
      <c r="E916" s="104" t="s">
        <v>172</v>
      </c>
      <c r="F916" s="104">
        <v>2016</v>
      </c>
      <c r="G916" s="105">
        <v>43223.333333333336</v>
      </c>
      <c r="H916" s="105">
        <v>43236.5</v>
      </c>
      <c r="I916" s="106">
        <v>43223</v>
      </c>
      <c r="J916" s="106">
        <v>43236</v>
      </c>
      <c r="K916" s="107" t="s">
        <v>522</v>
      </c>
      <c r="L916" s="107">
        <v>0.5</v>
      </c>
      <c r="M916" s="107" t="s">
        <v>539</v>
      </c>
      <c r="N916" s="107" t="s">
        <v>531</v>
      </c>
      <c r="O916" s="107" t="s">
        <v>669</v>
      </c>
      <c r="P916" s="104" t="s">
        <v>9</v>
      </c>
      <c r="Q916" s="104" t="s">
        <v>16</v>
      </c>
      <c r="R916" s="104" t="s">
        <v>109</v>
      </c>
      <c r="S916" s="104">
        <v>5</v>
      </c>
      <c r="T916" s="104">
        <v>10</v>
      </c>
      <c r="U916" s="137">
        <v>35</v>
      </c>
      <c r="V916" s="138">
        <v>350</v>
      </c>
    </row>
    <row r="917" spans="1:22" x14ac:dyDescent="0.25">
      <c r="A917" s="108" t="s">
        <v>726</v>
      </c>
      <c r="B917" s="109" t="s">
        <v>17</v>
      </c>
      <c r="C917" s="109" t="s">
        <v>176</v>
      </c>
      <c r="D917" s="109" t="s">
        <v>76</v>
      </c>
      <c r="E917" s="109" t="s">
        <v>174</v>
      </c>
      <c r="F917" s="109">
        <v>2016</v>
      </c>
      <c r="G917" s="110">
        <v>43224.375</v>
      </c>
      <c r="H917" s="110">
        <v>43229.75</v>
      </c>
      <c r="I917" s="111">
        <v>43224</v>
      </c>
      <c r="J917" s="111">
        <v>43229</v>
      </c>
      <c r="K917" s="112" t="s">
        <v>525</v>
      </c>
      <c r="L917" s="112">
        <v>0.75</v>
      </c>
      <c r="M917" s="112" t="s">
        <v>540</v>
      </c>
      <c r="N917" s="112" t="s">
        <v>531</v>
      </c>
      <c r="O917" s="112" t="s">
        <v>669</v>
      </c>
      <c r="P917" s="109" t="s">
        <v>9</v>
      </c>
      <c r="Q917" s="109" t="s">
        <v>18</v>
      </c>
      <c r="R917" s="109" t="s">
        <v>113</v>
      </c>
      <c r="S917" s="109">
        <v>5</v>
      </c>
      <c r="T917" s="109">
        <v>9</v>
      </c>
      <c r="U917" s="139">
        <v>53</v>
      </c>
      <c r="V917" s="140">
        <v>477</v>
      </c>
    </row>
    <row r="918" spans="1:22" x14ac:dyDescent="0.25">
      <c r="A918" s="103" t="s">
        <v>727</v>
      </c>
      <c r="B918" s="104" t="s">
        <v>19</v>
      </c>
      <c r="C918" s="104" t="s">
        <v>176</v>
      </c>
      <c r="D918" s="104" t="s">
        <v>78</v>
      </c>
      <c r="E918" s="104" t="s">
        <v>172</v>
      </c>
      <c r="F918" s="104">
        <v>2016</v>
      </c>
      <c r="G918" s="105">
        <v>43226.791666666664</v>
      </c>
      <c r="H918" s="105">
        <v>43237.958333333336</v>
      </c>
      <c r="I918" s="106">
        <v>43226</v>
      </c>
      <c r="J918" s="106">
        <v>43237</v>
      </c>
      <c r="K918" s="107" t="s">
        <v>526</v>
      </c>
      <c r="L918" s="107">
        <v>0.95833333333333337</v>
      </c>
      <c r="M918" s="107" t="s">
        <v>541</v>
      </c>
      <c r="N918" s="107" t="s">
        <v>531</v>
      </c>
      <c r="O918" s="107" t="s">
        <v>669</v>
      </c>
      <c r="P918" s="104" t="s">
        <v>9</v>
      </c>
      <c r="Q918" s="104" t="s">
        <v>21</v>
      </c>
      <c r="R918" s="104" t="s">
        <v>113</v>
      </c>
      <c r="S918" s="104">
        <v>3</v>
      </c>
      <c r="T918" s="104">
        <v>8</v>
      </c>
      <c r="U918" s="137">
        <v>62</v>
      </c>
      <c r="V918" s="138">
        <v>496</v>
      </c>
    </row>
    <row r="919" spans="1:22" x14ac:dyDescent="0.25">
      <c r="A919" s="108" t="s">
        <v>728</v>
      </c>
      <c r="B919" s="109" t="s">
        <v>22</v>
      </c>
      <c r="C919" s="109" t="s">
        <v>176</v>
      </c>
      <c r="D919" s="109" t="s">
        <v>76</v>
      </c>
      <c r="E919" s="109" t="s">
        <v>174</v>
      </c>
      <c r="F919" s="109">
        <v>2016</v>
      </c>
      <c r="G919" s="110">
        <v>43226.791666666664</v>
      </c>
      <c r="H919" s="110">
        <v>43237.958333333336</v>
      </c>
      <c r="I919" s="111">
        <v>43226</v>
      </c>
      <c r="J919" s="111">
        <v>43237</v>
      </c>
      <c r="K919" s="112" t="s">
        <v>526</v>
      </c>
      <c r="L919" s="112">
        <v>0.95833333333333337</v>
      </c>
      <c r="M919" s="112" t="s">
        <v>541</v>
      </c>
      <c r="N919" s="112" t="s">
        <v>531</v>
      </c>
      <c r="O919" s="112" t="s">
        <v>669</v>
      </c>
      <c r="P919" s="109" t="s">
        <v>23</v>
      </c>
      <c r="Q919" s="109" t="s">
        <v>24</v>
      </c>
      <c r="R919" s="109" t="s">
        <v>113</v>
      </c>
      <c r="S919" s="109">
        <v>3</v>
      </c>
      <c r="T919" s="109">
        <v>8</v>
      </c>
      <c r="U919" s="139">
        <v>53</v>
      </c>
      <c r="V919" s="140">
        <v>424</v>
      </c>
    </row>
    <row r="920" spans="1:22" x14ac:dyDescent="0.25">
      <c r="A920" s="103" t="s">
        <v>729</v>
      </c>
      <c r="B920" s="104" t="s">
        <v>7</v>
      </c>
      <c r="C920" s="104" t="s">
        <v>175</v>
      </c>
      <c r="D920" s="104" t="s">
        <v>79</v>
      </c>
      <c r="E920" s="104" t="s">
        <v>168</v>
      </c>
      <c r="F920" s="104">
        <v>2016</v>
      </c>
      <c r="G920" s="105">
        <v>43227.791666666664</v>
      </c>
      <c r="H920" s="105">
        <v>43240.958333333336</v>
      </c>
      <c r="I920" s="106">
        <v>43227</v>
      </c>
      <c r="J920" s="106">
        <v>43240</v>
      </c>
      <c r="K920" s="107" t="s">
        <v>526</v>
      </c>
      <c r="L920" s="107">
        <v>0.95833333333333337</v>
      </c>
      <c r="M920" s="107" t="s">
        <v>541</v>
      </c>
      <c r="N920" s="107" t="s">
        <v>531</v>
      </c>
      <c r="O920" s="107" t="s">
        <v>669</v>
      </c>
      <c r="P920" s="104" t="s">
        <v>9</v>
      </c>
      <c r="Q920" s="104" t="s">
        <v>26</v>
      </c>
      <c r="R920" s="104" t="s">
        <v>113</v>
      </c>
      <c r="S920" s="104">
        <v>2</v>
      </c>
      <c r="T920" s="104">
        <v>11</v>
      </c>
      <c r="U920" s="137">
        <v>48</v>
      </c>
      <c r="V920" s="138">
        <v>528</v>
      </c>
    </row>
    <row r="921" spans="1:22" x14ac:dyDescent="0.25">
      <c r="A921" s="108" t="s">
        <v>730</v>
      </c>
      <c r="B921" s="109" t="s">
        <v>17</v>
      </c>
      <c r="C921" s="109" t="s">
        <v>176</v>
      </c>
      <c r="D921" s="109" t="s">
        <v>80</v>
      </c>
      <c r="E921" s="109" t="s">
        <v>173</v>
      </c>
      <c r="F921" s="109">
        <v>2016</v>
      </c>
      <c r="G921" s="110">
        <v>43228.583333333336</v>
      </c>
      <c r="H921" s="110">
        <v>43241.75</v>
      </c>
      <c r="I921" s="111">
        <v>43228</v>
      </c>
      <c r="J921" s="111">
        <v>43241</v>
      </c>
      <c r="K921" s="112" t="s">
        <v>527</v>
      </c>
      <c r="L921" s="112">
        <v>0.75</v>
      </c>
      <c r="M921" s="112" t="s">
        <v>542</v>
      </c>
      <c r="N921" s="112" t="s">
        <v>531</v>
      </c>
      <c r="O921" s="112" t="s">
        <v>669</v>
      </c>
      <c r="P921" s="109" t="s">
        <v>23</v>
      </c>
      <c r="Q921" s="109" t="s">
        <v>28</v>
      </c>
      <c r="R921" s="109" t="s">
        <v>109</v>
      </c>
      <c r="S921" s="109">
        <v>5</v>
      </c>
      <c r="T921" s="109">
        <v>10</v>
      </c>
      <c r="U921" s="139">
        <v>32</v>
      </c>
      <c r="V921" s="140">
        <v>320</v>
      </c>
    </row>
    <row r="922" spans="1:22" x14ac:dyDescent="0.25">
      <c r="A922" s="103" t="s">
        <v>731</v>
      </c>
      <c r="B922" s="104" t="s">
        <v>29</v>
      </c>
      <c r="C922" s="104" t="s">
        <v>177</v>
      </c>
      <c r="D922" s="104" t="s">
        <v>78</v>
      </c>
      <c r="E922" s="104" t="s">
        <v>172</v>
      </c>
      <c r="F922" s="104">
        <v>2016</v>
      </c>
      <c r="G922" s="105">
        <v>43229.375</v>
      </c>
      <c r="H922" s="105">
        <v>43235.75</v>
      </c>
      <c r="I922" s="106">
        <v>43229</v>
      </c>
      <c r="J922" s="106">
        <v>43235</v>
      </c>
      <c r="K922" s="107" t="s">
        <v>525</v>
      </c>
      <c r="L922" s="107">
        <v>0.75</v>
      </c>
      <c r="M922" s="107" t="s">
        <v>540</v>
      </c>
      <c r="N922" s="107" t="s">
        <v>531</v>
      </c>
      <c r="O922" s="107" t="s">
        <v>669</v>
      </c>
      <c r="P922" s="104" t="s">
        <v>9</v>
      </c>
      <c r="Q922" s="104" t="s">
        <v>21</v>
      </c>
      <c r="R922" s="104" t="s">
        <v>113</v>
      </c>
      <c r="S922" s="104">
        <v>3</v>
      </c>
      <c r="T922" s="104">
        <v>11</v>
      </c>
      <c r="U922" s="137">
        <v>62</v>
      </c>
      <c r="V922" s="138">
        <v>682</v>
      </c>
    </row>
    <row r="923" spans="1:22" x14ac:dyDescent="0.25">
      <c r="A923" s="108" t="s">
        <v>732</v>
      </c>
      <c r="B923" s="109" t="s">
        <v>7</v>
      </c>
      <c r="C923" s="109" t="s">
        <v>175</v>
      </c>
      <c r="D923" s="109" t="s">
        <v>81</v>
      </c>
      <c r="E923" s="109" t="s">
        <v>172</v>
      </c>
      <c r="F923" s="109">
        <v>2016</v>
      </c>
      <c r="G923" s="110">
        <v>43230.333333333336</v>
      </c>
      <c r="H923" s="110">
        <v>43243.5</v>
      </c>
      <c r="I923" s="111">
        <v>43230</v>
      </c>
      <c r="J923" s="111">
        <v>43243</v>
      </c>
      <c r="K923" s="112" t="s">
        <v>522</v>
      </c>
      <c r="L923" s="112">
        <v>0.5</v>
      </c>
      <c r="M923" s="112" t="s">
        <v>539</v>
      </c>
      <c r="N923" s="112" t="s">
        <v>531</v>
      </c>
      <c r="O923" s="112" t="s">
        <v>669</v>
      </c>
      <c r="P923" s="109" t="s">
        <v>9</v>
      </c>
      <c r="Q923" s="109" t="s">
        <v>31</v>
      </c>
      <c r="R923" s="109" t="s">
        <v>113</v>
      </c>
      <c r="S923" s="109">
        <v>3</v>
      </c>
      <c r="T923" s="109">
        <v>10</v>
      </c>
      <c r="U923" s="139">
        <v>43</v>
      </c>
      <c r="V923" s="140">
        <v>430</v>
      </c>
    </row>
    <row r="924" spans="1:22" x14ac:dyDescent="0.25">
      <c r="A924" s="103" t="s">
        <v>733</v>
      </c>
      <c r="B924" s="104" t="s">
        <v>11</v>
      </c>
      <c r="C924" s="104" t="s">
        <v>175</v>
      </c>
      <c r="D924" s="104" t="s">
        <v>82</v>
      </c>
      <c r="E924" s="104" t="s">
        <v>172</v>
      </c>
      <c r="F924" s="104">
        <v>2016</v>
      </c>
      <c r="G924" s="105">
        <v>43231.375</v>
      </c>
      <c r="H924" s="105">
        <v>43236.75</v>
      </c>
      <c r="I924" s="106">
        <v>43231</v>
      </c>
      <c r="J924" s="106">
        <v>43236</v>
      </c>
      <c r="K924" s="107" t="s">
        <v>525</v>
      </c>
      <c r="L924" s="107">
        <v>0.75</v>
      </c>
      <c r="M924" s="107" t="s">
        <v>540</v>
      </c>
      <c r="N924" s="107" t="s">
        <v>531</v>
      </c>
      <c r="O924" s="107" t="s">
        <v>669</v>
      </c>
      <c r="P924" s="104" t="s">
        <v>23</v>
      </c>
      <c r="Q924" s="104" t="s">
        <v>22</v>
      </c>
      <c r="R924" s="104" t="s">
        <v>109</v>
      </c>
      <c r="S924" s="104">
        <v>2</v>
      </c>
      <c r="T924" s="104">
        <v>10</v>
      </c>
      <c r="U924" s="137">
        <v>75</v>
      </c>
      <c r="V924" s="138">
        <v>750</v>
      </c>
    </row>
    <row r="925" spans="1:22" x14ac:dyDescent="0.25">
      <c r="A925" s="108" t="s">
        <v>734</v>
      </c>
      <c r="B925" s="109" t="s">
        <v>7</v>
      </c>
      <c r="C925" s="109" t="s">
        <v>175</v>
      </c>
      <c r="D925" s="109" t="s">
        <v>76</v>
      </c>
      <c r="E925" s="109" t="s">
        <v>174</v>
      </c>
      <c r="F925" s="109">
        <v>2016</v>
      </c>
      <c r="G925" s="110">
        <v>43233.791666666664</v>
      </c>
      <c r="H925" s="110">
        <v>43244.958333333336</v>
      </c>
      <c r="I925" s="111">
        <v>43233</v>
      </c>
      <c r="J925" s="111">
        <v>43244</v>
      </c>
      <c r="K925" s="112" t="s">
        <v>526</v>
      </c>
      <c r="L925" s="112">
        <v>0.95833333333333337</v>
      </c>
      <c r="M925" s="112" t="s">
        <v>541</v>
      </c>
      <c r="N925" s="112" t="s">
        <v>531</v>
      </c>
      <c r="O925" s="112" t="s">
        <v>669</v>
      </c>
      <c r="P925" s="109" t="s">
        <v>9</v>
      </c>
      <c r="Q925" s="109" t="s">
        <v>33</v>
      </c>
      <c r="R925" s="109" t="s">
        <v>113</v>
      </c>
      <c r="S925" s="109">
        <v>3</v>
      </c>
      <c r="T925" s="109">
        <v>9</v>
      </c>
      <c r="U925" s="139">
        <v>53</v>
      </c>
      <c r="V925" s="140">
        <v>477</v>
      </c>
    </row>
    <row r="926" spans="1:22" x14ac:dyDescent="0.25">
      <c r="A926" s="103" t="s">
        <v>735</v>
      </c>
      <c r="B926" s="104" t="s">
        <v>22</v>
      </c>
      <c r="C926" s="104" t="s">
        <v>176</v>
      </c>
      <c r="D926" s="104" t="s">
        <v>83</v>
      </c>
      <c r="E926" s="104" t="s">
        <v>174</v>
      </c>
      <c r="F926" s="104">
        <v>2016</v>
      </c>
      <c r="G926" s="105">
        <v>43233.791666666664</v>
      </c>
      <c r="H926" s="105">
        <v>43244.958333333336</v>
      </c>
      <c r="I926" s="106">
        <v>43233</v>
      </c>
      <c r="J926" s="106">
        <v>43244</v>
      </c>
      <c r="K926" s="107" t="s">
        <v>526</v>
      </c>
      <c r="L926" s="107">
        <v>0.95833333333333337</v>
      </c>
      <c r="M926" s="107" t="s">
        <v>541</v>
      </c>
      <c r="N926" s="107" t="s">
        <v>531</v>
      </c>
      <c r="O926" s="107" t="s">
        <v>669</v>
      </c>
      <c r="P926" s="104" t="s">
        <v>23</v>
      </c>
      <c r="Q926" s="104" t="s">
        <v>35</v>
      </c>
      <c r="R926" s="104" t="s">
        <v>109</v>
      </c>
      <c r="S926" s="104">
        <v>3</v>
      </c>
      <c r="T926" s="104">
        <v>8</v>
      </c>
      <c r="U926" s="137">
        <v>63</v>
      </c>
      <c r="V926" s="138">
        <v>504</v>
      </c>
    </row>
    <row r="927" spans="1:22" x14ac:dyDescent="0.25">
      <c r="A927" s="108" t="s">
        <v>736</v>
      </c>
      <c r="B927" s="109" t="s">
        <v>14</v>
      </c>
      <c r="C927" s="109" t="s">
        <v>175</v>
      </c>
      <c r="D927" s="109" t="s">
        <v>79</v>
      </c>
      <c r="E927" s="109" t="s">
        <v>168</v>
      </c>
      <c r="F927" s="109">
        <v>2016</v>
      </c>
      <c r="G927" s="110">
        <v>43234.791666666664</v>
      </c>
      <c r="H927" s="110">
        <v>43247.958333333336</v>
      </c>
      <c r="I927" s="111">
        <v>43234</v>
      </c>
      <c r="J927" s="111">
        <v>43247</v>
      </c>
      <c r="K927" s="112" t="s">
        <v>526</v>
      </c>
      <c r="L927" s="112">
        <v>0.95833333333333337</v>
      </c>
      <c r="M927" s="112" t="s">
        <v>541</v>
      </c>
      <c r="N927" s="112" t="s">
        <v>531</v>
      </c>
      <c r="O927" s="112" t="s">
        <v>669</v>
      </c>
      <c r="P927" s="109" t="s">
        <v>23</v>
      </c>
      <c r="Q927" s="109" t="s">
        <v>28</v>
      </c>
      <c r="R927" s="109" t="s">
        <v>109</v>
      </c>
      <c r="S927" s="109">
        <v>2</v>
      </c>
      <c r="T927" s="109">
        <v>11</v>
      </c>
      <c r="U927" s="139">
        <v>48</v>
      </c>
      <c r="V927" s="140">
        <v>528</v>
      </c>
    </row>
    <row r="928" spans="1:22" x14ac:dyDescent="0.25">
      <c r="A928" s="103" t="s">
        <v>737</v>
      </c>
      <c r="B928" s="104" t="s">
        <v>14</v>
      </c>
      <c r="C928" s="104" t="s">
        <v>175</v>
      </c>
      <c r="D928" s="104" t="s">
        <v>80</v>
      </c>
      <c r="E928" s="104" t="s">
        <v>173</v>
      </c>
      <c r="F928" s="104">
        <v>2016</v>
      </c>
      <c r="G928" s="105">
        <v>43235.583333333336</v>
      </c>
      <c r="H928" s="105">
        <v>43248.75</v>
      </c>
      <c r="I928" s="106">
        <v>43235</v>
      </c>
      <c r="J928" s="106">
        <v>43248</v>
      </c>
      <c r="K928" s="107" t="s">
        <v>527</v>
      </c>
      <c r="L928" s="107">
        <v>0.75</v>
      </c>
      <c r="M928" s="107" t="s">
        <v>542</v>
      </c>
      <c r="N928" s="107" t="s">
        <v>531</v>
      </c>
      <c r="O928" s="107" t="s">
        <v>669</v>
      </c>
      <c r="P928" s="104" t="s">
        <v>23</v>
      </c>
      <c r="Q928" s="104" t="s">
        <v>190</v>
      </c>
      <c r="R928" s="104" t="s">
        <v>109</v>
      </c>
      <c r="S928" s="104">
        <v>3</v>
      </c>
      <c r="T928" s="104">
        <v>10</v>
      </c>
      <c r="U928" s="137">
        <v>32</v>
      </c>
      <c r="V928" s="138">
        <v>320</v>
      </c>
    </row>
    <row r="929" spans="1:22" x14ac:dyDescent="0.25">
      <c r="A929" s="108" t="s">
        <v>738</v>
      </c>
      <c r="B929" s="109" t="s">
        <v>22</v>
      </c>
      <c r="C929" s="109" t="s">
        <v>176</v>
      </c>
      <c r="D929" s="109" t="s">
        <v>84</v>
      </c>
      <c r="E929" s="109" t="s">
        <v>172</v>
      </c>
      <c r="F929" s="109">
        <v>2016</v>
      </c>
      <c r="G929" s="110">
        <v>43236.375</v>
      </c>
      <c r="H929" s="110">
        <v>43242.75</v>
      </c>
      <c r="I929" s="111">
        <v>43236</v>
      </c>
      <c r="J929" s="111">
        <v>43242</v>
      </c>
      <c r="K929" s="112" t="s">
        <v>525</v>
      </c>
      <c r="L929" s="112">
        <v>0.75</v>
      </c>
      <c r="M929" s="112" t="s">
        <v>540</v>
      </c>
      <c r="N929" s="112" t="s">
        <v>531</v>
      </c>
      <c r="O929" s="112" t="s">
        <v>669</v>
      </c>
      <c r="P929" s="109" t="s">
        <v>23</v>
      </c>
      <c r="Q929" s="109" t="s">
        <v>35</v>
      </c>
      <c r="R929" s="109" t="s">
        <v>109</v>
      </c>
      <c r="S929" s="109">
        <v>3</v>
      </c>
      <c r="T929" s="109">
        <v>9</v>
      </c>
      <c r="U929" s="139">
        <v>52</v>
      </c>
      <c r="V929" s="140">
        <v>468</v>
      </c>
    </row>
    <row r="930" spans="1:22" x14ac:dyDescent="0.25">
      <c r="A930" s="103" t="s">
        <v>739</v>
      </c>
      <c r="B930" s="104" t="s">
        <v>29</v>
      </c>
      <c r="C930" s="104" t="s">
        <v>177</v>
      </c>
      <c r="D930" s="104" t="s">
        <v>79</v>
      </c>
      <c r="E930" s="104" t="s">
        <v>168</v>
      </c>
      <c r="F930" s="104">
        <v>2016</v>
      </c>
      <c r="G930" s="105">
        <v>43237.333333333336</v>
      </c>
      <c r="H930" s="105">
        <v>43250.5</v>
      </c>
      <c r="I930" s="106">
        <v>43237</v>
      </c>
      <c r="J930" s="106">
        <v>43250</v>
      </c>
      <c r="K930" s="107" t="s">
        <v>522</v>
      </c>
      <c r="L930" s="107">
        <v>0.5</v>
      </c>
      <c r="M930" s="107" t="s">
        <v>539</v>
      </c>
      <c r="N930" s="107" t="s">
        <v>531</v>
      </c>
      <c r="O930" s="107" t="s">
        <v>669</v>
      </c>
      <c r="P930" s="104" t="s">
        <v>9</v>
      </c>
      <c r="Q930" s="104" t="s">
        <v>37</v>
      </c>
      <c r="R930" s="104" t="s">
        <v>113</v>
      </c>
      <c r="S930" s="104">
        <v>4</v>
      </c>
      <c r="T930" s="104">
        <v>10</v>
      </c>
      <c r="U930" s="137">
        <v>48</v>
      </c>
      <c r="V930" s="138">
        <v>480</v>
      </c>
    </row>
    <row r="931" spans="1:22" x14ac:dyDescent="0.25">
      <c r="A931" s="108" t="s">
        <v>740</v>
      </c>
      <c r="B931" s="109" t="s">
        <v>29</v>
      </c>
      <c r="C931" s="109" t="s">
        <v>177</v>
      </c>
      <c r="D931" s="109" t="s">
        <v>82</v>
      </c>
      <c r="E931" s="109" t="s">
        <v>172</v>
      </c>
      <c r="F931" s="109">
        <v>2016</v>
      </c>
      <c r="G931" s="110">
        <v>43238.375</v>
      </c>
      <c r="H931" s="110">
        <v>43243.75</v>
      </c>
      <c r="I931" s="111">
        <v>43238</v>
      </c>
      <c r="J931" s="111">
        <v>43243</v>
      </c>
      <c r="K931" s="112" t="s">
        <v>525</v>
      </c>
      <c r="L931" s="112">
        <v>0.75</v>
      </c>
      <c r="M931" s="112" t="s">
        <v>540</v>
      </c>
      <c r="N931" s="112" t="s">
        <v>531</v>
      </c>
      <c r="O931" s="112" t="s">
        <v>669</v>
      </c>
      <c r="P931" s="109" t="s">
        <v>23</v>
      </c>
      <c r="Q931" s="109" t="s">
        <v>190</v>
      </c>
      <c r="R931" s="109" t="s">
        <v>109</v>
      </c>
      <c r="S931" s="109">
        <v>2</v>
      </c>
      <c r="T931" s="109">
        <v>11</v>
      </c>
      <c r="U931" s="139">
        <v>75</v>
      </c>
      <c r="V931" s="140">
        <v>825</v>
      </c>
    </row>
    <row r="932" spans="1:22" x14ac:dyDescent="0.25">
      <c r="A932" s="103" t="s">
        <v>741</v>
      </c>
      <c r="B932" s="104" t="s">
        <v>19</v>
      </c>
      <c r="C932" s="104" t="s">
        <v>176</v>
      </c>
      <c r="D932" s="104" t="s">
        <v>82</v>
      </c>
      <c r="E932" s="104" t="s">
        <v>172</v>
      </c>
      <c r="F932" s="104">
        <v>2016</v>
      </c>
      <c r="G932" s="105">
        <v>43240.791666666664</v>
      </c>
      <c r="H932" s="105">
        <v>43251.958333333336</v>
      </c>
      <c r="I932" s="106">
        <v>43240</v>
      </c>
      <c r="J932" s="106">
        <v>43251</v>
      </c>
      <c r="K932" s="107" t="s">
        <v>526</v>
      </c>
      <c r="L932" s="107">
        <v>0.95833333333333337</v>
      </c>
      <c r="M932" s="107" t="s">
        <v>541</v>
      </c>
      <c r="N932" s="107" t="s">
        <v>531</v>
      </c>
      <c r="O932" s="107" t="s">
        <v>669</v>
      </c>
      <c r="P932" s="104" t="s">
        <v>23</v>
      </c>
      <c r="Q932" s="104" t="s">
        <v>38</v>
      </c>
      <c r="R932" s="104" t="s">
        <v>113</v>
      </c>
      <c r="S932" s="104">
        <v>4</v>
      </c>
      <c r="T932" s="104">
        <v>11</v>
      </c>
      <c r="U932" s="137">
        <v>75</v>
      </c>
      <c r="V932" s="138">
        <v>825</v>
      </c>
    </row>
    <row r="933" spans="1:22" x14ac:dyDescent="0.25">
      <c r="A933" s="108" t="s">
        <v>742</v>
      </c>
      <c r="B933" s="109" t="s">
        <v>39</v>
      </c>
      <c r="C933" s="109" t="s">
        <v>177</v>
      </c>
      <c r="D933" s="109" t="s">
        <v>85</v>
      </c>
      <c r="E933" s="109" t="s">
        <v>170</v>
      </c>
      <c r="F933" s="109">
        <v>2016</v>
      </c>
      <c r="G933" s="110">
        <v>43240.791666666664</v>
      </c>
      <c r="H933" s="110">
        <v>43251.958333333336</v>
      </c>
      <c r="I933" s="111">
        <v>43240</v>
      </c>
      <c r="J933" s="111">
        <v>43251</v>
      </c>
      <c r="K933" s="112" t="s">
        <v>526</v>
      </c>
      <c r="L933" s="112">
        <v>0.95833333333333337</v>
      </c>
      <c r="M933" s="112" t="s">
        <v>541</v>
      </c>
      <c r="N933" s="112" t="s">
        <v>531</v>
      </c>
      <c r="O933" s="112" t="s">
        <v>669</v>
      </c>
      <c r="P933" s="109" t="s">
        <v>9</v>
      </c>
      <c r="Q933" s="109" t="s">
        <v>41</v>
      </c>
      <c r="R933" s="109" t="s">
        <v>113</v>
      </c>
      <c r="S933" s="109">
        <v>4</v>
      </c>
      <c r="T933" s="109">
        <v>12</v>
      </c>
      <c r="U933" s="139">
        <v>48</v>
      </c>
      <c r="V933" s="140">
        <v>576</v>
      </c>
    </row>
    <row r="934" spans="1:22" x14ac:dyDescent="0.25">
      <c r="A934" s="103" t="s">
        <v>743</v>
      </c>
      <c r="B934" s="104" t="s">
        <v>11</v>
      </c>
      <c r="C934" s="104" t="s">
        <v>175</v>
      </c>
      <c r="D934" s="104" t="s">
        <v>78</v>
      </c>
      <c r="E934" s="104" t="s">
        <v>172</v>
      </c>
      <c r="F934" s="104">
        <v>2016</v>
      </c>
      <c r="G934" s="105">
        <v>43241.791666666664</v>
      </c>
      <c r="H934" s="105">
        <v>43254.958333333336</v>
      </c>
      <c r="I934" s="106">
        <v>43241</v>
      </c>
      <c r="J934" s="106">
        <v>43254</v>
      </c>
      <c r="K934" s="107" t="s">
        <v>526</v>
      </c>
      <c r="L934" s="107">
        <v>0.95833333333333337</v>
      </c>
      <c r="M934" s="107" t="s">
        <v>541</v>
      </c>
      <c r="N934" s="107" t="s">
        <v>531</v>
      </c>
      <c r="O934" s="107" t="s">
        <v>669</v>
      </c>
      <c r="P934" s="104" t="s">
        <v>9</v>
      </c>
      <c r="Q934" s="104" t="s">
        <v>16</v>
      </c>
      <c r="R934" s="104" t="s">
        <v>109</v>
      </c>
      <c r="S934" s="104">
        <v>5</v>
      </c>
      <c r="T934" s="104">
        <v>8</v>
      </c>
      <c r="U934" s="137">
        <v>62</v>
      </c>
      <c r="V934" s="138">
        <v>496</v>
      </c>
    </row>
    <row r="935" spans="1:22" x14ac:dyDescent="0.25">
      <c r="A935" s="108" t="s">
        <v>744</v>
      </c>
      <c r="B935" s="109" t="s">
        <v>17</v>
      </c>
      <c r="C935" s="109" t="s">
        <v>176</v>
      </c>
      <c r="D935" s="109" t="s">
        <v>86</v>
      </c>
      <c r="E935" s="109" t="s">
        <v>169</v>
      </c>
      <c r="F935" s="109">
        <v>2016</v>
      </c>
      <c r="G935" s="110">
        <v>43242.583333333336</v>
      </c>
      <c r="H935" s="110">
        <v>43255.75</v>
      </c>
      <c r="I935" s="111">
        <v>43242</v>
      </c>
      <c r="J935" s="111">
        <v>43255</v>
      </c>
      <c r="K935" s="112" t="s">
        <v>527</v>
      </c>
      <c r="L935" s="112">
        <v>0.75</v>
      </c>
      <c r="M935" s="112" t="s">
        <v>542</v>
      </c>
      <c r="N935" s="112" t="s">
        <v>531</v>
      </c>
      <c r="O935" s="112" t="s">
        <v>669</v>
      </c>
      <c r="P935" s="109" t="s">
        <v>23</v>
      </c>
      <c r="Q935" s="109" t="s">
        <v>21</v>
      </c>
      <c r="R935" s="109" t="s">
        <v>113</v>
      </c>
      <c r="S935" s="109">
        <v>3</v>
      </c>
      <c r="T935" s="109">
        <v>10</v>
      </c>
      <c r="U935" s="139">
        <v>48</v>
      </c>
      <c r="V935" s="140">
        <v>480</v>
      </c>
    </row>
    <row r="936" spans="1:22" x14ac:dyDescent="0.25">
      <c r="A936" s="103" t="s">
        <v>745</v>
      </c>
      <c r="B936" s="104" t="s">
        <v>39</v>
      </c>
      <c r="C936" s="104" t="s">
        <v>177</v>
      </c>
      <c r="D936" s="104" t="s">
        <v>82</v>
      </c>
      <c r="E936" s="104" t="s">
        <v>172</v>
      </c>
      <c r="F936" s="104">
        <v>2016</v>
      </c>
      <c r="G936" s="105">
        <v>43243.375</v>
      </c>
      <c r="H936" s="105">
        <v>43249.75</v>
      </c>
      <c r="I936" s="106">
        <v>43243</v>
      </c>
      <c r="J936" s="106">
        <v>43249</v>
      </c>
      <c r="K936" s="107" t="s">
        <v>525</v>
      </c>
      <c r="L936" s="107">
        <v>0.75</v>
      </c>
      <c r="M936" s="107" t="s">
        <v>540</v>
      </c>
      <c r="N936" s="107" t="s">
        <v>531</v>
      </c>
      <c r="O936" s="107" t="s">
        <v>669</v>
      </c>
      <c r="P936" s="104" t="s">
        <v>23</v>
      </c>
      <c r="Q936" s="104" t="s">
        <v>31</v>
      </c>
      <c r="R936" s="104" t="s">
        <v>113</v>
      </c>
      <c r="S936" s="104">
        <v>3</v>
      </c>
      <c r="T936" s="104">
        <v>11</v>
      </c>
      <c r="U936" s="137">
        <v>75</v>
      </c>
      <c r="V936" s="138">
        <v>825</v>
      </c>
    </row>
    <row r="937" spans="1:22" x14ac:dyDescent="0.25">
      <c r="A937" s="108" t="s">
        <v>746</v>
      </c>
      <c r="B937" s="109" t="s">
        <v>7</v>
      </c>
      <c r="C937" s="109" t="s">
        <v>175</v>
      </c>
      <c r="D937" s="109" t="s">
        <v>80</v>
      </c>
      <c r="E937" s="109" t="s">
        <v>173</v>
      </c>
      <c r="F937" s="109">
        <v>2016</v>
      </c>
      <c r="G937" s="110">
        <v>43244.333333333336</v>
      </c>
      <c r="H937" s="110">
        <v>43257.5</v>
      </c>
      <c r="I937" s="111">
        <v>43244</v>
      </c>
      <c r="J937" s="111">
        <v>43257</v>
      </c>
      <c r="K937" s="112" t="s">
        <v>522</v>
      </c>
      <c r="L937" s="112">
        <v>0.5</v>
      </c>
      <c r="M937" s="112" t="s">
        <v>539</v>
      </c>
      <c r="N937" s="112" t="s">
        <v>531</v>
      </c>
      <c r="O937" s="112" t="s">
        <v>669</v>
      </c>
      <c r="P937" s="109" t="s">
        <v>23</v>
      </c>
      <c r="Q937" s="109" t="s">
        <v>190</v>
      </c>
      <c r="R937" s="109" t="s">
        <v>109</v>
      </c>
      <c r="S937" s="109">
        <v>4</v>
      </c>
      <c r="T937" s="109">
        <v>8</v>
      </c>
      <c r="U937" s="139">
        <v>32</v>
      </c>
      <c r="V937" s="140">
        <v>256</v>
      </c>
    </row>
    <row r="938" spans="1:22" x14ac:dyDescent="0.25">
      <c r="A938" s="103" t="s">
        <v>747</v>
      </c>
      <c r="B938" s="104" t="s">
        <v>14</v>
      </c>
      <c r="C938" s="104" t="s">
        <v>175</v>
      </c>
      <c r="D938" s="104" t="s">
        <v>80</v>
      </c>
      <c r="E938" s="104" t="s">
        <v>173</v>
      </c>
      <c r="F938" s="104">
        <v>2016</v>
      </c>
      <c r="G938" s="105">
        <v>43245.375</v>
      </c>
      <c r="H938" s="105">
        <v>43250.75</v>
      </c>
      <c r="I938" s="106">
        <v>43245</v>
      </c>
      <c r="J938" s="106">
        <v>43250</v>
      </c>
      <c r="K938" s="107" t="s">
        <v>525</v>
      </c>
      <c r="L938" s="107">
        <v>0.75</v>
      </c>
      <c r="M938" s="107" t="s">
        <v>540</v>
      </c>
      <c r="N938" s="107" t="s">
        <v>531</v>
      </c>
      <c r="O938" s="107" t="s">
        <v>669</v>
      </c>
      <c r="P938" s="104" t="s">
        <v>23</v>
      </c>
      <c r="Q938" s="104" t="s">
        <v>31</v>
      </c>
      <c r="R938" s="104" t="s">
        <v>113</v>
      </c>
      <c r="S938" s="104">
        <v>2</v>
      </c>
      <c r="T938" s="104">
        <v>11</v>
      </c>
      <c r="U938" s="137">
        <v>32</v>
      </c>
      <c r="V938" s="138">
        <v>352</v>
      </c>
    </row>
    <row r="939" spans="1:22" x14ac:dyDescent="0.25">
      <c r="A939" s="108" t="s">
        <v>748</v>
      </c>
      <c r="B939" s="109" t="s">
        <v>7</v>
      </c>
      <c r="C939" s="109" t="s">
        <v>175</v>
      </c>
      <c r="D939" s="109" t="s">
        <v>82</v>
      </c>
      <c r="E939" s="109" t="s">
        <v>172</v>
      </c>
      <c r="F939" s="109">
        <v>2016</v>
      </c>
      <c r="G939" s="110">
        <v>43247.791666666664</v>
      </c>
      <c r="H939" s="110">
        <v>43258.958333333336</v>
      </c>
      <c r="I939" s="111">
        <v>43247</v>
      </c>
      <c r="J939" s="111">
        <v>43258</v>
      </c>
      <c r="K939" s="112" t="s">
        <v>526</v>
      </c>
      <c r="L939" s="112">
        <v>0.95833333333333337</v>
      </c>
      <c r="M939" s="112" t="s">
        <v>541</v>
      </c>
      <c r="N939" s="112" t="s">
        <v>531</v>
      </c>
      <c r="O939" s="112" t="s">
        <v>669</v>
      </c>
      <c r="P939" s="109" t="s">
        <v>23</v>
      </c>
      <c r="Q939" s="109" t="s">
        <v>44</v>
      </c>
      <c r="R939" s="109" t="s">
        <v>113</v>
      </c>
      <c r="S939" s="109">
        <v>2</v>
      </c>
      <c r="T939" s="109">
        <v>11</v>
      </c>
      <c r="U939" s="139">
        <v>75</v>
      </c>
      <c r="V939" s="140">
        <v>825</v>
      </c>
    </row>
    <row r="940" spans="1:22" x14ac:dyDescent="0.25">
      <c r="A940" s="103" t="s">
        <v>749</v>
      </c>
      <c r="B940" s="104" t="s">
        <v>11</v>
      </c>
      <c r="C940" s="104" t="s">
        <v>175</v>
      </c>
      <c r="D940" s="104" t="s">
        <v>84</v>
      </c>
      <c r="E940" s="104" t="s">
        <v>172</v>
      </c>
      <c r="F940" s="104">
        <v>2016</v>
      </c>
      <c r="G940" s="105">
        <v>43247.791666666664</v>
      </c>
      <c r="H940" s="105">
        <v>43258.958333333336</v>
      </c>
      <c r="I940" s="106">
        <v>43247</v>
      </c>
      <c r="J940" s="106">
        <v>43258</v>
      </c>
      <c r="K940" s="107" t="s">
        <v>526</v>
      </c>
      <c r="L940" s="107">
        <v>0.95833333333333337</v>
      </c>
      <c r="M940" s="107" t="s">
        <v>541</v>
      </c>
      <c r="N940" s="107" t="s">
        <v>531</v>
      </c>
      <c r="O940" s="107" t="s">
        <v>669</v>
      </c>
      <c r="P940" s="104" t="s">
        <v>23</v>
      </c>
      <c r="Q940" s="104" t="s">
        <v>44</v>
      </c>
      <c r="R940" s="104" t="s">
        <v>113</v>
      </c>
      <c r="S940" s="104">
        <v>3</v>
      </c>
      <c r="T940" s="104">
        <v>12</v>
      </c>
      <c r="U940" s="137">
        <v>52</v>
      </c>
      <c r="V940" s="138">
        <v>624</v>
      </c>
    </row>
    <row r="941" spans="1:22" x14ac:dyDescent="0.25">
      <c r="A941" s="108" t="s">
        <v>750</v>
      </c>
      <c r="B941" s="109" t="s">
        <v>7</v>
      </c>
      <c r="C941" s="109" t="s">
        <v>175</v>
      </c>
      <c r="D941" s="109" t="s">
        <v>86</v>
      </c>
      <c r="E941" s="109" t="s">
        <v>169</v>
      </c>
      <c r="F941" s="109">
        <v>2016</v>
      </c>
      <c r="G941" s="110">
        <v>43248.791666666664</v>
      </c>
      <c r="H941" s="110">
        <v>43261.958333333336</v>
      </c>
      <c r="I941" s="111">
        <v>43248</v>
      </c>
      <c r="J941" s="111">
        <v>43261</v>
      </c>
      <c r="K941" s="112" t="s">
        <v>526</v>
      </c>
      <c r="L941" s="112">
        <v>0.95833333333333337</v>
      </c>
      <c r="M941" s="112" t="s">
        <v>541</v>
      </c>
      <c r="N941" s="112" t="s">
        <v>531</v>
      </c>
      <c r="O941" s="112" t="s">
        <v>669</v>
      </c>
      <c r="P941" s="109" t="s">
        <v>9</v>
      </c>
      <c r="Q941" s="109" t="s">
        <v>190</v>
      </c>
      <c r="R941" s="109" t="s">
        <v>109</v>
      </c>
      <c r="S941" s="109">
        <v>3</v>
      </c>
      <c r="T941" s="109">
        <v>10</v>
      </c>
      <c r="U941" s="139">
        <v>48</v>
      </c>
      <c r="V941" s="140">
        <v>480</v>
      </c>
    </row>
    <row r="942" spans="1:22" x14ac:dyDescent="0.25">
      <c r="A942" s="103" t="s">
        <v>751</v>
      </c>
      <c r="B942" s="104" t="s">
        <v>22</v>
      </c>
      <c r="C942" s="104" t="s">
        <v>176</v>
      </c>
      <c r="D942" s="104" t="s">
        <v>80</v>
      </c>
      <c r="E942" s="104" t="s">
        <v>173</v>
      </c>
      <c r="F942" s="104">
        <v>2016</v>
      </c>
      <c r="G942" s="105">
        <v>43249.583333333336</v>
      </c>
      <c r="H942" s="105">
        <v>43262.75</v>
      </c>
      <c r="I942" s="106">
        <v>43249</v>
      </c>
      <c r="J942" s="106">
        <v>43262</v>
      </c>
      <c r="K942" s="107" t="s">
        <v>527</v>
      </c>
      <c r="L942" s="107">
        <v>0.75</v>
      </c>
      <c r="M942" s="107" t="s">
        <v>542</v>
      </c>
      <c r="N942" s="107" t="s">
        <v>531</v>
      </c>
      <c r="O942" s="107" t="s">
        <v>669</v>
      </c>
      <c r="P942" s="104" t="s">
        <v>23</v>
      </c>
      <c r="Q942" s="104" t="s">
        <v>44</v>
      </c>
      <c r="R942" s="104" t="s">
        <v>113</v>
      </c>
      <c r="S942" s="104">
        <v>3</v>
      </c>
      <c r="T942" s="104">
        <v>12</v>
      </c>
      <c r="U942" s="137">
        <v>32</v>
      </c>
      <c r="V942" s="138">
        <v>384</v>
      </c>
    </row>
    <row r="943" spans="1:22" x14ac:dyDescent="0.25">
      <c r="A943" s="108" t="s">
        <v>752</v>
      </c>
      <c r="B943" s="109" t="s">
        <v>7</v>
      </c>
      <c r="C943" s="109" t="s">
        <v>175</v>
      </c>
      <c r="D943" s="109" t="s">
        <v>82</v>
      </c>
      <c r="E943" s="109" t="s">
        <v>172</v>
      </c>
      <c r="F943" s="109">
        <v>2016</v>
      </c>
      <c r="G943" s="110">
        <v>43250.375</v>
      </c>
      <c r="H943" s="110">
        <v>43256.75</v>
      </c>
      <c r="I943" s="111">
        <v>43250</v>
      </c>
      <c r="J943" s="111">
        <v>43256</v>
      </c>
      <c r="K943" s="112" t="s">
        <v>525</v>
      </c>
      <c r="L943" s="112">
        <v>0.75</v>
      </c>
      <c r="M943" s="112" t="s">
        <v>540</v>
      </c>
      <c r="N943" s="112" t="s">
        <v>531</v>
      </c>
      <c r="O943" s="112" t="s">
        <v>669</v>
      </c>
      <c r="P943" s="109" t="s">
        <v>23</v>
      </c>
      <c r="Q943" s="109" t="s">
        <v>33</v>
      </c>
      <c r="R943" s="109" t="s">
        <v>113</v>
      </c>
      <c r="S943" s="109">
        <v>3</v>
      </c>
      <c r="T943" s="109">
        <v>10</v>
      </c>
      <c r="U943" s="139">
        <v>75</v>
      </c>
      <c r="V943" s="140">
        <v>750</v>
      </c>
    </row>
    <row r="944" spans="1:22" x14ac:dyDescent="0.25">
      <c r="A944" s="103" t="s">
        <v>753</v>
      </c>
      <c r="B944" s="104" t="s">
        <v>17</v>
      </c>
      <c r="C944" s="104" t="s">
        <v>176</v>
      </c>
      <c r="D944" s="104" t="s">
        <v>86</v>
      </c>
      <c r="E944" s="104" t="s">
        <v>169</v>
      </c>
      <c r="F944" s="104">
        <v>2016</v>
      </c>
      <c r="G944" s="105">
        <v>43251.333333333336</v>
      </c>
      <c r="H944" s="105">
        <v>43264.5</v>
      </c>
      <c r="I944" s="106">
        <v>43251</v>
      </c>
      <c r="J944" s="106">
        <v>43264</v>
      </c>
      <c r="K944" s="107" t="s">
        <v>522</v>
      </c>
      <c r="L944" s="107">
        <v>0.5</v>
      </c>
      <c r="M944" s="107" t="s">
        <v>539</v>
      </c>
      <c r="N944" s="107" t="s">
        <v>531</v>
      </c>
      <c r="O944" s="107" t="s">
        <v>669</v>
      </c>
      <c r="P944" s="104" t="s">
        <v>23</v>
      </c>
      <c r="Q944" s="104" t="s">
        <v>37</v>
      </c>
      <c r="R944" s="104" t="s">
        <v>113</v>
      </c>
      <c r="S944" s="104">
        <v>5</v>
      </c>
      <c r="T944" s="104">
        <v>11</v>
      </c>
      <c r="U944" s="137">
        <v>48</v>
      </c>
      <c r="V944" s="138">
        <v>528</v>
      </c>
    </row>
    <row r="945" spans="1:22" x14ac:dyDescent="0.25">
      <c r="A945" s="108" t="s">
        <v>754</v>
      </c>
      <c r="B945" s="109" t="s">
        <v>19</v>
      </c>
      <c r="C945" s="109" t="s">
        <v>176</v>
      </c>
      <c r="D945" s="109" t="s">
        <v>80</v>
      </c>
      <c r="E945" s="109" t="s">
        <v>173</v>
      </c>
      <c r="F945" s="109">
        <v>2016</v>
      </c>
      <c r="G945" s="110">
        <v>43252.375</v>
      </c>
      <c r="H945" s="110">
        <v>43257.75</v>
      </c>
      <c r="I945" s="111">
        <v>43252</v>
      </c>
      <c r="J945" s="111">
        <v>43257</v>
      </c>
      <c r="K945" s="112" t="s">
        <v>525</v>
      </c>
      <c r="L945" s="112">
        <v>0.75</v>
      </c>
      <c r="M945" s="112" t="s">
        <v>540</v>
      </c>
      <c r="N945" s="112" t="s">
        <v>532</v>
      </c>
      <c r="O945" s="112" t="s">
        <v>669</v>
      </c>
      <c r="P945" s="109" t="s">
        <v>9</v>
      </c>
      <c r="Q945" s="109" t="s">
        <v>21</v>
      </c>
      <c r="R945" s="109" t="s">
        <v>113</v>
      </c>
      <c r="S945" s="109">
        <v>4</v>
      </c>
      <c r="T945" s="109">
        <v>8</v>
      </c>
      <c r="U945" s="139">
        <v>32</v>
      </c>
      <c r="V945" s="140">
        <v>256</v>
      </c>
    </row>
    <row r="946" spans="1:22" x14ac:dyDescent="0.25">
      <c r="A946" s="103" t="s">
        <v>755</v>
      </c>
      <c r="B946" s="104" t="s">
        <v>45</v>
      </c>
      <c r="C946" s="104" t="s">
        <v>177</v>
      </c>
      <c r="D946" s="104" t="s">
        <v>76</v>
      </c>
      <c r="E946" s="104" t="s">
        <v>174</v>
      </c>
      <c r="F946" s="104">
        <v>2016</v>
      </c>
      <c r="G946" s="105">
        <v>43254.791666666664</v>
      </c>
      <c r="H946" s="105">
        <v>43265.958333333336</v>
      </c>
      <c r="I946" s="106">
        <v>43254</v>
      </c>
      <c r="J946" s="106">
        <v>43265</v>
      </c>
      <c r="K946" s="107" t="s">
        <v>526</v>
      </c>
      <c r="L946" s="107">
        <v>0.95833333333333337</v>
      </c>
      <c r="M946" s="107" t="s">
        <v>541</v>
      </c>
      <c r="N946" s="107" t="s">
        <v>532</v>
      </c>
      <c r="O946" s="107" t="s">
        <v>669</v>
      </c>
      <c r="P946" s="104" t="s">
        <v>23</v>
      </c>
      <c r="Q946" s="104" t="s">
        <v>37</v>
      </c>
      <c r="R946" s="104" t="s">
        <v>113</v>
      </c>
      <c r="S946" s="104">
        <v>3</v>
      </c>
      <c r="T946" s="104">
        <v>9</v>
      </c>
      <c r="U946" s="137">
        <v>53</v>
      </c>
      <c r="V946" s="138">
        <v>477</v>
      </c>
    </row>
    <row r="947" spans="1:22" x14ac:dyDescent="0.25">
      <c r="A947" s="108" t="s">
        <v>756</v>
      </c>
      <c r="B947" s="109" t="s">
        <v>29</v>
      </c>
      <c r="C947" s="109" t="s">
        <v>177</v>
      </c>
      <c r="D947" s="109" t="s">
        <v>82</v>
      </c>
      <c r="E947" s="109" t="s">
        <v>172</v>
      </c>
      <c r="F947" s="109">
        <v>2016</v>
      </c>
      <c r="G947" s="110">
        <v>43254.791666666664</v>
      </c>
      <c r="H947" s="110">
        <v>43265.958333333336</v>
      </c>
      <c r="I947" s="111">
        <v>43254</v>
      </c>
      <c r="J947" s="111">
        <v>43265</v>
      </c>
      <c r="K947" s="112" t="s">
        <v>526</v>
      </c>
      <c r="L947" s="112">
        <v>0.95833333333333337</v>
      </c>
      <c r="M947" s="112" t="s">
        <v>541</v>
      </c>
      <c r="N947" s="112" t="s">
        <v>532</v>
      </c>
      <c r="O947" s="112" t="s">
        <v>669</v>
      </c>
      <c r="P947" s="109" t="s">
        <v>23</v>
      </c>
      <c r="Q947" s="109" t="s">
        <v>37</v>
      </c>
      <c r="R947" s="109" t="s">
        <v>113</v>
      </c>
      <c r="S947" s="109">
        <v>5</v>
      </c>
      <c r="T947" s="109">
        <v>8</v>
      </c>
      <c r="U947" s="139">
        <v>75</v>
      </c>
      <c r="V947" s="140">
        <v>600</v>
      </c>
    </row>
    <row r="948" spans="1:22" x14ac:dyDescent="0.25">
      <c r="A948" s="103" t="s">
        <v>757</v>
      </c>
      <c r="B948" s="104" t="s">
        <v>29</v>
      </c>
      <c r="C948" s="104" t="s">
        <v>177</v>
      </c>
      <c r="D948" s="104" t="s">
        <v>78</v>
      </c>
      <c r="E948" s="104" t="s">
        <v>172</v>
      </c>
      <c r="F948" s="104">
        <v>2016</v>
      </c>
      <c r="G948" s="105">
        <v>43255.791666666664</v>
      </c>
      <c r="H948" s="105">
        <v>43268.958333333336</v>
      </c>
      <c r="I948" s="106">
        <v>43255</v>
      </c>
      <c r="J948" s="106">
        <v>43268</v>
      </c>
      <c r="K948" s="107" t="s">
        <v>526</v>
      </c>
      <c r="L948" s="107">
        <v>0.95833333333333337</v>
      </c>
      <c r="M948" s="107" t="s">
        <v>541</v>
      </c>
      <c r="N948" s="107" t="s">
        <v>532</v>
      </c>
      <c r="O948" s="107" t="s">
        <v>669</v>
      </c>
      <c r="P948" s="104" t="s">
        <v>9</v>
      </c>
      <c r="Q948" s="104" t="s">
        <v>28</v>
      </c>
      <c r="R948" s="104" t="s">
        <v>109</v>
      </c>
      <c r="S948" s="104">
        <v>5</v>
      </c>
      <c r="T948" s="104">
        <v>10</v>
      </c>
      <c r="U948" s="137">
        <v>62</v>
      </c>
      <c r="V948" s="138">
        <v>620</v>
      </c>
    </row>
    <row r="949" spans="1:22" x14ac:dyDescent="0.25">
      <c r="A949" s="108" t="s">
        <v>758</v>
      </c>
      <c r="B949" s="109" t="s">
        <v>7</v>
      </c>
      <c r="C949" s="109" t="s">
        <v>175</v>
      </c>
      <c r="D949" s="109" t="s">
        <v>83</v>
      </c>
      <c r="E949" s="109" t="s">
        <v>174</v>
      </c>
      <c r="F949" s="109">
        <v>2016</v>
      </c>
      <c r="G949" s="110">
        <v>43256.583333333336</v>
      </c>
      <c r="H949" s="110">
        <v>43269.75</v>
      </c>
      <c r="I949" s="111">
        <v>43256</v>
      </c>
      <c r="J949" s="111">
        <v>43269</v>
      </c>
      <c r="K949" s="112" t="s">
        <v>527</v>
      </c>
      <c r="L949" s="112">
        <v>0.75</v>
      </c>
      <c r="M949" s="112" t="s">
        <v>542</v>
      </c>
      <c r="N949" s="112" t="s">
        <v>532</v>
      </c>
      <c r="O949" s="112" t="s">
        <v>669</v>
      </c>
      <c r="P949" s="109" t="s">
        <v>9</v>
      </c>
      <c r="Q949" s="109" t="s">
        <v>16</v>
      </c>
      <c r="R949" s="109" t="s">
        <v>109</v>
      </c>
      <c r="S949" s="109">
        <v>3</v>
      </c>
      <c r="T949" s="109">
        <v>11</v>
      </c>
      <c r="U949" s="139">
        <v>63</v>
      </c>
      <c r="V949" s="140">
        <v>693</v>
      </c>
    </row>
    <row r="950" spans="1:22" x14ac:dyDescent="0.25">
      <c r="A950" s="103" t="s">
        <v>759</v>
      </c>
      <c r="B950" s="104" t="s">
        <v>45</v>
      </c>
      <c r="C950" s="104" t="s">
        <v>177</v>
      </c>
      <c r="D950" s="104" t="s">
        <v>81</v>
      </c>
      <c r="E950" s="104" t="s">
        <v>172</v>
      </c>
      <c r="F950" s="104">
        <v>2016</v>
      </c>
      <c r="G950" s="105">
        <v>43257.375</v>
      </c>
      <c r="H950" s="105">
        <v>43263.75</v>
      </c>
      <c r="I950" s="106">
        <v>43257</v>
      </c>
      <c r="J950" s="106">
        <v>43263</v>
      </c>
      <c r="K950" s="107" t="s">
        <v>525</v>
      </c>
      <c r="L950" s="107">
        <v>0.75</v>
      </c>
      <c r="M950" s="107" t="s">
        <v>540</v>
      </c>
      <c r="N950" s="107" t="s">
        <v>532</v>
      </c>
      <c r="O950" s="107" t="s">
        <v>669</v>
      </c>
      <c r="P950" s="104" t="s">
        <v>23</v>
      </c>
      <c r="Q950" s="104" t="s">
        <v>41</v>
      </c>
      <c r="R950" s="104" t="s">
        <v>113</v>
      </c>
      <c r="S950" s="104">
        <v>5</v>
      </c>
      <c r="T950" s="104">
        <v>8</v>
      </c>
      <c r="U950" s="137">
        <v>42</v>
      </c>
      <c r="V950" s="138">
        <v>336</v>
      </c>
    </row>
    <row r="951" spans="1:22" x14ac:dyDescent="0.25">
      <c r="A951" s="108" t="s">
        <v>760</v>
      </c>
      <c r="B951" s="109" t="s">
        <v>7</v>
      </c>
      <c r="C951" s="109" t="s">
        <v>175</v>
      </c>
      <c r="D951" s="109" t="s">
        <v>78</v>
      </c>
      <c r="E951" s="109" t="s">
        <v>172</v>
      </c>
      <c r="F951" s="109">
        <v>2016</v>
      </c>
      <c r="G951" s="110">
        <v>43258.333333333336</v>
      </c>
      <c r="H951" s="110">
        <v>43271.5</v>
      </c>
      <c r="I951" s="111">
        <v>43258</v>
      </c>
      <c r="J951" s="111">
        <v>43271</v>
      </c>
      <c r="K951" s="112" t="s">
        <v>522</v>
      </c>
      <c r="L951" s="112">
        <v>0.5</v>
      </c>
      <c r="M951" s="112" t="s">
        <v>539</v>
      </c>
      <c r="N951" s="112" t="s">
        <v>532</v>
      </c>
      <c r="O951" s="112" t="s">
        <v>669</v>
      </c>
      <c r="P951" s="109" t="s">
        <v>23</v>
      </c>
      <c r="Q951" s="109" t="s">
        <v>16</v>
      </c>
      <c r="R951" s="109" t="s">
        <v>109</v>
      </c>
      <c r="S951" s="109">
        <v>4</v>
      </c>
      <c r="T951" s="109">
        <v>8</v>
      </c>
      <c r="U951" s="139">
        <v>62</v>
      </c>
      <c r="V951" s="140">
        <v>496</v>
      </c>
    </row>
    <row r="952" spans="1:22" x14ac:dyDescent="0.25">
      <c r="A952" s="103" t="s">
        <v>761</v>
      </c>
      <c r="B952" s="104" t="s">
        <v>11</v>
      </c>
      <c r="C952" s="104" t="s">
        <v>175</v>
      </c>
      <c r="D952" s="104" t="s">
        <v>81</v>
      </c>
      <c r="E952" s="104" t="s">
        <v>172</v>
      </c>
      <c r="F952" s="104">
        <v>2016</v>
      </c>
      <c r="G952" s="105">
        <v>43259.375</v>
      </c>
      <c r="H952" s="105">
        <v>43264.75</v>
      </c>
      <c r="I952" s="106">
        <v>43259</v>
      </c>
      <c r="J952" s="106">
        <v>43264</v>
      </c>
      <c r="K952" s="107" t="s">
        <v>525</v>
      </c>
      <c r="L952" s="107">
        <v>0.75</v>
      </c>
      <c r="M952" s="107" t="s">
        <v>540</v>
      </c>
      <c r="N952" s="107" t="s">
        <v>532</v>
      </c>
      <c r="O952" s="107" t="s">
        <v>669</v>
      </c>
      <c r="P952" s="104" t="s">
        <v>9</v>
      </c>
      <c r="Q952" s="104" t="s">
        <v>16</v>
      </c>
      <c r="R952" s="104" t="s">
        <v>109</v>
      </c>
      <c r="S952" s="104">
        <v>2</v>
      </c>
      <c r="T952" s="104">
        <v>9</v>
      </c>
      <c r="U952" s="137">
        <v>43</v>
      </c>
      <c r="V952" s="138">
        <v>387</v>
      </c>
    </row>
    <row r="953" spans="1:22" x14ac:dyDescent="0.25">
      <c r="A953" s="108" t="s">
        <v>762</v>
      </c>
      <c r="B953" s="109" t="s">
        <v>22</v>
      </c>
      <c r="C953" s="109" t="s">
        <v>176</v>
      </c>
      <c r="D953" s="109" t="s">
        <v>80</v>
      </c>
      <c r="E953" s="109" t="s">
        <v>173</v>
      </c>
      <c r="F953" s="109">
        <v>2016</v>
      </c>
      <c r="G953" s="110">
        <v>43261.791666666664</v>
      </c>
      <c r="H953" s="110">
        <v>43272.958333333336</v>
      </c>
      <c r="I953" s="111">
        <v>43261</v>
      </c>
      <c r="J953" s="111">
        <v>43272</v>
      </c>
      <c r="K953" s="112" t="s">
        <v>526</v>
      </c>
      <c r="L953" s="112">
        <v>0.95833333333333337</v>
      </c>
      <c r="M953" s="112" t="s">
        <v>541</v>
      </c>
      <c r="N953" s="112" t="s">
        <v>532</v>
      </c>
      <c r="O953" s="112" t="s">
        <v>669</v>
      </c>
      <c r="P953" s="109" t="s">
        <v>23</v>
      </c>
      <c r="Q953" s="109" t="s">
        <v>190</v>
      </c>
      <c r="R953" s="109" t="s">
        <v>109</v>
      </c>
      <c r="S953" s="109">
        <v>4</v>
      </c>
      <c r="T953" s="109">
        <v>11</v>
      </c>
      <c r="U953" s="139">
        <v>32</v>
      </c>
      <c r="V953" s="140">
        <v>352</v>
      </c>
    </row>
    <row r="954" spans="1:22" x14ac:dyDescent="0.25">
      <c r="A954" s="103" t="s">
        <v>763</v>
      </c>
      <c r="B954" s="104" t="s">
        <v>29</v>
      </c>
      <c r="C954" s="104" t="s">
        <v>177</v>
      </c>
      <c r="D954" s="104" t="s">
        <v>77</v>
      </c>
      <c r="E954" s="104" t="s">
        <v>172</v>
      </c>
      <c r="F954" s="104">
        <v>2016</v>
      </c>
      <c r="G954" s="105">
        <v>43261.791666666664</v>
      </c>
      <c r="H954" s="105">
        <v>43272.958333333336</v>
      </c>
      <c r="I954" s="106">
        <v>43261</v>
      </c>
      <c r="J954" s="106">
        <v>43272</v>
      </c>
      <c r="K954" s="107" t="s">
        <v>526</v>
      </c>
      <c r="L954" s="107">
        <v>0.95833333333333337</v>
      </c>
      <c r="M954" s="107" t="s">
        <v>541</v>
      </c>
      <c r="N954" s="107" t="s">
        <v>532</v>
      </c>
      <c r="O954" s="107" t="s">
        <v>669</v>
      </c>
      <c r="P954" s="104" t="s">
        <v>23</v>
      </c>
      <c r="Q954" s="104" t="s">
        <v>31</v>
      </c>
      <c r="R954" s="104" t="s">
        <v>113</v>
      </c>
      <c r="S954" s="104">
        <v>5</v>
      </c>
      <c r="T954" s="104">
        <v>11</v>
      </c>
      <c r="U954" s="137">
        <v>35</v>
      </c>
      <c r="V954" s="138">
        <v>385</v>
      </c>
    </row>
    <row r="955" spans="1:22" x14ac:dyDescent="0.25">
      <c r="A955" s="108" t="s">
        <v>764</v>
      </c>
      <c r="B955" s="109" t="s">
        <v>22</v>
      </c>
      <c r="C955" s="109" t="s">
        <v>176</v>
      </c>
      <c r="D955" s="109" t="s">
        <v>76</v>
      </c>
      <c r="E955" s="109" t="s">
        <v>174</v>
      </c>
      <c r="F955" s="109">
        <v>2016</v>
      </c>
      <c r="G955" s="110">
        <v>43262.791666666664</v>
      </c>
      <c r="H955" s="110">
        <v>43275.958333333336</v>
      </c>
      <c r="I955" s="111">
        <v>43262</v>
      </c>
      <c r="J955" s="111">
        <v>43275</v>
      </c>
      <c r="K955" s="112" t="s">
        <v>526</v>
      </c>
      <c r="L955" s="112">
        <v>0.95833333333333337</v>
      </c>
      <c r="M955" s="112" t="s">
        <v>541</v>
      </c>
      <c r="N955" s="112" t="s">
        <v>532</v>
      </c>
      <c r="O955" s="112" t="s">
        <v>669</v>
      </c>
      <c r="P955" s="109" t="s">
        <v>9</v>
      </c>
      <c r="Q955" s="109" t="s">
        <v>21</v>
      </c>
      <c r="R955" s="109" t="s">
        <v>113</v>
      </c>
      <c r="S955" s="109">
        <v>3</v>
      </c>
      <c r="T955" s="109">
        <v>12</v>
      </c>
      <c r="U955" s="139">
        <v>53</v>
      </c>
      <c r="V955" s="140">
        <v>636</v>
      </c>
    </row>
    <row r="956" spans="1:22" x14ac:dyDescent="0.25">
      <c r="A956" s="103" t="s">
        <v>765</v>
      </c>
      <c r="B956" s="104" t="s">
        <v>19</v>
      </c>
      <c r="C956" s="104" t="s">
        <v>176</v>
      </c>
      <c r="D956" s="104" t="s">
        <v>81</v>
      </c>
      <c r="E956" s="104" t="s">
        <v>172</v>
      </c>
      <c r="F956" s="104">
        <v>2016</v>
      </c>
      <c r="G956" s="105">
        <v>43263.583333333336</v>
      </c>
      <c r="H956" s="105">
        <v>43276.75</v>
      </c>
      <c r="I956" s="106">
        <v>43263</v>
      </c>
      <c r="J956" s="106">
        <v>43276</v>
      </c>
      <c r="K956" s="107" t="s">
        <v>527</v>
      </c>
      <c r="L956" s="107">
        <v>0.75</v>
      </c>
      <c r="M956" s="107" t="s">
        <v>542</v>
      </c>
      <c r="N956" s="107" t="s">
        <v>532</v>
      </c>
      <c r="O956" s="107" t="s">
        <v>669</v>
      </c>
      <c r="P956" s="104" t="s">
        <v>9</v>
      </c>
      <c r="Q956" s="104" t="s">
        <v>38</v>
      </c>
      <c r="R956" s="104" t="s">
        <v>113</v>
      </c>
      <c r="S956" s="104">
        <v>5</v>
      </c>
      <c r="T956" s="104">
        <v>11</v>
      </c>
      <c r="U956" s="137">
        <v>43</v>
      </c>
      <c r="V956" s="138">
        <v>473</v>
      </c>
    </row>
    <row r="957" spans="1:22" x14ac:dyDescent="0.25">
      <c r="A957" s="108" t="s">
        <v>766</v>
      </c>
      <c r="B957" s="109" t="s">
        <v>22</v>
      </c>
      <c r="C957" s="109" t="s">
        <v>176</v>
      </c>
      <c r="D957" s="109" t="s">
        <v>88</v>
      </c>
      <c r="E957" s="109" t="s">
        <v>170</v>
      </c>
      <c r="F957" s="109">
        <v>2016</v>
      </c>
      <c r="G957" s="110">
        <v>43264.375</v>
      </c>
      <c r="H957" s="110">
        <v>43270.75</v>
      </c>
      <c r="I957" s="111">
        <v>43264</v>
      </c>
      <c r="J957" s="111">
        <v>43270</v>
      </c>
      <c r="K957" s="112" t="s">
        <v>525</v>
      </c>
      <c r="L957" s="112">
        <v>0.75</v>
      </c>
      <c r="M957" s="112" t="s">
        <v>540</v>
      </c>
      <c r="N957" s="112" t="s">
        <v>532</v>
      </c>
      <c r="O957" s="112" t="s">
        <v>669</v>
      </c>
      <c r="P957" s="109" t="s">
        <v>23</v>
      </c>
      <c r="Q957" s="109" t="s">
        <v>18</v>
      </c>
      <c r="R957" s="109" t="s">
        <v>113</v>
      </c>
      <c r="S957" s="109">
        <v>4</v>
      </c>
      <c r="T957" s="109">
        <v>12</v>
      </c>
      <c r="U957" s="139">
        <v>42</v>
      </c>
      <c r="V957" s="140">
        <v>504</v>
      </c>
    </row>
    <row r="958" spans="1:22" x14ac:dyDescent="0.25">
      <c r="A958" s="103" t="s">
        <v>767</v>
      </c>
      <c r="B958" s="104" t="s">
        <v>17</v>
      </c>
      <c r="C958" s="104" t="s">
        <v>176</v>
      </c>
      <c r="D958" s="104" t="s">
        <v>88</v>
      </c>
      <c r="E958" s="104" t="s">
        <v>170</v>
      </c>
      <c r="F958" s="104">
        <v>2016</v>
      </c>
      <c r="G958" s="105">
        <v>43265.333333333336</v>
      </c>
      <c r="H958" s="105">
        <v>43278.5</v>
      </c>
      <c r="I958" s="106">
        <v>43265</v>
      </c>
      <c r="J958" s="106">
        <v>43278</v>
      </c>
      <c r="K958" s="107" t="s">
        <v>522</v>
      </c>
      <c r="L958" s="107">
        <v>0.5</v>
      </c>
      <c r="M958" s="107" t="s">
        <v>539</v>
      </c>
      <c r="N958" s="107" t="s">
        <v>532</v>
      </c>
      <c r="O958" s="107" t="s">
        <v>669</v>
      </c>
      <c r="P958" s="104" t="s">
        <v>9</v>
      </c>
      <c r="Q958" s="104" t="s">
        <v>38</v>
      </c>
      <c r="R958" s="104" t="s">
        <v>113</v>
      </c>
      <c r="S958" s="104">
        <v>5</v>
      </c>
      <c r="T958" s="104">
        <v>12</v>
      </c>
      <c r="U958" s="137">
        <v>42</v>
      </c>
      <c r="V958" s="138">
        <v>504</v>
      </c>
    </row>
    <row r="959" spans="1:22" x14ac:dyDescent="0.25">
      <c r="A959" s="108" t="s">
        <v>768</v>
      </c>
      <c r="B959" s="109" t="s">
        <v>7</v>
      </c>
      <c r="C959" s="109" t="s">
        <v>175</v>
      </c>
      <c r="D959" s="109" t="s">
        <v>86</v>
      </c>
      <c r="E959" s="109" t="s">
        <v>169</v>
      </c>
      <c r="F959" s="109">
        <v>2016</v>
      </c>
      <c r="G959" s="110">
        <v>43266.375</v>
      </c>
      <c r="H959" s="110">
        <v>43271.75</v>
      </c>
      <c r="I959" s="111">
        <v>43266</v>
      </c>
      <c r="J959" s="111">
        <v>43271</v>
      </c>
      <c r="K959" s="112" t="s">
        <v>525</v>
      </c>
      <c r="L959" s="112">
        <v>0.75</v>
      </c>
      <c r="M959" s="112" t="s">
        <v>540</v>
      </c>
      <c r="N959" s="112" t="s">
        <v>532</v>
      </c>
      <c r="O959" s="112" t="s">
        <v>669</v>
      </c>
      <c r="P959" s="109" t="s">
        <v>9</v>
      </c>
      <c r="Q959" s="109" t="s">
        <v>38</v>
      </c>
      <c r="R959" s="109" t="s">
        <v>113</v>
      </c>
      <c r="S959" s="109">
        <v>5</v>
      </c>
      <c r="T959" s="109">
        <v>8</v>
      </c>
      <c r="U959" s="139">
        <v>48</v>
      </c>
      <c r="V959" s="140">
        <v>384</v>
      </c>
    </row>
    <row r="960" spans="1:22" x14ac:dyDescent="0.25">
      <c r="A960" s="103" t="s">
        <v>769</v>
      </c>
      <c r="B960" s="104" t="s">
        <v>17</v>
      </c>
      <c r="C960" s="104" t="s">
        <v>176</v>
      </c>
      <c r="D960" s="104" t="s">
        <v>79</v>
      </c>
      <c r="E960" s="104" t="s">
        <v>168</v>
      </c>
      <c r="F960" s="104">
        <v>2016</v>
      </c>
      <c r="G960" s="105">
        <v>43268.791666666664</v>
      </c>
      <c r="H960" s="105">
        <v>43279.958333333336</v>
      </c>
      <c r="I960" s="106">
        <v>43268</v>
      </c>
      <c r="J960" s="106">
        <v>43279</v>
      </c>
      <c r="K960" s="107" t="s">
        <v>526</v>
      </c>
      <c r="L960" s="107">
        <v>0.95833333333333337</v>
      </c>
      <c r="M960" s="107" t="s">
        <v>541</v>
      </c>
      <c r="N960" s="107" t="s">
        <v>532</v>
      </c>
      <c r="O960" s="107" t="s">
        <v>669</v>
      </c>
      <c r="P960" s="104" t="s">
        <v>23</v>
      </c>
      <c r="Q960" s="104" t="s">
        <v>28</v>
      </c>
      <c r="R960" s="104" t="s">
        <v>109</v>
      </c>
      <c r="S960" s="104">
        <v>5</v>
      </c>
      <c r="T960" s="104">
        <v>8</v>
      </c>
      <c r="U960" s="137">
        <v>48</v>
      </c>
      <c r="V960" s="138">
        <v>384</v>
      </c>
    </row>
    <row r="961" spans="1:22" x14ac:dyDescent="0.25">
      <c r="A961" s="108" t="s">
        <v>770</v>
      </c>
      <c r="B961" s="109" t="s">
        <v>29</v>
      </c>
      <c r="C961" s="109" t="s">
        <v>177</v>
      </c>
      <c r="D961" s="109" t="s">
        <v>76</v>
      </c>
      <c r="E961" s="109" t="s">
        <v>174</v>
      </c>
      <c r="F961" s="109">
        <v>2016</v>
      </c>
      <c r="G961" s="110">
        <v>43268.791666666664</v>
      </c>
      <c r="H961" s="110">
        <v>43279.958333333336</v>
      </c>
      <c r="I961" s="111">
        <v>43268</v>
      </c>
      <c r="J961" s="111">
        <v>43279</v>
      </c>
      <c r="K961" s="112" t="s">
        <v>526</v>
      </c>
      <c r="L961" s="112">
        <v>0.95833333333333337</v>
      </c>
      <c r="M961" s="112" t="s">
        <v>541</v>
      </c>
      <c r="N961" s="112" t="s">
        <v>532</v>
      </c>
      <c r="O961" s="112" t="s">
        <v>669</v>
      </c>
      <c r="P961" s="109" t="s">
        <v>9</v>
      </c>
      <c r="Q961" s="109" t="s">
        <v>18</v>
      </c>
      <c r="R961" s="109" t="s">
        <v>113</v>
      </c>
      <c r="S961" s="109">
        <v>4</v>
      </c>
      <c r="T961" s="109">
        <v>9</v>
      </c>
      <c r="U961" s="139">
        <v>53</v>
      </c>
      <c r="V961" s="140">
        <v>477</v>
      </c>
    </row>
    <row r="962" spans="1:22" x14ac:dyDescent="0.25">
      <c r="A962" s="103" t="s">
        <v>771</v>
      </c>
      <c r="B962" s="104" t="s">
        <v>45</v>
      </c>
      <c r="C962" s="104" t="s">
        <v>177</v>
      </c>
      <c r="D962" s="104" t="s">
        <v>80</v>
      </c>
      <c r="E962" s="104" t="s">
        <v>173</v>
      </c>
      <c r="F962" s="104">
        <v>2016</v>
      </c>
      <c r="G962" s="105">
        <v>43269.791666666664</v>
      </c>
      <c r="H962" s="105">
        <v>43282.958333333336</v>
      </c>
      <c r="I962" s="106">
        <v>43269</v>
      </c>
      <c r="J962" s="106">
        <v>43282</v>
      </c>
      <c r="K962" s="107" t="s">
        <v>526</v>
      </c>
      <c r="L962" s="107">
        <v>0.95833333333333337</v>
      </c>
      <c r="M962" s="107" t="s">
        <v>541</v>
      </c>
      <c r="N962" s="107" t="s">
        <v>532</v>
      </c>
      <c r="O962" s="107" t="s">
        <v>669</v>
      </c>
      <c r="P962" s="104" t="s">
        <v>23</v>
      </c>
      <c r="Q962" s="104" t="s">
        <v>12</v>
      </c>
      <c r="R962" s="104" t="s">
        <v>113</v>
      </c>
      <c r="S962" s="104">
        <v>2</v>
      </c>
      <c r="T962" s="104">
        <v>8</v>
      </c>
      <c r="U962" s="137">
        <v>32</v>
      </c>
      <c r="V962" s="138">
        <v>256</v>
      </c>
    </row>
    <row r="963" spans="1:22" x14ac:dyDescent="0.25">
      <c r="A963" s="108" t="s">
        <v>772</v>
      </c>
      <c r="B963" s="109" t="s">
        <v>45</v>
      </c>
      <c r="C963" s="109" t="s">
        <v>177</v>
      </c>
      <c r="D963" s="109" t="s">
        <v>80</v>
      </c>
      <c r="E963" s="109" t="s">
        <v>173</v>
      </c>
      <c r="F963" s="109">
        <v>2016</v>
      </c>
      <c r="G963" s="110">
        <v>43270.583333333336</v>
      </c>
      <c r="H963" s="110">
        <v>43283.75</v>
      </c>
      <c r="I963" s="111">
        <v>43270</v>
      </c>
      <c r="J963" s="111">
        <v>43283</v>
      </c>
      <c r="K963" s="112" t="s">
        <v>527</v>
      </c>
      <c r="L963" s="112">
        <v>0.75</v>
      </c>
      <c r="M963" s="112" t="s">
        <v>542</v>
      </c>
      <c r="N963" s="112" t="s">
        <v>532</v>
      </c>
      <c r="O963" s="112" t="s">
        <v>669</v>
      </c>
      <c r="P963" s="109" t="s">
        <v>23</v>
      </c>
      <c r="Q963" s="109" t="s">
        <v>16</v>
      </c>
      <c r="R963" s="109" t="s">
        <v>109</v>
      </c>
      <c r="S963" s="109">
        <v>4</v>
      </c>
      <c r="T963" s="109">
        <v>11</v>
      </c>
      <c r="U963" s="139">
        <v>32</v>
      </c>
      <c r="V963" s="140">
        <v>352</v>
      </c>
    </row>
    <row r="964" spans="1:22" x14ac:dyDescent="0.25">
      <c r="A964" s="103" t="s">
        <v>773</v>
      </c>
      <c r="B964" s="104" t="s">
        <v>7</v>
      </c>
      <c r="C964" s="104" t="s">
        <v>175</v>
      </c>
      <c r="D964" s="104" t="s">
        <v>77</v>
      </c>
      <c r="E964" s="104" t="s">
        <v>172</v>
      </c>
      <c r="F964" s="104">
        <v>2016</v>
      </c>
      <c r="G964" s="105">
        <v>43271.375</v>
      </c>
      <c r="H964" s="105">
        <v>43277.75</v>
      </c>
      <c r="I964" s="106">
        <v>43271</v>
      </c>
      <c r="J964" s="106">
        <v>43277</v>
      </c>
      <c r="K964" s="107" t="s">
        <v>525</v>
      </c>
      <c r="L964" s="107">
        <v>0.75</v>
      </c>
      <c r="M964" s="107" t="s">
        <v>540</v>
      </c>
      <c r="N964" s="107" t="s">
        <v>532</v>
      </c>
      <c r="O964" s="107" t="s">
        <v>669</v>
      </c>
      <c r="P964" s="104" t="s">
        <v>9</v>
      </c>
      <c r="Q964" s="104" t="s">
        <v>18</v>
      </c>
      <c r="R964" s="104" t="s">
        <v>113</v>
      </c>
      <c r="S964" s="104">
        <v>2</v>
      </c>
      <c r="T964" s="104">
        <v>12</v>
      </c>
      <c r="U964" s="137">
        <v>35</v>
      </c>
      <c r="V964" s="138">
        <v>420</v>
      </c>
    </row>
    <row r="965" spans="1:22" x14ac:dyDescent="0.25">
      <c r="A965" s="108" t="s">
        <v>774</v>
      </c>
      <c r="B965" s="109" t="s">
        <v>7</v>
      </c>
      <c r="C965" s="109" t="s">
        <v>175</v>
      </c>
      <c r="D965" s="109" t="s">
        <v>83</v>
      </c>
      <c r="E965" s="109" t="s">
        <v>174</v>
      </c>
      <c r="F965" s="109">
        <v>2016</v>
      </c>
      <c r="G965" s="110">
        <v>43272.333333333336</v>
      </c>
      <c r="H965" s="110">
        <v>43285.5</v>
      </c>
      <c r="I965" s="111">
        <v>43272</v>
      </c>
      <c r="J965" s="111">
        <v>43285</v>
      </c>
      <c r="K965" s="112" t="s">
        <v>522</v>
      </c>
      <c r="L965" s="112">
        <v>0.5</v>
      </c>
      <c r="M965" s="112" t="s">
        <v>539</v>
      </c>
      <c r="N965" s="112" t="s">
        <v>532</v>
      </c>
      <c r="O965" s="112" t="s">
        <v>669</v>
      </c>
      <c r="P965" s="109" t="s">
        <v>9</v>
      </c>
      <c r="Q965" s="109" t="s">
        <v>41</v>
      </c>
      <c r="R965" s="109" t="s">
        <v>113</v>
      </c>
      <c r="S965" s="109">
        <v>3</v>
      </c>
      <c r="T965" s="109">
        <v>9</v>
      </c>
      <c r="U965" s="139">
        <v>63</v>
      </c>
      <c r="V965" s="140">
        <v>567</v>
      </c>
    </row>
    <row r="966" spans="1:22" x14ac:dyDescent="0.25">
      <c r="A966" s="103" t="s">
        <v>775</v>
      </c>
      <c r="B966" s="104" t="s">
        <v>22</v>
      </c>
      <c r="C966" s="104" t="s">
        <v>176</v>
      </c>
      <c r="D966" s="104" t="s">
        <v>83</v>
      </c>
      <c r="E966" s="104" t="s">
        <v>174</v>
      </c>
      <c r="F966" s="104">
        <v>2016</v>
      </c>
      <c r="G966" s="105">
        <v>43273.375</v>
      </c>
      <c r="H966" s="105">
        <v>43278.75</v>
      </c>
      <c r="I966" s="106">
        <v>43273</v>
      </c>
      <c r="J966" s="106">
        <v>43278</v>
      </c>
      <c r="K966" s="107" t="s">
        <v>525</v>
      </c>
      <c r="L966" s="107">
        <v>0.75</v>
      </c>
      <c r="M966" s="107" t="s">
        <v>540</v>
      </c>
      <c r="N966" s="107" t="s">
        <v>532</v>
      </c>
      <c r="O966" s="107" t="s">
        <v>669</v>
      </c>
      <c r="P966" s="104" t="s">
        <v>9</v>
      </c>
      <c r="Q966" s="104" t="s">
        <v>190</v>
      </c>
      <c r="R966" s="104" t="s">
        <v>109</v>
      </c>
      <c r="S966" s="104">
        <v>5</v>
      </c>
      <c r="T966" s="104">
        <v>8</v>
      </c>
      <c r="U966" s="137">
        <v>63</v>
      </c>
      <c r="V966" s="138">
        <v>504</v>
      </c>
    </row>
    <row r="967" spans="1:22" x14ac:dyDescent="0.25">
      <c r="A967" s="108" t="s">
        <v>776</v>
      </c>
      <c r="B967" s="109" t="s">
        <v>45</v>
      </c>
      <c r="C967" s="109" t="s">
        <v>177</v>
      </c>
      <c r="D967" s="109" t="s">
        <v>77</v>
      </c>
      <c r="E967" s="109" t="s">
        <v>172</v>
      </c>
      <c r="F967" s="109">
        <v>2016</v>
      </c>
      <c r="G967" s="110">
        <v>43275.791666666664</v>
      </c>
      <c r="H967" s="110">
        <v>43286.958333333336</v>
      </c>
      <c r="I967" s="111">
        <v>43275</v>
      </c>
      <c r="J967" s="111">
        <v>43286</v>
      </c>
      <c r="K967" s="112" t="s">
        <v>526</v>
      </c>
      <c r="L967" s="112">
        <v>0.95833333333333337</v>
      </c>
      <c r="M967" s="112" t="s">
        <v>541</v>
      </c>
      <c r="N967" s="112" t="s">
        <v>532</v>
      </c>
      <c r="O967" s="112" t="s">
        <v>669</v>
      </c>
      <c r="P967" s="109" t="s">
        <v>23</v>
      </c>
      <c r="Q967" s="109" t="s">
        <v>18</v>
      </c>
      <c r="R967" s="109" t="s">
        <v>113</v>
      </c>
      <c r="S967" s="109">
        <v>2</v>
      </c>
      <c r="T967" s="109">
        <v>9</v>
      </c>
      <c r="U967" s="139">
        <v>35</v>
      </c>
      <c r="V967" s="140">
        <v>315</v>
      </c>
    </row>
    <row r="968" spans="1:22" x14ac:dyDescent="0.25">
      <c r="A968" s="103" t="s">
        <v>777</v>
      </c>
      <c r="B968" s="104" t="s">
        <v>39</v>
      </c>
      <c r="C968" s="104" t="s">
        <v>177</v>
      </c>
      <c r="D968" s="104" t="s">
        <v>88</v>
      </c>
      <c r="E968" s="104" t="s">
        <v>170</v>
      </c>
      <c r="F968" s="104">
        <v>2016</v>
      </c>
      <c r="G968" s="105">
        <v>43275.791666666664</v>
      </c>
      <c r="H968" s="105">
        <v>43286.958333333336</v>
      </c>
      <c r="I968" s="106">
        <v>43275</v>
      </c>
      <c r="J968" s="106">
        <v>43286</v>
      </c>
      <c r="K968" s="107" t="s">
        <v>526</v>
      </c>
      <c r="L968" s="107">
        <v>0.95833333333333337</v>
      </c>
      <c r="M968" s="107" t="s">
        <v>541</v>
      </c>
      <c r="N968" s="107" t="s">
        <v>532</v>
      </c>
      <c r="O968" s="107" t="s">
        <v>669</v>
      </c>
      <c r="P968" s="104" t="s">
        <v>9</v>
      </c>
      <c r="Q968" s="104" t="s">
        <v>38</v>
      </c>
      <c r="R968" s="104" t="s">
        <v>113</v>
      </c>
      <c r="S968" s="104">
        <v>3</v>
      </c>
      <c r="T968" s="104">
        <v>12</v>
      </c>
      <c r="U968" s="137">
        <v>42</v>
      </c>
      <c r="V968" s="138">
        <v>504</v>
      </c>
    </row>
    <row r="969" spans="1:22" x14ac:dyDescent="0.25">
      <c r="A969" s="108" t="s">
        <v>778</v>
      </c>
      <c r="B969" s="109" t="s">
        <v>39</v>
      </c>
      <c r="C969" s="109" t="s">
        <v>177</v>
      </c>
      <c r="D969" s="109" t="s">
        <v>80</v>
      </c>
      <c r="E969" s="109" t="s">
        <v>173</v>
      </c>
      <c r="F969" s="109">
        <v>2016</v>
      </c>
      <c r="G969" s="110">
        <v>43276.791666666664</v>
      </c>
      <c r="H969" s="110">
        <v>43289.958333333336</v>
      </c>
      <c r="I969" s="111">
        <v>43276</v>
      </c>
      <c r="J969" s="111">
        <v>43289</v>
      </c>
      <c r="K969" s="112" t="s">
        <v>526</v>
      </c>
      <c r="L969" s="112">
        <v>0.95833333333333337</v>
      </c>
      <c r="M969" s="112" t="s">
        <v>541</v>
      </c>
      <c r="N969" s="112" t="s">
        <v>532</v>
      </c>
      <c r="O969" s="112" t="s">
        <v>669</v>
      </c>
      <c r="P969" s="109" t="s">
        <v>23</v>
      </c>
      <c r="Q969" s="109" t="s">
        <v>21</v>
      </c>
      <c r="R969" s="109" t="s">
        <v>113</v>
      </c>
      <c r="S969" s="109">
        <v>4</v>
      </c>
      <c r="T969" s="109">
        <v>11</v>
      </c>
      <c r="U969" s="139">
        <v>32</v>
      </c>
      <c r="V969" s="140">
        <v>352</v>
      </c>
    </row>
    <row r="970" spans="1:22" x14ac:dyDescent="0.25">
      <c r="A970" s="103" t="s">
        <v>779</v>
      </c>
      <c r="B970" s="104" t="s">
        <v>39</v>
      </c>
      <c r="C970" s="104" t="s">
        <v>177</v>
      </c>
      <c r="D970" s="104" t="s">
        <v>76</v>
      </c>
      <c r="E970" s="104" t="s">
        <v>174</v>
      </c>
      <c r="F970" s="104">
        <v>2016</v>
      </c>
      <c r="G970" s="105">
        <v>43277.583333333336</v>
      </c>
      <c r="H970" s="105">
        <v>43290.75</v>
      </c>
      <c r="I970" s="106">
        <v>43277</v>
      </c>
      <c r="J970" s="106">
        <v>43290</v>
      </c>
      <c r="K970" s="107" t="s">
        <v>527</v>
      </c>
      <c r="L970" s="107">
        <v>0.75</v>
      </c>
      <c r="M970" s="107" t="s">
        <v>542</v>
      </c>
      <c r="N970" s="107" t="s">
        <v>532</v>
      </c>
      <c r="O970" s="107" t="s">
        <v>669</v>
      </c>
      <c r="P970" s="104" t="s">
        <v>9</v>
      </c>
      <c r="Q970" s="104" t="s">
        <v>28</v>
      </c>
      <c r="R970" s="104" t="s">
        <v>109</v>
      </c>
      <c r="S970" s="104">
        <v>3</v>
      </c>
      <c r="T970" s="104">
        <v>12</v>
      </c>
      <c r="U970" s="137">
        <v>53</v>
      </c>
      <c r="V970" s="138">
        <v>636</v>
      </c>
    </row>
    <row r="971" spans="1:22" x14ac:dyDescent="0.25">
      <c r="A971" s="108" t="s">
        <v>780</v>
      </c>
      <c r="B971" s="109" t="s">
        <v>19</v>
      </c>
      <c r="C971" s="109" t="s">
        <v>176</v>
      </c>
      <c r="D971" s="109" t="s">
        <v>81</v>
      </c>
      <c r="E971" s="109" t="s">
        <v>172</v>
      </c>
      <c r="F971" s="109">
        <v>2016</v>
      </c>
      <c r="G971" s="110">
        <v>43278.375</v>
      </c>
      <c r="H971" s="110">
        <v>43284.75</v>
      </c>
      <c r="I971" s="111">
        <v>43278</v>
      </c>
      <c r="J971" s="111">
        <v>43284</v>
      </c>
      <c r="K971" s="112" t="s">
        <v>525</v>
      </c>
      <c r="L971" s="112">
        <v>0.75</v>
      </c>
      <c r="M971" s="112" t="s">
        <v>540</v>
      </c>
      <c r="N971" s="112" t="s">
        <v>532</v>
      </c>
      <c r="O971" s="112" t="s">
        <v>669</v>
      </c>
      <c r="P971" s="109" t="s">
        <v>23</v>
      </c>
      <c r="Q971" s="109" t="s">
        <v>190</v>
      </c>
      <c r="R971" s="109" t="s">
        <v>109</v>
      </c>
      <c r="S971" s="109">
        <v>4</v>
      </c>
      <c r="T971" s="109">
        <v>9</v>
      </c>
      <c r="U971" s="139">
        <v>43</v>
      </c>
      <c r="V971" s="140">
        <v>387</v>
      </c>
    </row>
    <row r="972" spans="1:22" x14ac:dyDescent="0.25">
      <c r="A972" s="103" t="s">
        <v>781</v>
      </c>
      <c r="B972" s="104" t="s">
        <v>14</v>
      </c>
      <c r="C972" s="104" t="s">
        <v>175</v>
      </c>
      <c r="D972" s="104" t="s">
        <v>85</v>
      </c>
      <c r="E972" s="104" t="s">
        <v>170</v>
      </c>
      <c r="F972" s="104">
        <v>2016</v>
      </c>
      <c r="G972" s="105">
        <v>43279.333333333336</v>
      </c>
      <c r="H972" s="105">
        <v>43292.5</v>
      </c>
      <c r="I972" s="106">
        <v>43279</v>
      </c>
      <c r="J972" s="106">
        <v>43292</v>
      </c>
      <c r="K972" s="107" t="s">
        <v>522</v>
      </c>
      <c r="L972" s="107">
        <v>0.5</v>
      </c>
      <c r="M972" s="107" t="s">
        <v>539</v>
      </c>
      <c r="N972" s="107" t="s">
        <v>532</v>
      </c>
      <c r="O972" s="107" t="s">
        <v>669</v>
      </c>
      <c r="P972" s="104" t="s">
        <v>9</v>
      </c>
      <c r="Q972" s="104" t="s">
        <v>38</v>
      </c>
      <c r="R972" s="104" t="s">
        <v>113</v>
      </c>
      <c r="S972" s="104">
        <v>2</v>
      </c>
      <c r="T972" s="104">
        <v>12</v>
      </c>
      <c r="U972" s="137">
        <v>48</v>
      </c>
      <c r="V972" s="138">
        <v>576</v>
      </c>
    </row>
    <row r="973" spans="1:22" x14ac:dyDescent="0.25">
      <c r="A973" s="108" t="s">
        <v>782</v>
      </c>
      <c r="B973" s="109" t="s">
        <v>7</v>
      </c>
      <c r="C973" s="109" t="s">
        <v>175</v>
      </c>
      <c r="D973" s="109" t="s">
        <v>80</v>
      </c>
      <c r="E973" s="109" t="s">
        <v>173</v>
      </c>
      <c r="F973" s="109">
        <v>2016</v>
      </c>
      <c r="G973" s="110">
        <v>43280.375</v>
      </c>
      <c r="H973" s="110">
        <v>43285.75</v>
      </c>
      <c r="I973" s="111">
        <v>43280</v>
      </c>
      <c r="J973" s="111">
        <v>43285</v>
      </c>
      <c r="K973" s="112" t="s">
        <v>525</v>
      </c>
      <c r="L973" s="112">
        <v>0.75</v>
      </c>
      <c r="M973" s="112" t="s">
        <v>540</v>
      </c>
      <c r="N973" s="112" t="s">
        <v>532</v>
      </c>
      <c r="O973" s="112" t="s">
        <v>669</v>
      </c>
      <c r="P973" s="109" t="s">
        <v>9</v>
      </c>
      <c r="Q973" s="109" t="s">
        <v>190</v>
      </c>
      <c r="R973" s="109" t="s">
        <v>109</v>
      </c>
      <c r="S973" s="109">
        <v>5</v>
      </c>
      <c r="T973" s="109">
        <v>12</v>
      </c>
      <c r="U973" s="139">
        <v>32</v>
      </c>
      <c r="V973" s="140">
        <v>384</v>
      </c>
    </row>
    <row r="974" spans="1:22" x14ac:dyDescent="0.25">
      <c r="A974" s="103" t="s">
        <v>784</v>
      </c>
      <c r="B974" s="104" t="s">
        <v>14</v>
      </c>
      <c r="C974" s="104" t="s">
        <v>175</v>
      </c>
      <c r="D974" s="104" t="s">
        <v>79</v>
      </c>
      <c r="E974" s="104" t="s">
        <v>168</v>
      </c>
      <c r="F974" s="104">
        <v>2016</v>
      </c>
      <c r="G974" s="105">
        <v>43282.791666666664</v>
      </c>
      <c r="H974" s="105">
        <v>43293.958333333336</v>
      </c>
      <c r="I974" s="106">
        <v>43282</v>
      </c>
      <c r="J974" s="106">
        <v>43293</v>
      </c>
      <c r="K974" s="107" t="s">
        <v>526</v>
      </c>
      <c r="L974" s="107">
        <v>0.95833333333333337</v>
      </c>
      <c r="M974" s="107" t="s">
        <v>541</v>
      </c>
      <c r="N974" s="107" t="s">
        <v>533</v>
      </c>
      <c r="O974" s="107" t="s">
        <v>669</v>
      </c>
      <c r="P974" s="104" t="s">
        <v>23</v>
      </c>
      <c r="Q974" s="104" t="s">
        <v>16</v>
      </c>
      <c r="R974" s="104" t="s">
        <v>109</v>
      </c>
      <c r="S974" s="104">
        <v>5</v>
      </c>
      <c r="T974" s="104">
        <v>8</v>
      </c>
      <c r="U974" s="137">
        <v>48</v>
      </c>
      <c r="V974" s="138">
        <v>384</v>
      </c>
    </row>
    <row r="975" spans="1:22" x14ac:dyDescent="0.25">
      <c r="A975" s="108" t="s">
        <v>785</v>
      </c>
      <c r="B975" s="109" t="s">
        <v>11</v>
      </c>
      <c r="C975" s="109" t="s">
        <v>175</v>
      </c>
      <c r="D975" s="109" t="s">
        <v>83</v>
      </c>
      <c r="E975" s="109" t="s">
        <v>174</v>
      </c>
      <c r="F975" s="109">
        <v>2016</v>
      </c>
      <c r="G975" s="110">
        <v>43283.791666666664</v>
      </c>
      <c r="H975" s="110">
        <v>43296.958333333336</v>
      </c>
      <c r="I975" s="111">
        <v>43283</v>
      </c>
      <c r="J975" s="111">
        <v>43296</v>
      </c>
      <c r="K975" s="112" t="s">
        <v>526</v>
      </c>
      <c r="L975" s="112">
        <v>0.95833333333333337</v>
      </c>
      <c r="M975" s="112" t="s">
        <v>541</v>
      </c>
      <c r="N975" s="112" t="s">
        <v>533</v>
      </c>
      <c r="O975" s="112" t="s">
        <v>669</v>
      </c>
      <c r="P975" s="109" t="s">
        <v>9</v>
      </c>
      <c r="Q975" s="109" t="s">
        <v>37</v>
      </c>
      <c r="R975" s="109" t="s">
        <v>113</v>
      </c>
      <c r="S975" s="109">
        <v>3</v>
      </c>
      <c r="T975" s="109">
        <v>8</v>
      </c>
      <c r="U975" s="139">
        <v>63</v>
      </c>
      <c r="V975" s="140">
        <v>504</v>
      </c>
    </row>
    <row r="976" spans="1:22" x14ac:dyDescent="0.25">
      <c r="A976" s="103" t="s">
        <v>786</v>
      </c>
      <c r="B976" s="104" t="s">
        <v>11</v>
      </c>
      <c r="C976" s="104" t="s">
        <v>175</v>
      </c>
      <c r="D976" s="104" t="s">
        <v>80</v>
      </c>
      <c r="E976" s="104" t="s">
        <v>173</v>
      </c>
      <c r="F976" s="104">
        <v>2016</v>
      </c>
      <c r="G976" s="105">
        <v>43284.583333333336</v>
      </c>
      <c r="H976" s="105">
        <v>43297.75</v>
      </c>
      <c r="I976" s="106">
        <v>43284</v>
      </c>
      <c r="J976" s="106">
        <v>43297</v>
      </c>
      <c r="K976" s="107" t="s">
        <v>527</v>
      </c>
      <c r="L976" s="107">
        <v>0.75</v>
      </c>
      <c r="M976" s="107" t="s">
        <v>542</v>
      </c>
      <c r="N976" s="107" t="s">
        <v>533</v>
      </c>
      <c r="O976" s="107" t="s">
        <v>669</v>
      </c>
      <c r="P976" s="104" t="s">
        <v>23</v>
      </c>
      <c r="Q976" s="104" t="s">
        <v>22</v>
      </c>
      <c r="R976" s="104" t="s">
        <v>109</v>
      </c>
      <c r="S976" s="104">
        <v>3</v>
      </c>
      <c r="T976" s="104">
        <v>10</v>
      </c>
      <c r="U976" s="137">
        <v>32</v>
      </c>
      <c r="V976" s="138">
        <v>320</v>
      </c>
    </row>
    <row r="977" spans="1:22" x14ac:dyDescent="0.25">
      <c r="A977" s="108" t="s">
        <v>787</v>
      </c>
      <c r="B977" s="109" t="s">
        <v>45</v>
      </c>
      <c r="C977" s="109" t="s">
        <v>177</v>
      </c>
      <c r="D977" s="109" t="s">
        <v>81</v>
      </c>
      <c r="E977" s="109" t="s">
        <v>172</v>
      </c>
      <c r="F977" s="109">
        <v>2016</v>
      </c>
      <c r="G977" s="110">
        <v>43285.375</v>
      </c>
      <c r="H977" s="110">
        <v>43291.75</v>
      </c>
      <c r="I977" s="111">
        <v>43285</v>
      </c>
      <c r="J977" s="111">
        <v>43291</v>
      </c>
      <c r="K977" s="112" t="s">
        <v>525</v>
      </c>
      <c r="L977" s="112">
        <v>0.75</v>
      </c>
      <c r="M977" s="112" t="s">
        <v>540</v>
      </c>
      <c r="N977" s="112" t="s">
        <v>533</v>
      </c>
      <c r="O977" s="112" t="s">
        <v>669</v>
      </c>
      <c r="P977" s="109" t="s">
        <v>9</v>
      </c>
      <c r="Q977" s="109" t="s">
        <v>16</v>
      </c>
      <c r="R977" s="109" t="s">
        <v>109</v>
      </c>
      <c r="S977" s="109">
        <v>3</v>
      </c>
      <c r="T977" s="109">
        <v>10</v>
      </c>
      <c r="U977" s="139">
        <v>43</v>
      </c>
      <c r="V977" s="140">
        <v>430</v>
      </c>
    </row>
    <row r="978" spans="1:22" x14ac:dyDescent="0.25">
      <c r="A978" s="103" t="s">
        <v>788</v>
      </c>
      <c r="B978" s="104" t="s">
        <v>7</v>
      </c>
      <c r="C978" s="104" t="s">
        <v>175</v>
      </c>
      <c r="D978" s="104" t="s">
        <v>80</v>
      </c>
      <c r="E978" s="104" t="s">
        <v>173</v>
      </c>
      <c r="F978" s="104">
        <v>2016</v>
      </c>
      <c r="G978" s="105">
        <v>43286.333333333336</v>
      </c>
      <c r="H978" s="105">
        <v>43299.5</v>
      </c>
      <c r="I978" s="106">
        <v>43286</v>
      </c>
      <c r="J978" s="106">
        <v>43299</v>
      </c>
      <c r="K978" s="107" t="s">
        <v>522</v>
      </c>
      <c r="L978" s="107">
        <v>0.5</v>
      </c>
      <c r="M978" s="107" t="s">
        <v>539</v>
      </c>
      <c r="N978" s="107" t="s">
        <v>533</v>
      </c>
      <c r="O978" s="107" t="s">
        <v>669</v>
      </c>
      <c r="P978" s="104" t="s">
        <v>23</v>
      </c>
      <c r="Q978" s="104" t="s">
        <v>16</v>
      </c>
      <c r="R978" s="104" t="s">
        <v>109</v>
      </c>
      <c r="S978" s="104">
        <v>5</v>
      </c>
      <c r="T978" s="104">
        <v>11</v>
      </c>
      <c r="U978" s="137">
        <v>32</v>
      </c>
      <c r="V978" s="138">
        <v>352</v>
      </c>
    </row>
    <row r="979" spans="1:22" x14ac:dyDescent="0.25">
      <c r="A979" s="108" t="s">
        <v>789</v>
      </c>
      <c r="B979" s="109" t="s">
        <v>11</v>
      </c>
      <c r="C979" s="109" t="s">
        <v>175</v>
      </c>
      <c r="D979" s="109" t="s">
        <v>80</v>
      </c>
      <c r="E979" s="109" t="s">
        <v>173</v>
      </c>
      <c r="F979" s="109">
        <v>2016</v>
      </c>
      <c r="G979" s="110">
        <v>43287.375</v>
      </c>
      <c r="H979" s="110">
        <v>43292.75</v>
      </c>
      <c r="I979" s="111">
        <v>43287</v>
      </c>
      <c r="J979" s="111">
        <v>43292</v>
      </c>
      <c r="K979" s="112" t="s">
        <v>525</v>
      </c>
      <c r="L979" s="112">
        <v>0.75</v>
      </c>
      <c r="M979" s="112" t="s">
        <v>540</v>
      </c>
      <c r="N979" s="112" t="s">
        <v>533</v>
      </c>
      <c r="O979" s="112" t="s">
        <v>669</v>
      </c>
      <c r="P979" s="109" t="s">
        <v>9</v>
      </c>
      <c r="Q979" s="109" t="s">
        <v>22</v>
      </c>
      <c r="R979" s="109" t="s">
        <v>109</v>
      </c>
      <c r="S979" s="109">
        <v>3</v>
      </c>
      <c r="T979" s="109">
        <v>8</v>
      </c>
      <c r="U979" s="139">
        <v>32</v>
      </c>
      <c r="V979" s="140">
        <v>256</v>
      </c>
    </row>
    <row r="980" spans="1:22" x14ac:dyDescent="0.25">
      <c r="A980" s="103" t="s">
        <v>790</v>
      </c>
      <c r="B980" s="104" t="s">
        <v>19</v>
      </c>
      <c r="C980" s="104" t="s">
        <v>176</v>
      </c>
      <c r="D980" s="104" t="s">
        <v>80</v>
      </c>
      <c r="E980" s="104" t="s">
        <v>173</v>
      </c>
      <c r="F980" s="104">
        <v>2016</v>
      </c>
      <c r="G980" s="105">
        <v>43289.791666666664</v>
      </c>
      <c r="H980" s="105">
        <v>43300.958333333336</v>
      </c>
      <c r="I980" s="106">
        <v>43289</v>
      </c>
      <c r="J980" s="106">
        <v>43300</v>
      </c>
      <c r="K980" s="107" t="s">
        <v>526</v>
      </c>
      <c r="L980" s="107">
        <v>0.95833333333333337</v>
      </c>
      <c r="M980" s="107" t="s">
        <v>541</v>
      </c>
      <c r="N980" s="107" t="s">
        <v>533</v>
      </c>
      <c r="O980" s="107" t="s">
        <v>669</v>
      </c>
      <c r="P980" s="104" t="s">
        <v>23</v>
      </c>
      <c r="Q980" s="104" t="s">
        <v>44</v>
      </c>
      <c r="R980" s="104" t="s">
        <v>113</v>
      </c>
      <c r="S980" s="104">
        <v>5</v>
      </c>
      <c r="T980" s="104">
        <v>9</v>
      </c>
      <c r="U980" s="137">
        <v>32</v>
      </c>
      <c r="V980" s="138">
        <v>288</v>
      </c>
    </row>
    <row r="981" spans="1:22" x14ac:dyDescent="0.25">
      <c r="A981" s="108" t="s">
        <v>791</v>
      </c>
      <c r="B981" s="109" t="s">
        <v>19</v>
      </c>
      <c r="C981" s="109" t="s">
        <v>176</v>
      </c>
      <c r="D981" s="109" t="s">
        <v>80</v>
      </c>
      <c r="E981" s="109" t="s">
        <v>173</v>
      </c>
      <c r="F981" s="109">
        <v>2016</v>
      </c>
      <c r="G981" s="110">
        <v>43289.791666666664</v>
      </c>
      <c r="H981" s="110">
        <v>43300.958333333336</v>
      </c>
      <c r="I981" s="111">
        <v>43289</v>
      </c>
      <c r="J981" s="111">
        <v>43300</v>
      </c>
      <c r="K981" s="112" t="s">
        <v>526</v>
      </c>
      <c r="L981" s="112">
        <v>0.95833333333333337</v>
      </c>
      <c r="M981" s="112" t="s">
        <v>541</v>
      </c>
      <c r="N981" s="112" t="s">
        <v>533</v>
      </c>
      <c r="O981" s="112" t="s">
        <v>669</v>
      </c>
      <c r="P981" s="109" t="s">
        <v>23</v>
      </c>
      <c r="Q981" s="109" t="s">
        <v>18</v>
      </c>
      <c r="R981" s="109" t="s">
        <v>113</v>
      </c>
      <c r="S981" s="109">
        <v>5</v>
      </c>
      <c r="T981" s="109">
        <v>10</v>
      </c>
      <c r="U981" s="139">
        <v>32</v>
      </c>
      <c r="V981" s="140">
        <v>320</v>
      </c>
    </row>
    <row r="982" spans="1:22" x14ac:dyDescent="0.25">
      <c r="A982" s="103" t="s">
        <v>792</v>
      </c>
      <c r="B982" s="104" t="s">
        <v>11</v>
      </c>
      <c r="C982" s="104" t="s">
        <v>175</v>
      </c>
      <c r="D982" s="104" t="s">
        <v>85</v>
      </c>
      <c r="E982" s="104" t="s">
        <v>170</v>
      </c>
      <c r="F982" s="104">
        <v>2016</v>
      </c>
      <c r="G982" s="105">
        <v>43290.791666666664</v>
      </c>
      <c r="H982" s="105">
        <v>43303.958333333336</v>
      </c>
      <c r="I982" s="106">
        <v>43290</v>
      </c>
      <c r="J982" s="106">
        <v>43303</v>
      </c>
      <c r="K982" s="107" t="s">
        <v>526</v>
      </c>
      <c r="L982" s="107">
        <v>0.95833333333333337</v>
      </c>
      <c r="M982" s="107" t="s">
        <v>541</v>
      </c>
      <c r="N982" s="107" t="s">
        <v>533</v>
      </c>
      <c r="O982" s="107" t="s">
        <v>669</v>
      </c>
      <c r="P982" s="104" t="s">
        <v>23</v>
      </c>
      <c r="Q982" s="104" t="s">
        <v>33</v>
      </c>
      <c r="R982" s="104" t="s">
        <v>113</v>
      </c>
      <c r="S982" s="104">
        <v>2</v>
      </c>
      <c r="T982" s="104">
        <v>9</v>
      </c>
      <c r="U982" s="137">
        <v>48</v>
      </c>
      <c r="V982" s="138">
        <v>432</v>
      </c>
    </row>
    <row r="983" spans="1:22" x14ac:dyDescent="0.25">
      <c r="A983" s="108" t="s">
        <v>793</v>
      </c>
      <c r="B983" s="109" t="s">
        <v>14</v>
      </c>
      <c r="C983" s="109" t="s">
        <v>175</v>
      </c>
      <c r="D983" s="109" t="s">
        <v>85</v>
      </c>
      <c r="E983" s="109" t="s">
        <v>170</v>
      </c>
      <c r="F983" s="109">
        <v>2016</v>
      </c>
      <c r="G983" s="110">
        <v>43291.583333333336</v>
      </c>
      <c r="H983" s="110">
        <v>43304.75</v>
      </c>
      <c r="I983" s="111">
        <v>43291</v>
      </c>
      <c r="J983" s="111">
        <v>43304</v>
      </c>
      <c r="K983" s="112" t="s">
        <v>527</v>
      </c>
      <c r="L983" s="112">
        <v>0.75</v>
      </c>
      <c r="M983" s="112" t="s">
        <v>542</v>
      </c>
      <c r="N983" s="112" t="s">
        <v>533</v>
      </c>
      <c r="O983" s="112" t="s">
        <v>669</v>
      </c>
      <c r="P983" s="109" t="s">
        <v>23</v>
      </c>
      <c r="Q983" s="109" t="s">
        <v>16</v>
      </c>
      <c r="R983" s="109" t="s">
        <v>109</v>
      </c>
      <c r="S983" s="109">
        <v>5</v>
      </c>
      <c r="T983" s="109">
        <v>12</v>
      </c>
      <c r="U983" s="139">
        <v>48</v>
      </c>
      <c r="V983" s="140">
        <v>576</v>
      </c>
    </row>
    <row r="984" spans="1:22" x14ac:dyDescent="0.25">
      <c r="A984" s="103" t="s">
        <v>794</v>
      </c>
      <c r="B984" s="104" t="s">
        <v>14</v>
      </c>
      <c r="C984" s="104" t="s">
        <v>175</v>
      </c>
      <c r="D984" s="104" t="s">
        <v>85</v>
      </c>
      <c r="E984" s="104" t="s">
        <v>170</v>
      </c>
      <c r="F984" s="104">
        <v>2016</v>
      </c>
      <c r="G984" s="105">
        <v>43292.375</v>
      </c>
      <c r="H984" s="105">
        <v>43298.75</v>
      </c>
      <c r="I984" s="106">
        <v>43292</v>
      </c>
      <c r="J984" s="106">
        <v>43298</v>
      </c>
      <c r="K984" s="107" t="s">
        <v>525</v>
      </c>
      <c r="L984" s="107">
        <v>0.75</v>
      </c>
      <c r="M984" s="107" t="s">
        <v>540</v>
      </c>
      <c r="N984" s="107" t="s">
        <v>533</v>
      </c>
      <c r="O984" s="107" t="s">
        <v>669</v>
      </c>
      <c r="P984" s="104" t="s">
        <v>23</v>
      </c>
      <c r="Q984" s="104" t="s">
        <v>41</v>
      </c>
      <c r="R984" s="104" t="s">
        <v>113</v>
      </c>
      <c r="S984" s="104">
        <v>5</v>
      </c>
      <c r="T984" s="104">
        <v>10</v>
      </c>
      <c r="U984" s="137">
        <v>48</v>
      </c>
      <c r="V984" s="138">
        <v>480</v>
      </c>
    </row>
    <row r="985" spans="1:22" x14ac:dyDescent="0.25">
      <c r="A985" s="108" t="s">
        <v>795</v>
      </c>
      <c r="B985" s="109" t="s">
        <v>39</v>
      </c>
      <c r="C985" s="109" t="s">
        <v>177</v>
      </c>
      <c r="D985" s="109" t="s">
        <v>77</v>
      </c>
      <c r="E985" s="109" t="s">
        <v>172</v>
      </c>
      <c r="F985" s="109">
        <v>2016</v>
      </c>
      <c r="G985" s="110">
        <v>43293.333333333336</v>
      </c>
      <c r="H985" s="110">
        <v>43306.5</v>
      </c>
      <c r="I985" s="111">
        <v>43293</v>
      </c>
      <c r="J985" s="111">
        <v>43306</v>
      </c>
      <c r="K985" s="112" t="s">
        <v>522</v>
      </c>
      <c r="L985" s="112">
        <v>0.5</v>
      </c>
      <c r="M985" s="112" t="s">
        <v>539</v>
      </c>
      <c r="N985" s="112" t="s">
        <v>533</v>
      </c>
      <c r="O985" s="112" t="s">
        <v>669</v>
      </c>
      <c r="P985" s="109" t="s">
        <v>23</v>
      </c>
      <c r="Q985" s="109" t="s">
        <v>41</v>
      </c>
      <c r="R985" s="109" t="s">
        <v>113</v>
      </c>
      <c r="S985" s="109">
        <v>5</v>
      </c>
      <c r="T985" s="109">
        <v>12</v>
      </c>
      <c r="U985" s="139">
        <v>35</v>
      </c>
      <c r="V985" s="140">
        <v>420</v>
      </c>
    </row>
    <row r="986" spans="1:22" x14ac:dyDescent="0.25">
      <c r="A986" s="103" t="s">
        <v>796</v>
      </c>
      <c r="B986" s="104" t="s">
        <v>14</v>
      </c>
      <c r="C986" s="104" t="s">
        <v>175</v>
      </c>
      <c r="D986" s="104" t="s">
        <v>82</v>
      </c>
      <c r="E986" s="104" t="s">
        <v>172</v>
      </c>
      <c r="F986" s="104">
        <v>2016</v>
      </c>
      <c r="G986" s="105">
        <v>43294.375</v>
      </c>
      <c r="H986" s="105">
        <v>43299.75</v>
      </c>
      <c r="I986" s="106">
        <v>43294</v>
      </c>
      <c r="J986" s="106">
        <v>43299</v>
      </c>
      <c r="K986" s="107" t="s">
        <v>525</v>
      </c>
      <c r="L986" s="107">
        <v>0.75</v>
      </c>
      <c r="M986" s="107" t="s">
        <v>540</v>
      </c>
      <c r="N986" s="107" t="s">
        <v>533</v>
      </c>
      <c r="O986" s="107" t="s">
        <v>669</v>
      </c>
      <c r="P986" s="104" t="s">
        <v>23</v>
      </c>
      <c r="Q986" s="104" t="s">
        <v>33</v>
      </c>
      <c r="R986" s="104" t="s">
        <v>113</v>
      </c>
      <c r="S986" s="104">
        <v>2</v>
      </c>
      <c r="T986" s="104">
        <v>11</v>
      </c>
      <c r="U986" s="137">
        <v>75</v>
      </c>
      <c r="V986" s="138">
        <v>825</v>
      </c>
    </row>
    <row r="987" spans="1:22" x14ac:dyDescent="0.25">
      <c r="A987" s="108" t="s">
        <v>797</v>
      </c>
      <c r="B987" s="109" t="s">
        <v>14</v>
      </c>
      <c r="C987" s="109" t="s">
        <v>175</v>
      </c>
      <c r="D987" s="109" t="s">
        <v>88</v>
      </c>
      <c r="E987" s="109" t="s">
        <v>170</v>
      </c>
      <c r="F987" s="109">
        <v>2016</v>
      </c>
      <c r="G987" s="110">
        <v>43296.791666666664</v>
      </c>
      <c r="H987" s="110">
        <v>43307.958333333336</v>
      </c>
      <c r="I987" s="111">
        <v>43296</v>
      </c>
      <c r="J987" s="111">
        <v>43307</v>
      </c>
      <c r="K987" s="112" t="s">
        <v>526</v>
      </c>
      <c r="L987" s="112">
        <v>0.95833333333333337</v>
      </c>
      <c r="M987" s="112" t="s">
        <v>541</v>
      </c>
      <c r="N987" s="112" t="s">
        <v>533</v>
      </c>
      <c r="O987" s="112" t="s">
        <v>669</v>
      </c>
      <c r="P987" s="109" t="s">
        <v>9</v>
      </c>
      <c r="Q987" s="109" t="s">
        <v>18</v>
      </c>
      <c r="R987" s="109" t="s">
        <v>113</v>
      </c>
      <c r="S987" s="109">
        <v>3</v>
      </c>
      <c r="T987" s="109">
        <v>10</v>
      </c>
      <c r="U987" s="139">
        <v>42</v>
      </c>
      <c r="V987" s="140">
        <v>420</v>
      </c>
    </row>
    <row r="988" spans="1:22" x14ac:dyDescent="0.25">
      <c r="A988" s="103" t="s">
        <v>798</v>
      </c>
      <c r="B988" s="104" t="s">
        <v>29</v>
      </c>
      <c r="C988" s="104" t="s">
        <v>177</v>
      </c>
      <c r="D988" s="104" t="s">
        <v>80</v>
      </c>
      <c r="E988" s="104" t="s">
        <v>173</v>
      </c>
      <c r="F988" s="104">
        <v>2016</v>
      </c>
      <c r="G988" s="105">
        <v>43296.791666666664</v>
      </c>
      <c r="H988" s="105">
        <v>43307.958333333336</v>
      </c>
      <c r="I988" s="106">
        <v>43296</v>
      </c>
      <c r="J988" s="106">
        <v>43307</v>
      </c>
      <c r="K988" s="107" t="s">
        <v>526</v>
      </c>
      <c r="L988" s="107">
        <v>0.95833333333333337</v>
      </c>
      <c r="M988" s="107" t="s">
        <v>541</v>
      </c>
      <c r="N988" s="107" t="s">
        <v>533</v>
      </c>
      <c r="O988" s="107" t="s">
        <v>669</v>
      </c>
      <c r="P988" s="104" t="s">
        <v>23</v>
      </c>
      <c r="Q988" s="104" t="s">
        <v>16</v>
      </c>
      <c r="R988" s="104" t="s">
        <v>109</v>
      </c>
      <c r="S988" s="104">
        <v>3</v>
      </c>
      <c r="T988" s="104">
        <v>11</v>
      </c>
      <c r="U988" s="137">
        <v>32</v>
      </c>
      <c r="V988" s="138">
        <v>352</v>
      </c>
    </row>
    <row r="989" spans="1:22" x14ac:dyDescent="0.25">
      <c r="A989" s="108" t="s">
        <v>799</v>
      </c>
      <c r="B989" s="109" t="s">
        <v>7</v>
      </c>
      <c r="C989" s="109" t="s">
        <v>175</v>
      </c>
      <c r="D989" s="109" t="s">
        <v>79</v>
      </c>
      <c r="E989" s="109" t="s">
        <v>168</v>
      </c>
      <c r="F989" s="109">
        <v>2016</v>
      </c>
      <c r="G989" s="110">
        <v>43297.791666666664</v>
      </c>
      <c r="H989" s="110">
        <v>43310.958333333336</v>
      </c>
      <c r="I989" s="111">
        <v>43297</v>
      </c>
      <c r="J989" s="111">
        <v>43310</v>
      </c>
      <c r="K989" s="112" t="s">
        <v>526</v>
      </c>
      <c r="L989" s="112">
        <v>0.95833333333333337</v>
      </c>
      <c r="M989" s="112" t="s">
        <v>541</v>
      </c>
      <c r="N989" s="112" t="s">
        <v>533</v>
      </c>
      <c r="O989" s="112" t="s">
        <v>669</v>
      </c>
      <c r="P989" s="109" t="s">
        <v>23</v>
      </c>
      <c r="Q989" s="109" t="s">
        <v>21</v>
      </c>
      <c r="R989" s="109" t="s">
        <v>113</v>
      </c>
      <c r="S989" s="109">
        <v>4</v>
      </c>
      <c r="T989" s="109">
        <v>8</v>
      </c>
      <c r="U989" s="139">
        <v>48</v>
      </c>
      <c r="V989" s="140">
        <v>384</v>
      </c>
    </row>
    <row r="990" spans="1:22" x14ac:dyDescent="0.25">
      <c r="A990" s="103" t="s">
        <v>800</v>
      </c>
      <c r="B990" s="104" t="s">
        <v>45</v>
      </c>
      <c r="C990" s="104" t="s">
        <v>177</v>
      </c>
      <c r="D990" s="104" t="s">
        <v>82</v>
      </c>
      <c r="E990" s="104" t="s">
        <v>172</v>
      </c>
      <c r="F990" s="104">
        <v>2016</v>
      </c>
      <c r="G990" s="105">
        <v>43298.583333333336</v>
      </c>
      <c r="H990" s="105">
        <v>43311.75</v>
      </c>
      <c r="I990" s="106">
        <v>43298</v>
      </c>
      <c r="J990" s="106">
        <v>43311</v>
      </c>
      <c r="K990" s="107" t="s">
        <v>527</v>
      </c>
      <c r="L990" s="107">
        <v>0.75</v>
      </c>
      <c r="M990" s="107" t="s">
        <v>542</v>
      </c>
      <c r="N990" s="107" t="s">
        <v>533</v>
      </c>
      <c r="O990" s="107" t="s">
        <v>669</v>
      </c>
      <c r="P990" s="104" t="s">
        <v>23</v>
      </c>
      <c r="Q990" s="104" t="s">
        <v>12</v>
      </c>
      <c r="R990" s="104" t="s">
        <v>113</v>
      </c>
      <c r="S990" s="104">
        <v>5</v>
      </c>
      <c r="T990" s="104">
        <v>10</v>
      </c>
      <c r="U990" s="137">
        <v>75</v>
      </c>
      <c r="V990" s="138">
        <v>750</v>
      </c>
    </row>
    <row r="991" spans="1:22" x14ac:dyDescent="0.25">
      <c r="A991" s="108" t="s">
        <v>801</v>
      </c>
      <c r="B991" s="109" t="s">
        <v>39</v>
      </c>
      <c r="C991" s="109" t="s">
        <v>177</v>
      </c>
      <c r="D991" s="109" t="s">
        <v>89</v>
      </c>
      <c r="E991" s="109" t="s">
        <v>169</v>
      </c>
      <c r="F991" s="109">
        <v>2016</v>
      </c>
      <c r="G991" s="110">
        <v>43299.375</v>
      </c>
      <c r="H991" s="110">
        <v>43305.75</v>
      </c>
      <c r="I991" s="111">
        <v>43299</v>
      </c>
      <c r="J991" s="111">
        <v>43305</v>
      </c>
      <c r="K991" s="112" t="s">
        <v>525</v>
      </c>
      <c r="L991" s="112">
        <v>0.75</v>
      </c>
      <c r="M991" s="112" t="s">
        <v>540</v>
      </c>
      <c r="N991" s="112" t="s">
        <v>533</v>
      </c>
      <c r="O991" s="112" t="s">
        <v>669</v>
      </c>
      <c r="P991" s="109" t="s">
        <v>23</v>
      </c>
      <c r="Q991" s="109" t="s">
        <v>16</v>
      </c>
      <c r="R991" s="109" t="s">
        <v>109</v>
      </c>
      <c r="S991" s="109">
        <v>5</v>
      </c>
      <c r="T991" s="109">
        <v>11</v>
      </c>
      <c r="U991" s="139">
        <v>62</v>
      </c>
      <c r="V991" s="140">
        <v>682</v>
      </c>
    </row>
    <row r="992" spans="1:22" x14ac:dyDescent="0.25">
      <c r="A992" s="103" t="s">
        <v>802</v>
      </c>
      <c r="B992" s="104" t="s">
        <v>17</v>
      </c>
      <c r="C992" s="104" t="s">
        <v>176</v>
      </c>
      <c r="D992" s="104" t="s">
        <v>77</v>
      </c>
      <c r="E992" s="104" t="s">
        <v>172</v>
      </c>
      <c r="F992" s="104">
        <v>2016</v>
      </c>
      <c r="G992" s="105">
        <v>43300.333333333336</v>
      </c>
      <c r="H992" s="105">
        <v>43313.5</v>
      </c>
      <c r="I992" s="106">
        <v>43300</v>
      </c>
      <c r="J992" s="106">
        <v>43313</v>
      </c>
      <c r="K992" s="107" t="s">
        <v>522</v>
      </c>
      <c r="L992" s="107">
        <v>0.5</v>
      </c>
      <c r="M992" s="107" t="s">
        <v>539</v>
      </c>
      <c r="N992" s="107" t="s">
        <v>533</v>
      </c>
      <c r="O992" s="107" t="s">
        <v>669</v>
      </c>
      <c r="P992" s="104" t="s">
        <v>9</v>
      </c>
      <c r="Q992" s="104" t="s">
        <v>38</v>
      </c>
      <c r="R992" s="104" t="s">
        <v>113</v>
      </c>
      <c r="S992" s="104">
        <v>4</v>
      </c>
      <c r="T992" s="104">
        <v>9</v>
      </c>
      <c r="U992" s="137">
        <v>35</v>
      </c>
      <c r="V992" s="138">
        <v>315</v>
      </c>
    </row>
    <row r="993" spans="1:22" x14ac:dyDescent="0.25">
      <c r="A993" s="108" t="s">
        <v>803</v>
      </c>
      <c r="B993" s="109" t="s">
        <v>7</v>
      </c>
      <c r="C993" s="109" t="s">
        <v>175</v>
      </c>
      <c r="D993" s="109" t="s">
        <v>84</v>
      </c>
      <c r="E993" s="109" t="s">
        <v>172</v>
      </c>
      <c r="F993" s="109">
        <v>2016</v>
      </c>
      <c r="G993" s="110">
        <v>43301.375</v>
      </c>
      <c r="H993" s="110">
        <v>43306.75</v>
      </c>
      <c r="I993" s="111">
        <v>43301</v>
      </c>
      <c r="J993" s="111">
        <v>43306</v>
      </c>
      <c r="K993" s="112" t="s">
        <v>525</v>
      </c>
      <c r="L993" s="112">
        <v>0.75</v>
      </c>
      <c r="M993" s="112" t="s">
        <v>540</v>
      </c>
      <c r="N993" s="112" t="s">
        <v>533</v>
      </c>
      <c r="O993" s="112" t="s">
        <v>669</v>
      </c>
      <c r="P993" s="109" t="s">
        <v>23</v>
      </c>
      <c r="Q993" s="109" t="s">
        <v>33</v>
      </c>
      <c r="R993" s="109" t="s">
        <v>113</v>
      </c>
      <c r="S993" s="109">
        <v>5</v>
      </c>
      <c r="T993" s="109">
        <v>12</v>
      </c>
      <c r="U993" s="139">
        <v>52</v>
      </c>
      <c r="V993" s="140">
        <v>624</v>
      </c>
    </row>
    <row r="994" spans="1:22" x14ac:dyDescent="0.25">
      <c r="A994" s="103" t="s">
        <v>804</v>
      </c>
      <c r="B994" s="104" t="s">
        <v>45</v>
      </c>
      <c r="C994" s="104" t="s">
        <v>177</v>
      </c>
      <c r="D994" s="104" t="s">
        <v>85</v>
      </c>
      <c r="E994" s="104" t="s">
        <v>170</v>
      </c>
      <c r="F994" s="104">
        <v>2016</v>
      </c>
      <c r="G994" s="105">
        <v>43303.791666666664</v>
      </c>
      <c r="H994" s="105">
        <v>43314.958333333336</v>
      </c>
      <c r="I994" s="106">
        <v>43303</v>
      </c>
      <c r="J994" s="106">
        <v>43314</v>
      </c>
      <c r="K994" s="107" t="s">
        <v>526</v>
      </c>
      <c r="L994" s="107">
        <v>0.95833333333333337</v>
      </c>
      <c r="M994" s="107" t="s">
        <v>541</v>
      </c>
      <c r="N994" s="107" t="s">
        <v>533</v>
      </c>
      <c r="O994" s="107" t="s">
        <v>669</v>
      </c>
      <c r="P994" s="104" t="s">
        <v>9</v>
      </c>
      <c r="Q994" s="104" t="s">
        <v>38</v>
      </c>
      <c r="R994" s="104" t="s">
        <v>113</v>
      </c>
      <c r="S994" s="104">
        <v>3</v>
      </c>
      <c r="T994" s="104">
        <v>8</v>
      </c>
      <c r="U994" s="137">
        <v>48</v>
      </c>
      <c r="V994" s="138">
        <v>384</v>
      </c>
    </row>
    <row r="995" spans="1:22" x14ac:dyDescent="0.25">
      <c r="A995" s="108" t="s">
        <v>805</v>
      </c>
      <c r="B995" s="109" t="s">
        <v>29</v>
      </c>
      <c r="C995" s="109" t="s">
        <v>177</v>
      </c>
      <c r="D995" s="109" t="s">
        <v>84</v>
      </c>
      <c r="E995" s="109" t="s">
        <v>172</v>
      </c>
      <c r="F995" s="109">
        <v>2016</v>
      </c>
      <c r="G995" s="110">
        <v>43303.791666666664</v>
      </c>
      <c r="H995" s="110">
        <v>43314.958333333336</v>
      </c>
      <c r="I995" s="111">
        <v>43303</v>
      </c>
      <c r="J995" s="111">
        <v>43314</v>
      </c>
      <c r="K995" s="112" t="s">
        <v>526</v>
      </c>
      <c r="L995" s="112">
        <v>0.95833333333333337</v>
      </c>
      <c r="M995" s="112" t="s">
        <v>541</v>
      </c>
      <c r="N995" s="112" t="s">
        <v>533</v>
      </c>
      <c r="O995" s="112" t="s">
        <v>669</v>
      </c>
      <c r="P995" s="109" t="s">
        <v>23</v>
      </c>
      <c r="Q995" s="109" t="s">
        <v>16</v>
      </c>
      <c r="R995" s="109" t="s">
        <v>109</v>
      </c>
      <c r="S995" s="109">
        <v>5</v>
      </c>
      <c r="T995" s="109">
        <v>12</v>
      </c>
      <c r="U995" s="139">
        <v>52</v>
      </c>
      <c r="V995" s="140">
        <v>624</v>
      </c>
    </row>
    <row r="996" spans="1:22" x14ac:dyDescent="0.25">
      <c r="A996" s="103" t="s">
        <v>806</v>
      </c>
      <c r="B996" s="104" t="s">
        <v>45</v>
      </c>
      <c r="C996" s="104" t="s">
        <v>177</v>
      </c>
      <c r="D996" s="104" t="s">
        <v>77</v>
      </c>
      <c r="E996" s="104" t="s">
        <v>172</v>
      </c>
      <c r="F996" s="104">
        <v>2016</v>
      </c>
      <c r="G996" s="105">
        <v>43304.791666666664</v>
      </c>
      <c r="H996" s="105">
        <v>43317.958333333336</v>
      </c>
      <c r="I996" s="106">
        <v>43304</v>
      </c>
      <c r="J996" s="106">
        <v>43317</v>
      </c>
      <c r="K996" s="107" t="s">
        <v>526</v>
      </c>
      <c r="L996" s="107">
        <v>0.95833333333333337</v>
      </c>
      <c r="M996" s="107" t="s">
        <v>541</v>
      </c>
      <c r="N996" s="107" t="s">
        <v>533</v>
      </c>
      <c r="O996" s="107" t="s">
        <v>669</v>
      </c>
      <c r="P996" s="104" t="s">
        <v>9</v>
      </c>
      <c r="Q996" s="104" t="s">
        <v>31</v>
      </c>
      <c r="R996" s="104" t="s">
        <v>113</v>
      </c>
      <c r="S996" s="104">
        <v>5</v>
      </c>
      <c r="T996" s="104">
        <v>8</v>
      </c>
      <c r="U996" s="137">
        <v>35</v>
      </c>
      <c r="V996" s="138">
        <v>280</v>
      </c>
    </row>
    <row r="997" spans="1:22" x14ac:dyDescent="0.25">
      <c r="A997" s="108" t="s">
        <v>807</v>
      </c>
      <c r="B997" s="109" t="s">
        <v>29</v>
      </c>
      <c r="C997" s="109" t="s">
        <v>177</v>
      </c>
      <c r="D997" s="109" t="s">
        <v>80</v>
      </c>
      <c r="E997" s="109" t="s">
        <v>173</v>
      </c>
      <c r="F997" s="109">
        <v>2016</v>
      </c>
      <c r="G997" s="110">
        <v>43305.583333333336</v>
      </c>
      <c r="H997" s="110">
        <v>43318.75</v>
      </c>
      <c r="I997" s="111">
        <v>43305</v>
      </c>
      <c r="J997" s="111">
        <v>43318</v>
      </c>
      <c r="K997" s="112" t="s">
        <v>527</v>
      </c>
      <c r="L997" s="112">
        <v>0.75</v>
      </c>
      <c r="M997" s="112" t="s">
        <v>542</v>
      </c>
      <c r="N997" s="112" t="s">
        <v>533</v>
      </c>
      <c r="O997" s="112" t="s">
        <v>669</v>
      </c>
      <c r="P997" s="109" t="s">
        <v>23</v>
      </c>
      <c r="Q997" s="109" t="s">
        <v>38</v>
      </c>
      <c r="R997" s="109" t="s">
        <v>113</v>
      </c>
      <c r="S997" s="109">
        <v>4</v>
      </c>
      <c r="T997" s="109">
        <v>10</v>
      </c>
      <c r="U997" s="139">
        <v>32</v>
      </c>
      <c r="V997" s="140">
        <v>320</v>
      </c>
    </row>
    <row r="998" spans="1:22" x14ac:dyDescent="0.25">
      <c r="A998" s="103" t="s">
        <v>808</v>
      </c>
      <c r="B998" s="104" t="s">
        <v>7</v>
      </c>
      <c r="C998" s="104" t="s">
        <v>175</v>
      </c>
      <c r="D998" s="104" t="s">
        <v>86</v>
      </c>
      <c r="E998" s="104" t="s">
        <v>169</v>
      </c>
      <c r="F998" s="104">
        <v>2016</v>
      </c>
      <c r="G998" s="105">
        <v>43306.375</v>
      </c>
      <c r="H998" s="105">
        <v>43312.75</v>
      </c>
      <c r="I998" s="106">
        <v>43306</v>
      </c>
      <c r="J998" s="106">
        <v>43312</v>
      </c>
      <c r="K998" s="107" t="s">
        <v>525</v>
      </c>
      <c r="L998" s="107">
        <v>0.75</v>
      </c>
      <c r="M998" s="107" t="s">
        <v>540</v>
      </c>
      <c r="N998" s="107" t="s">
        <v>533</v>
      </c>
      <c r="O998" s="107" t="s">
        <v>669</v>
      </c>
      <c r="P998" s="104" t="s">
        <v>9</v>
      </c>
      <c r="Q998" s="104" t="s">
        <v>190</v>
      </c>
      <c r="R998" s="104" t="s">
        <v>109</v>
      </c>
      <c r="S998" s="104">
        <v>3</v>
      </c>
      <c r="T998" s="104">
        <v>12</v>
      </c>
      <c r="U998" s="137">
        <v>48</v>
      </c>
      <c r="V998" s="138">
        <v>576</v>
      </c>
    </row>
    <row r="999" spans="1:22" x14ac:dyDescent="0.25">
      <c r="A999" s="108" t="s">
        <v>809</v>
      </c>
      <c r="B999" s="109" t="s">
        <v>17</v>
      </c>
      <c r="C999" s="109" t="s">
        <v>176</v>
      </c>
      <c r="D999" s="109" t="s">
        <v>85</v>
      </c>
      <c r="E999" s="109" t="s">
        <v>170</v>
      </c>
      <c r="F999" s="109">
        <v>2016</v>
      </c>
      <c r="G999" s="110">
        <v>43307.333333333336</v>
      </c>
      <c r="H999" s="110">
        <v>43320.5</v>
      </c>
      <c r="I999" s="111">
        <v>43307</v>
      </c>
      <c r="J999" s="111">
        <v>43320</v>
      </c>
      <c r="K999" s="112" t="s">
        <v>522</v>
      </c>
      <c r="L999" s="112">
        <v>0.5</v>
      </c>
      <c r="M999" s="112" t="s">
        <v>539</v>
      </c>
      <c r="N999" s="112" t="s">
        <v>533</v>
      </c>
      <c r="O999" s="112" t="s">
        <v>669</v>
      </c>
      <c r="P999" s="109" t="s">
        <v>9</v>
      </c>
      <c r="Q999" s="109" t="s">
        <v>44</v>
      </c>
      <c r="R999" s="109" t="s">
        <v>113</v>
      </c>
      <c r="S999" s="109">
        <v>3</v>
      </c>
      <c r="T999" s="109">
        <v>9</v>
      </c>
      <c r="U999" s="139">
        <v>48</v>
      </c>
      <c r="V999" s="140">
        <v>432</v>
      </c>
    </row>
    <row r="1000" spans="1:22" x14ac:dyDescent="0.25">
      <c r="A1000" s="103" t="s">
        <v>810</v>
      </c>
      <c r="B1000" s="104" t="s">
        <v>29</v>
      </c>
      <c r="C1000" s="104" t="s">
        <v>177</v>
      </c>
      <c r="D1000" s="104" t="s">
        <v>86</v>
      </c>
      <c r="E1000" s="104" t="s">
        <v>169</v>
      </c>
      <c r="F1000" s="104">
        <v>2016</v>
      </c>
      <c r="G1000" s="105">
        <v>43308.375</v>
      </c>
      <c r="H1000" s="105">
        <v>43313.75</v>
      </c>
      <c r="I1000" s="106">
        <v>43308</v>
      </c>
      <c r="J1000" s="106">
        <v>43313</v>
      </c>
      <c r="K1000" s="107" t="s">
        <v>525</v>
      </c>
      <c r="L1000" s="107">
        <v>0.75</v>
      </c>
      <c r="M1000" s="107" t="s">
        <v>540</v>
      </c>
      <c r="N1000" s="107" t="s">
        <v>533</v>
      </c>
      <c r="O1000" s="107" t="s">
        <v>669</v>
      </c>
      <c r="P1000" s="104" t="s">
        <v>9</v>
      </c>
      <c r="Q1000" s="104" t="s">
        <v>190</v>
      </c>
      <c r="R1000" s="104" t="s">
        <v>109</v>
      </c>
      <c r="S1000" s="104">
        <v>2</v>
      </c>
      <c r="T1000" s="104">
        <v>12</v>
      </c>
      <c r="U1000" s="137">
        <v>48</v>
      </c>
      <c r="V1000" s="138">
        <v>576</v>
      </c>
    </row>
    <row r="1001" spans="1:22" x14ac:dyDescent="0.25">
      <c r="A1001" s="108" t="s">
        <v>811</v>
      </c>
      <c r="B1001" s="109" t="s">
        <v>11</v>
      </c>
      <c r="C1001" s="109" t="s">
        <v>175</v>
      </c>
      <c r="D1001" s="109" t="s">
        <v>88</v>
      </c>
      <c r="E1001" s="109" t="s">
        <v>170</v>
      </c>
      <c r="F1001" s="109">
        <v>2016</v>
      </c>
      <c r="G1001" s="110">
        <v>43310.791666666664</v>
      </c>
      <c r="H1001" s="110">
        <v>43321.958333333336</v>
      </c>
      <c r="I1001" s="111">
        <v>43310</v>
      </c>
      <c r="J1001" s="111">
        <v>43321</v>
      </c>
      <c r="K1001" s="112" t="s">
        <v>526</v>
      </c>
      <c r="L1001" s="112">
        <v>0.95833333333333337</v>
      </c>
      <c r="M1001" s="112" t="s">
        <v>541</v>
      </c>
      <c r="N1001" s="112" t="s">
        <v>533</v>
      </c>
      <c r="O1001" s="112" t="s">
        <v>669</v>
      </c>
      <c r="P1001" s="109" t="s">
        <v>23</v>
      </c>
      <c r="Q1001" s="109" t="s">
        <v>28</v>
      </c>
      <c r="R1001" s="109" t="s">
        <v>109</v>
      </c>
      <c r="S1001" s="109">
        <v>5</v>
      </c>
      <c r="T1001" s="109">
        <v>9</v>
      </c>
      <c r="U1001" s="139">
        <v>42</v>
      </c>
      <c r="V1001" s="140">
        <v>378</v>
      </c>
    </row>
    <row r="1002" spans="1:22" x14ac:dyDescent="0.25">
      <c r="A1002" s="103" t="s">
        <v>812</v>
      </c>
      <c r="B1002" s="104" t="s">
        <v>14</v>
      </c>
      <c r="C1002" s="104" t="s">
        <v>175</v>
      </c>
      <c r="D1002" s="104" t="s">
        <v>88</v>
      </c>
      <c r="E1002" s="104" t="s">
        <v>170</v>
      </c>
      <c r="F1002" s="104">
        <v>2016</v>
      </c>
      <c r="G1002" s="105">
        <v>43310.791666666664</v>
      </c>
      <c r="H1002" s="105">
        <v>43321.958333333336</v>
      </c>
      <c r="I1002" s="106">
        <v>43310</v>
      </c>
      <c r="J1002" s="106">
        <v>43321</v>
      </c>
      <c r="K1002" s="107" t="s">
        <v>526</v>
      </c>
      <c r="L1002" s="107">
        <v>0.95833333333333337</v>
      </c>
      <c r="M1002" s="107" t="s">
        <v>541</v>
      </c>
      <c r="N1002" s="107" t="s">
        <v>533</v>
      </c>
      <c r="O1002" s="107" t="s">
        <v>669</v>
      </c>
      <c r="P1002" s="104" t="s">
        <v>9</v>
      </c>
      <c r="Q1002" s="104" t="s">
        <v>33</v>
      </c>
      <c r="R1002" s="104" t="s">
        <v>113</v>
      </c>
      <c r="S1002" s="104">
        <v>2</v>
      </c>
      <c r="T1002" s="104">
        <v>12</v>
      </c>
      <c r="U1002" s="137">
        <v>42</v>
      </c>
      <c r="V1002" s="138">
        <v>504</v>
      </c>
    </row>
    <row r="1003" spans="1:22" x14ac:dyDescent="0.25">
      <c r="A1003" s="108" t="s">
        <v>813</v>
      </c>
      <c r="B1003" s="109" t="s">
        <v>7</v>
      </c>
      <c r="C1003" s="109" t="s">
        <v>175</v>
      </c>
      <c r="D1003" s="109" t="s">
        <v>83</v>
      </c>
      <c r="E1003" s="109" t="s">
        <v>174</v>
      </c>
      <c r="F1003" s="109">
        <v>2016</v>
      </c>
      <c r="G1003" s="110">
        <v>43311.791666666664</v>
      </c>
      <c r="H1003" s="110">
        <v>43324.958333333336</v>
      </c>
      <c r="I1003" s="111">
        <v>43311</v>
      </c>
      <c r="J1003" s="111">
        <v>43324</v>
      </c>
      <c r="K1003" s="112" t="s">
        <v>526</v>
      </c>
      <c r="L1003" s="112">
        <v>0.95833333333333337</v>
      </c>
      <c r="M1003" s="112" t="s">
        <v>541</v>
      </c>
      <c r="N1003" s="112" t="s">
        <v>533</v>
      </c>
      <c r="O1003" s="112" t="s">
        <v>669</v>
      </c>
      <c r="P1003" s="109" t="s">
        <v>9</v>
      </c>
      <c r="Q1003" s="109" t="s">
        <v>31</v>
      </c>
      <c r="R1003" s="109" t="s">
        <v>113</v>
      </c>
      <c r="S1003" s="109">
        <v>4</v>
      </c>
      <c r="T1003" s="109">
        <v>9</v>
      </c>
      <c r="U1003" s="139">
        <v>63</v>
      </c>
      <c r="V1003" s="140">
        <v>567</v>
      </c>
    </row>
    <row r="1004" spans="1:22" x14ac:dyDescent="0.25">
      <c r="A1004" s="103" t="s">
        <v>814</v>
      </c>
      <c r="B1004" s="104" t="s">
        <v>39</v>
      </c>
      <c r="C1004" s="104" t="s">
        <v>177</v>
      </c>
      <c r="D1004" s="104" t="s">
        <v>79</v>
      </c>
      <c r="E1004" s="104" t="s">
        <v>168</v>
      </c>
      <c r="F1004" s="104">
        <v>2016</v>
      </c>
      <c r="G1004" s="105">
        <v>43312.583333333336</v>
      </c>
      <c r="H1004" s="105">
        <v>43325.75</v>
      </c>
      <c r="I1004" s="106">
        <v>43312</v>
      </c>
      <c r="J1004" s="106">
        <v>43325</v>
      </c>
      <c r="K1004" s="107" t="s">
        <v>527</v>
      </c>
      <c r="L1004" s="107">
        <v>0.75</v>
      </c>
      <c r="M1004" s="107" t="s">
        <v>542</v>
      </c>
      <c r="N1004" s="107" t="s">
        <v>533</v>
      </c>
      <c r="O1004" s="107" t="s">
        <v>669</v>
      </c>
      <c r="P1004" s="104" t="s">
        <v>23</v>
      </c>
      <c r="Q1004" s="104" t="s">
        <v>190</v>
      </c>
      <c r="R1004" s="104" t="s">
        <v>109</v>
      </c>
      <c r="S1004" s="104">
        <v>2</v>
      </c>
      <c r="T1004" s="104">
        <v>9</v>
      </c>
      <c r="U1004" s="137">
        <v>48</v>
      </c>
      <c r="V1004" s="138">
        <v>432</v>
      </c>
    </row>
    <row r="1005" spans="1:22" x14ac:dyDescent="0.25">
      <c r="A1005" s="108" t="s">
        <v>815</v>
      </c>
      <c r="B1005" s="109" t="s">
        <v>22</v>
      </c>
      <c r="C1005" s="109" t="s">
        <v>176</v>
      </c>
      <c r="D1005" s="109" t="s">
        <v>81</v>
      </c>
      <c r="E1005" s="109" t="s">
        <v>172</v>
      </c>
      <c r="F1005" s="109">
        <v>2016</v>
      </c>
      <c r="G1005" s="110">
        <v>43313.375</v>
      </c>
      <c r="H1005" s="110">
        <v>43319.75</v>
      </c>
      <c r="I1005" s="111">
        <v>43313</v>
      </c>
      <c r="J1005" s="111">
        <v>43319</v>
      </c>
      <c r="K1005" s="112" t="s">
        <v>525</v>
      </c>
      <c r="L1005" s="112">
        <v>0.75</v>
      </c>
      <c r="M1005" s="112" t="s">
        <v>540</v>
      </c>
      <c r="N1005" s="112" t="s">
        <v>534</v>
      </c>
      <c r="O1005" s="112" t="s">
        <v>669</v>
      </c>
      <c r="P1005" s="109" t="s">
        <v>23</v>
      </c>
      <c r="Q1005" s="109" t="s">
        <v>37</v>
      </c>
      <c r="R1005" s="109" t="s">
        <v>113</v>
      </c>
      <c r="S1005" s="109" t="s">
        <v>191</v>
      </c>
      <c r="T1005" s="109">
        <v>9</v>
      </c>
      <c r="U1005" s="139">
        <v>43</v>
      </c>
      <c r="V1005" s="140">
        <v>387</v>
      </c>
    </row>
    <row r="1006" spans="1:22" x14ac:dyDescent="0.25">
      <c r="A1006" s="103" t="s">
        <v>816</v>
      </c>
      <c r="B1006" s="104" t="s">
        <v>29</v>
      </c>
      <c r="C1006" s="104" t="s">
        <v>177</v>
      </c>
      <c r="D1006" s="104" t="s">
        <v>80</v>
      </c>
      <c r="E1006" s="104" t="s">
        <v>173</v>
      </c>
      <c r="F1006" s="104">
        <v>2016</v>
      </c>
      <c r="G1006" s="105">
        <v>43314.333333333336</v>
      </c>
      <c r="H1006" s="105">
        <v>43327.5</v>
      </c>
      <c r="I1006" s="106">
        <v>43314</v>
      </c>
      <c r="J1006" s="106">
        <v>43327</v>
      </c>
      <c r="K1006" s="107" t="s">
        <v>522</v>
      </c>
      <c r="L1006" s="107">
        <v>0.5</v>
      </c>
      <c r="M1006" s="107" t="s">
        <v>539</v>
      </c>
      <c r="N1006" s="107" t="s">
        <v>534</v>
      </c>
      <c r="O1006" s="107" t="s">
        <v>669</v>
      </c>
      <c r="P1006" s="104" t="s">
        <v>23</v>
      </c>
      <c r="Q1006" s="104" t="s">
        <v>22</v>
      </c>
      <c r="R1006" s="104" t="s">
        <v>109</v>
      </c>
      <c r="S1006" s="104">
        <v>2</v>
      </c>
      <c r="T1006" s="104">
        <v>8</v>
      </c>
      <c r="U1006" s="137">
        <v>32</v>
      </c>
      <c r="V1006" s="138">
        <v>256</v>
      </c>
    </row>
    <row r="1007" spans="1:22" x14ac:dyDescent="0.25">
      <c r="A1007" s="108" t="s">
        <v>817</v>
      </c>
      <c r="B1007" s="109" t="s">
        <v>7</v>
      </c>
      <c r="C1007" s="109" t="s">
        <v>175</v>
      </c>
      <c r="D1007" s="109" t="s">
        <v>84</v>
      </c>
      <c r="E1007" s="109" t="s">
        <v>172</v>
      </c>
      <c r="F1007" s="109">
        <v>2016</v>
      </c>
      <c r="G1007" s="110">
        <v>43315.375</v>
      </c>
      <c r="H1007" s="110">
        <v>43320.75</v>
      </c>
      <c r="I1007" s="111">
        <v>43315</v>
      </c>
      <c r="J1007" s="111">
        <v>43320</v>
      </c>
      <c r="K1007" s="112" t="s">
        <v>525</v>
      </c>
      <c r="L1007" s="112">
        <v>0.75</v>
      </c>
      <c r="M1007" s="112" t="s">
        <v>540</v>
      </c>
      <c r="N1007" s="112" t="s">
        <v>534</v>
      </c>
      <c r="O1007" s="112" t="s">
        <v>669</v>
      </c>
      <c r="P1007" s="109" t="s">
        <v>23</v>
      </c>
      <c r="Q1007" s="109" t="s">
        <v>41</v>
      </c>
      <c r="R1007" s="109" t="s">
        <v>113</v>
      </c>
      <c r="S1007" s="109">
        <v>2</v>
      </c>
      <c r="T1007" s="109">
        <v>11</v>
      </c>
      <c r="U1007" s="139">
        <v>52</v>
      </c>
      <c r="V1007" s="140">
        <v>572</v>
      </c>
    </row>
    <row r="1008" spans="1:22" x14ac:dyDescent="0.25">
      <c r="A1008" s="103" t="s">
        <v>818</v>
      </c>
      <c r="B1008" s="104" t="s">
        <v>19</v>
      </c>
      <c r="C1008" s="104" t="s">
        <v>176</v>
      </c>
      <c r="D1008" s="104" t="s">
        <v>80</v>
      </c>
      <c r="E1008" s="104" t="s">
        <v>173</v>
      </c>
      <c r="F1008" s="104">
        <v>2016</v>
      </c>
      <c r="G1008" s="105">
        <v>43317.791666666664</v>
      </c>
      <c r="H1008" s="105">
        <v>43328.958333333336</v>
      </c>
      <c r="I1008" s="106">
        <v>43317</v>
      </c>
      <c r="J1008" s="106">
        <v>43328</v>
      </c>
      <c r="K1008" s="107" t="s">
        <v>526</v>
      </c>
      <c r="L1008" s="107">
        <v>0.95833333333333337</v>
      </c>
      <c r="M1008" s="107" t="s">
        <v>541</v>
      </c>
      <c r="N1008" s="107" t="s">
        <v>534</v>
      </c>
      <c r="O1008" s="107" t="s">
        <v>669</v>
      </c>
      <c r="P1008" s="104" t="s">
        <v>9</v>
      </c>
      <c r="Q1008" s="104" t="s">
        <v>26</v>
      </c>
      <c r="R1008" s="104" t="s">
        <v>113</v>
      </c>
      <c r="S1008" s="104">
        <v>3</v>
      </c>
      <c r="T1008" s="104">
        <v>12</v>
      </c>
      <c r="U1008" s="137">
        <v>32</v>
      </c>
      <c r="V1008" s="138">
        <v>384</v>
      </c>
    </row>
    <row r="1009" spans="1:22" x14ac:dyDescent="0.25">
      <c r="A1009" s="108" t="s">
        <v>819</v>
      </c>
      <c r="B1009" s="109" t="s">
        <v>45</v>
      </c>
      <c r="C1009" s="109" t="s">
        <v>177</v>
      </c>
      <c r="D1009" s="109" t="s">
        <v>77</v>
      </c>
      <c r="E1009" s="109" t="s">
        <v>172</v>
      </c>
      <c r="F1009" s="109">
        <v>2016</v>
      </c>
      <c r="G1009" s="110">
        <v>43317.791666666664</v>
      </c>
      <c r="H1009" s="110">
        <v>43328.958333333336</v>
      </c>
      <c r="I1009" s="111">
        <v>43317</v>
      </c>
      <c r="J1009" s="111">
        <v>43328</v>
      </c>
      <c r="K1009" s="112" t="s">
        <v>526</v>
      </c>
      <c r="L1009" s="112">
        <v>0.95833333333333337</v>
      </c>
      <c r="M1009" s="112" t="s">
        <v>541</v>
      </c>
      <c r="N1009" s="112" t="s">
        <v>534</v>
      </c>
      <c r="O1009" s="112" t="s">
        <v>669</v>
      </c>
      <c r="P1009" s="109" t="s">
        <v>9</v>
      </c>
      <c r="Q1009" s="109" t="s">
        <v>16</v>
      </c>
      <c r="R1009" s="109" t="s">
        <v>109</v>
      </c>
      <c r="S1009" s="109">
        <v>5</v>
      </c>
      <c r="T1009" s="109">
        <v>12</v>
      </c>
      <c r="U1009" s="139">
        <v>35</v>
      </c>
      <c r="V1009" s="140">
        <v>420</v>
      </c>
    </row>
    <row r="1010" spans="1:22" x14ac:dyDescent="0.25">
      <c r="A1010" s="103" t="s">
        <v>820</v>
      </c>
      <c r="B1010" s="104" t="s">
        <v>19</v>
      </c>
      <c r="C1010" s="104" t="s">
        <v>176</v>
      </c>
      <c r="D1010" s="104" t="s">
        <v>80</v>
      </c>
      <c r="E1010" s="104" t="s">
        <v>173</v>
      </c>
      <c r="F1010" s="104">
        <v>2016</v>
      </c>
      <c r="G1010" s="105">
        <v>43318.791666666664</v>
      </c>
      <c r="H1010" s="105">
        <v>43331.958333333336</v>
      </c>
      <c r="I1010" s="106">
        <v>43318</v>
      </c>
      <c r="J1010" s="106">
        <v>43331</v>
      </c>
      <c r="K1010" s="107" t="s">
        <v>526</v>
      </c>
      <c r="L1010" s="107">
        <v>0.95833333333333337</v>
      </c>
      <c r="M1010" s="107" t="s">
        <v>541</v>
      </c>
      <c r="N1010" s="107" t="s">
        <v>534</v>
      </c>
      <c r="O1010" s="107" t="s">
        <v>669</v>
      </c>
      <c r="P1010" s="104" t="s">
        <v>23</v>
      </c>
      <c r="Q1010" s="104" t="s">
        <v>26</v>
      </c>
      <c r="R1010" s="104" t="s">
        <v>113</v>
      </c>
      <c r="S1010" s="104">
        <v>5</v>
      </c>
      <c r="T1010" s="104">
        <v>12</v>
      </c>
      <c r="U1010" s="137">
        <v>32</v>
      </c>
      <c r="V1010" s="138">
        <v>384</v>
      </c>
    </row>
    <row r="1011" spans="1:22" x14ac:dyDescent="0.25">
      <c r="A1011" s="108" t="s">
        <v>821</v>
      </c>
      <c r="B1011" s="109" t="s">
        <v>7</v>
      </c>
      <c r="C1011" s="109" t="s">
        <v>175</v>
      </c>
      <c r="D1011" s="109" t="s">
        <v>89</v>
      </c>
      <c r="E1011" s="109" t="s">
        <v>169</v>
      </c>
      <c r="F1011" s="109">
        <v>2016</v>
      </c>
      <c r="G1011" s="110">
        <v>43319.583333333336</v>
      </c>
      <c r="H1011" s="110">
        <v>43332.75</v>
      </c>
      <c r="I1011" s="111">
        <v>43319</v>
      </c>
      <c r="J1011" s="111">
        <v>43332</v>
      </c>
      <c r="K1011" s="112" t="s">
        <v>527</v>
      </c>
      <c r="L1011" s="112">
        <v>0.75</v>
      </c>
      <c r="M1011" s="112" t="s">
        <v>542</v>
      </c>
      <c r="N1011" s="112" t="s">
        <v>534</v>
      </c>
      <c r="O1011" s="112" t="s">
        <v>669</v>
      </c>
      <c r="P1011" s="109" t="s">
        <v>23</v>
      </c>
      <c r="Q1011" s="109" t="s">
        <v>16</v>
      </c>
      <c r="R1011" s="109" t="s">
        <v>109</v>
      </c>
      <c r="S1011" s="109">
        <v>4</v>
      </c>
      <c r="T1011" s="109">
        <v>8</v>
      </c>
      <c r="U1011" s="139">
        <v>62</v>
      </c>
      <c r="V1011" s="140">
        <v>496</v>
      </c>
    </row>
    <row r="1012" spans="1:22" x14ac:dyDescent="0.25">
      <c r="A1012" s="103" t="s">
        <v>822</v>
      </c>
      <c r="B1012" s="104" t="s">
        <v>17</v>
      </c>
      <c r="C1012" s="104" t="s">
        <v>176</v>
      </c>
      <c r="D1012" s="104" t="s">
        <v>81</v>
      </c>
      <c r="E1012" s="104" t="s">
        <v>172</v>
      </c>
      <c r="F1012" s="104">
        <v>2016</v>
      </c>
      <c r="G1012" s="105">
        <v>43320.375</v>
      </c>
      <c r="H1012" s="105">
        <v>43326.75</v>
      </c>
      <c r="I1012" s="106">
        <v>43320</v>
      </c>
      <c r="J1012" s="106">
        <v>43326</v>
      </c>
      <c r="K1012" s="107" t="s">
        <v>525</v>
      </c>
      <c r="L1012" s="107">
        <v>0.75</v>
      </c>
      <c r="M1012" s="107" t="s">
        <v>540</v>
      </c>
      <c r="N1012" s="107" t="s">
        <v>534</v>
      </c>
      <c r="O1012" s="107" t="s">
        <v>669</v>
      </c>
      <c r="P1012" s="104" t="s">
        <v>23</v>
      </c>
      <c r="Q1012" s="104" t="s">
        <v>33</v>
      </c>
      <c r="R1012" s="104" t="s">
        <v>113</v>
      </c>
      <c r="S1012" s="104">
        <v>2</v>
      </c>
      <c r="T1012" s="104">
        <v>9</v>
      </c>
      <c r="U1012" s="137">
        <v>43</v>
      </c>
      <c r="V1012" s="138">
        <v>387</v>
      </c>
    </row>
    <row r="1013" spans="1:22" x14ac:dyDescent="0.25">
      <c r="A1013" s="108" t="s">
        <v>823</v>
      </c>
      <c r="B1013" s="109" t="s">
        <v>22</v>
      </c>
      <c r="C1013" s="109" t="s">
        <v>176</v>
      </c>
      <c r="D1013" s="109" t="s">
        <v>88</v>
      </c>
      <c r="E1013" s="109" t="s">
        <v>170</v>
      </c>
      <c r="F1013" s="109">
        <v>2016</v>
      </c>
      <c r="G1013" s="110">
        <v>43321.333333333336</v>
      </c>
      <c r="H1013" s="110">
        <v>43334.5</v>
      </c>
      <c r="I1013" s="111">
        <v>43321</v>
      </c>
      <c r="J1013" s="111">
        <v>43334</v>
      </c>
      <c r="K1013" s="112" t="s">
        <v>522</v>
      </c>
      <c r="L1013" s="112">
        <v>0.5</v>
      </c>
      <c r="M1013" s="112" t="s">
        <v>539</v>
      </c>
      <c r="N1013" s="112" t="s">
        <v>534</v>
      </c>
      <c r="O1013" s="112" t="s">
        <v>669</v>
      </c>
      <c r="P1013" s="109" t="s">
        <v>9</v>
      </c>
      <c r="Q1013" s="109" t="s">
        <v>190</v>
      </c>
      <c r="R1013" s="109" t="s">
        <v>109</v>
      </c>
      <c r="S1013" s="109">
        <v>5</v>
      </c>
      <c r="T1013" s="109">
        <v>8</v>
      </c>
      <c r="U1013" s="139">
        <v>42</v>
      </c>
      <c r="V1013" s="140">
        <v>336</v>
      </c>
    </row>
    <row r="1014" spans="1:22" x14ac:dyDescent="0.25">
      <c r="A1014" s="103" t="s">
        <v>824</v>
      </c>
      <c r="B1014" s="104" t="s">
        <v>29</v>
      </c>
      <c r="C1014" s="104" t="s">
        <v>177</v>
      </c>
      <c r="D1014" s="104" t="s">
        <v>85</v>
      </c>
      <c r="E1014" s="104" t="s">
        <v>170</v>
      </c>
      <c r="F1014" s="104">
        <v>2016</v>
      </c>
      <c r="G1014" s="105">
        <v>43322.375</v>
      </c>
      <c r="H1014" s="105">
        <v>43327.75</v>
      </c>
      <c r="I1014" s="106">
        <v>43322</v>
      </c>
      <c r="J1014" s="106">
        <v>43327</v>
      </c>
      <c r="K1014" s="107" t="s">
        <v>525</v>
      </c>
      <c r="L1014" s="107">
        <v>0.75</v>
      </c>
      <c r="M1014" s="107" t="s">
        <v>540</v>
      </c>
      <c r="N1014" s="107" t="s">
        <v>534</v>
      </c>
      <c r="O1014" s="107" t="s">
        <v>669</v>
      </c>
      <c r="P1014" s="104" t="s">
        <v>9</v>
      </c>
      <c r="Q1014" s="104" t="s">
        <v>33</v>
      </c>
      <c r="R1014" s="104" t="s">
        <v>113</v>
      </c>
      <c r="S1014" s="104">
        <v>3</v>
      </c>
      <c r="T1014" s="104">
        <v>9</v>
      </c>
      <c r="U1014" s="137">
        <v>48</v>
      </c>
      <c r="V1014" s="138">
        <v>432</v>
      </c>
    </row>
    <row r="1015" spans="1:22" x14ac:dyDescent="0.25">
      <c r="A1015" s="108" t="s">
        <v>825</v>
      </c>
      <c r="B1015" s="109" t="s">
        <v>11</v>
      </c>
      <c r="C1015" s="109" t="s">
        <v>175</v>
      </c>
      <c r="D1015" s="109" t="s">
        <v>88</v>
      </c>
      <c r="E1015" s="109" t="s">
        <v>170</v>
      </c>
      <c r="F1015" s="109">
        <v>2016</v>
      </c>
      <c r="G1015" s="110">
        <v>43324.791666666664</v>
      </c>
      <c r="H1015" s="110">
        <v>43335.958333333336</v>
      </c>
      <c r="I1015" s="111">
        <v>43324</v>
      </c>
      <c r="J1015" s="111">
        <v>43335</v>
      </c>
      <c r="K1015" s="112" t="s">
        <v>526</v>
      </c>
      <c r="L1015" s="112">
        <v>0.95833333333333337</v>
      </c>
      <c r="M1015" s="112" t="s">
        <v>541</v>
      </c>
      <c r="N1015" s="112" t="s">
        <v>534</v>
      </c>
      <c r="O1015" s="112" t="s">
        <v>669</v>
      </c>
      <c r="P1015" s="109" t="s">
        <v>9</v>
      </c>
      <c r="Q1015" s="109" t="s">
        <v>16</v>
      </c>
      <c r="R1015" s="109" t="s">
        <v>109</v>
      </c>
      <c r="S1015" s="109">
        <v>2</v>
      </c>
      <c r="T1015" s="109">
        <v>11</v>
      </c>
      <c r="U1015" s="139">
        <v>42</v>
      </c>
      <c r="V1015" s="140">
        <v>462</v>
      </c>
    </row>
    <row r="1016" spans="1:22" x14ac:dyDescent="0.25">
      <c r="A1016" s="103" t="s">
        <v>826</v>
      </c>
      <c r="B1016" s="104" t="s">
        <v>29</v>
      </c>
      <c r="C1016" s="104" t="s">
        <v>177</v>
      </c>
      <c r="D1016" s="104" t="s">
        <v>77</v>
      </c>
      <c r="E1016" s="104" t="s">
        <v>172</v>
      </c>
      <c r="F1016" s="104">
        <v>2016</v>
      </c>
      <c r="G1016" s="105">
        <v>43324.791666666664</v>
      </c>
      <c r="H1016" s="105">
        <v>43335.958333333336</v>
      </c>
      <c r="I1016" s="106">
        <v>43324</v>
      </c>
      <c r="J1016" s="106">
        <v>43335</v>
      </c>
      <c r="K1016" s="107" t="s">
        <v>526</v>
      </c>
      <c r="L1016" s="107">
        <v>0.95833333333333337</v>
      </c>
      <c r="M1016" s="107" t="s">
        <v>541</v>
      </c>
      <c r="N1016" s="107" t="s">
        <v>534</v>
      </c>
      <c r="O1016" s="107" t="s">
        <v>669</v>
      </c>
      <c r="P1016" s="104" t="s">
        <v>9</v>
      </c>
      <c r="Q1016" s="104" t="s">
        <v>28</v>
      </c>
      <c r="R1016" s="104" t="s">
        <v>109</v>
      </c>
      <c r="S1016" s="104">
        <v>2</v>
      </c>
      <c r="T1016" s="104">
        <v>11</v>
      </c>
      <c r="U1016" s="137">
        <v>35</v>
      </c>
      <c r="V1016" s="138">
        <v>385</v>
      </c>
    </row>
    <row r="1017" spans="1:22" x14ac:dyDescent="0.25">
      <c r="A1017" s="108" t="s">
        <v>827</v>
      </c>
      <c r="B1017" s="109" t="s">
        <v>39</v>
      </c>
      <c r="C1017" s="109" t="s">
        <v>177</v>
      </c>
      <c r="D1017" s="109" t="s">
        <v>76</v>
      </c>
      <c r="E1017" s="109" t="s">
        <v>174</v>
      </c>
      <c r="F1017" s="109">
        <v>2016</v>
      </c>
      <c r="G1017" s="110">
        <v>43325.791666666664</v>
      </c>
      <c r="H1017" s="110">
        <v>43338.958333333336</v>
      </c>
      <c r="I1017" s="111">
        <v>43325</v>
      </c>
      <c r="J1017" s="111">
        <v>43338</v>
      </c>
      <c r="K1017" s="112" t="s">
        <v>526</v>
      </c>
      <c r="L1017" s="112">
        <v>0.95833333333333337</v>
      </c>
      <c r="M1017" s="112" t="s">
        <v>541</v>
      </c>
      <c r="N1017" s="112" t="s">
        <v>534</v>
      </c>
      <c r="O1017" s="112" t="s">
        <v>669</v>
      </c>
      <c r="P1017" s="109" t="s">
        <v>9</v>
      </c>
      <c r="Q1017" s="109" t="s">
        <v>31</v>
      </c>
      <c r="R1017" s="109" t="s">
        <v>113</v>
      </c>
      <c r="S1017" s="109">
        <v>3</v>
      </c>
      <c r="T1017" s="109">
        <v>8</v>
      </c>
      <c r="U1017" s="139">
        <v>53</v>
      </c>
      <c r="V1017" s="140">
        <v>424</v>
      </c>
    </row>
    <row r="1018" spans="1:22" x14ac:dyDescent="0.25">
      <c r="A1018" s="103" t="s">
        <v>828</v>
      </c>
      <c r="B1018" s="104" t="s">
        <v>17</v>
      </c>
      <c r="C1018" s="104" t="s">
        <v>176</v>
      </c>
      <c r="D1018" s="104" t="s">
        <v>79</v>
      </c>
      <c r="E1018" s="104" t="s">
        <v>168</v>
      </c>
      <c r="F1018" s="104">
        <v>2016</v>
      </c>
      <c r="G1018" s="105">
        <v>43326.583333333336</v>
      </c>
      <c r="H1018" s="105">
        <v>43339.75</v>
      </c>
      <c r="I1018" s="106">
        <v>43326</v>
      </c>
      <c r="J1018" s="106">
        <v>43339</v>
      </c>
      <c r="K1018" s="107" t="s">
        <v>527</v>
      </c>
      <c r="L1018" s="107">
        <v>0.75</v>
      </c>
      <c r="M1018" s="107" t="s">
        <v>542</v>
      </c>
      <c r="N1018" s="107" t="s">
        <v>534</v>
      </c>
      <c r="O1018" s="107" t="s">
        <v>669</v>
      </c>
      <c r="P1018" s="104" t="s">
        <v>23</v>
      </c>
      <c r="Q1018" s="104" t="s">
        <v>21</v>
      </c>
      <c r="R1018" s="104" t="s">
        <v>113</v>
      </c>
      <c r="S1018" s="104">
        <v>3</v>
      </c>
      <c r="T1018" s="104">
        <v>9</v>
      </c>
      <c r="U1018" s="137">
        <v>48</v>
      </c>
      <c r="V1018" s="138">
        <v>432</v>
      </c>
    </row>
    <row r="1019" spans="1:22" x14ac:dyDescent="0.25">
      <c r="A1019" s="108" t="s">
        <v>829</v>
      </c>
      <c r="B1019" s="109" t="s">
        <v>17</v>
      </c>
      <c r="C1019" s="109" t="s">
        <v>176</v>
      </c>
      <c r="D1019" s="109" t="s">
        <v>78</v>
      </c>
      <c r="E1019" s="109" t="s">
        <v>172</v>
      </c>
      <c r="F1019" s="109">
        <v>2016</v>
      </c>
      <c r="G1019" s="110">
        <v>43327.375</v>
      </c>
      <c r="H1019" s="110">
        <v>43333.75</v>
      </c>
      <c r="I1019" s="111">
        <v>43327</v>
      </c>
      <c r="J1019" s="111">
        <v>43333</v>
      </c>
      <c r="K1019" s="112" t="s">
        <v>525</v>
      </c>
      <c r="L1019" s="112">
        <v>0.75</v>
      </c>
      <c r="M1019" s="112" t="s">
        <v>540</v>
      </c>
      <c r="N1019" s="112" t="s">
        <v>534</v>
      </c>
      <c r="O1019" s="112" t="s">
        <v>669</v>
      </c>
      <c r="P1019" s="109" t="s">
        <v>9</v>
      </c>
      <c r="Q1019" s="109" t="s">
        <v>35</v>
      </c>
      <c r="R1019" s="109" t="s">
        <v>109</v>
      </c>
      <c r="S1019" s="109">
        <v>2</v>
      </c>
      <c r="T1019" s="109">
        <v>10</v>
      </c>
      <c r="U1019" s="139">
        <v>62</v>
      </c>
      <c r="V1019" s="140">
        <v>620</v>
      </c>
    </row>
    <row r="1020" spans="1:22" x14ac:dyDescent="0.25">
      <c r="A1020" s="103" t="s">
        <v>830</v>
      </c>
      <c r="B1020" s="104" t="s">
        <v>14</v>
      </c>
      <c r="C1020" s="104" t="s">
        <v>175</v>
      </c>
      <c r="D1020" s="104" t="s">
        <v>80</v>
      </c>
      <c r="E1020" s="104" t="s">
        <v>173</v>
      </c>
      <c r="F1020" s="104">
        <v>2016</v>
      </c>
      <c r="G1020" s="105">
        <v>43328.333333333336</v>
      </c>
      <c r="H1020" s="105">
        <v>43341.5</v>
      </c>
      <c r="I1020" s="106">
        <v>43328</v>
      </c>
      <c r="J1020" s="106">
        <v>43341</v>
      </c>
      <c r="K1020" s="107" t="s">
        <v>522</v>
      </c>
      <c r="L1020" s="107">
        <v>0.5</v>
      </c>
      <c r="M1020" s="107" t="s">
        <v>539</v>
      </c>
      <c r="N1020" s="107" t="s">
        <v>534</v>
      </c>
      <c r="O1020" s="107" t="s">
        <v>669</v>
      </c>
      <c r="P1020" s="104" t="s">
        <v>23</v>
      </c>
      <c r="Q1020" s="104" t="s">
        <v>35</v>
      </c>
      <c r="R1020" s="104" t="s">
        <v>109</v>
      </c>
      <c r="S1020" s="104">
        <v>5</v>
      </c>
      <c r="T1020" s="104">
        <v>10</v>
      </c>
      <c r="U1020" s="137">
        <v>32</v>
      </c>
      <c r="V1020" s="138">
        <v>320</v>
      </c>
    </row>
    <row r="1021" spans="1:22" x14ac:dyDescent="0.25">
      <c r="A1021" s="108" t="s">
        <v>831</v>
      </c>
      <c r="B1021" s="109" t="s">
        <v>19</v>
      </c>
      <c r="C1021" s="109" t="s">
        <v>176</v>
      </c>
      <c r="D1021" s="109" t="s">
        <v>83</v>
      </c>
      <c r="E1021" s="109" t="s">
        <v>174</v>
      </c>
      <c r="F1021" s="109">
        <v>2016</v>
      </c>
      <c r="G1021" s="110">
        <v>43329.375</v>
      </c>
      <c r="H1021" s="110">
        <v>43334.75</v>
      </c>
      <c r="I1021" s="111">
        <v>43329</v>
      </c>
      <c r="J1021" s="111">
        <v>43334</v>
      </c>
      <c r="K1021" s="112" t="s">
        <v>525</v>
      </c>
      <c r="L1021" s="112">
        <v>0.75</v>
      </c>
      <c r="M1021" s="112" t="s">
        <v>540</v>
      </c>
      <c r="N1021" s="112" t="s">
        <v>534</v>
      </c>
      <c r="O1021" s="112" t="s">
        <v>669</v>
      </c>
      <c r="P1021" s="109" t="s">
        <v>9</v>
      </c>
      <c r="Q1021" s="109" t="s">
        <v>38</v>
      </c>
      <c r="R1021" s="109" t="s">
        <v>113</v>
      </c>
      <c r="S1021" s="109">
        <v>3</v>
      </c>
      <c r="T1021" s="109">
        <v>8</v>
      </c>
      <c r="U1021" s="139">
        <v>63</v>
      </c>
      <c r="V1021" s="140">
        <v>504</v>
      </c>
    </row>
    <row r="1022" spans="1:22" x14ac:dyDescent="0.25">
      <c r="A1022" s="103" t="s">
        <v>832</v>
      </c>
      <c r="B1022" s="104" t="s">
        <v>14</v>
      </c>
      <c r="C1022" s="104" t="s">
        <v>175</v>
      </c>
      <c r="D1022" s="104" t="s">
        <v>81</v>
      </c>
      <c r="E1022" s="104" t="s">
        <v>172</v>
      </c>
      <c r="F1022" s="104">
        <v>2016</v>
      </c>
      <c r="G1022" s="105">
        <v>43331.791666666664</v>
      </c>
      <c r="H1022" s="105">
        <v>43342.958333333336</v>
      </c>
      <c r="I1022" s="106">
        <v>43331</v>
      </c>
      <c r="J1022" s="106">
        <v>43342</v>
      </c>
      <c r="K1022" s="107" t="s">
        <v>526</v>
      </c>
      <c r="L1022" s="107">
        <v>0.95833333333333337</v>
      </c>
      <c r="M1022" s="107" t="s">
        <v>541</v>
      </c>
      <c r="N1022" s="107" t="s">
        <v>534</v>
      </c>
      <c r="O1022" s="107" t="s">
        <v>669</v>
      </c>
      <c r="P1022" s="104" t="s">
        <v>23</v>
      </c>
      <c r="Q1022" s="104" t="s">
        <v>190</v>
      </c>
      <c r="R1022" s="104" t="s">
        <v>109</v>
      </c>
      <c r="S1022" s="104">
        <v>2</v>
      </c>
      <c r="T1022" s="104">
        <v>8</v>
      </c>
      <c r="U1022" s="137">
        <v>43</v>
      </c>
      <c r="V1022" s="138">
        <v>344</v>
      </c>
    </row>
    <row r="1023" spans="1:22" x14ac:dyDescent="0.25">
      <c r="A1023" s="108" t="s">
        <v>833</v>
      </c>
      <c r="B1023" s="109" t="s">
        <v>19</v>
      </c>
      <c r="C1023" s="109" t="s">
        <v>176</v>
      </c>
      <c r="D1023" s="109" t="s">
        <v>79</v>
      </c>
      <c r="E1023" s="109" t="s">
        <v>168</v>
      </c>
      <c r="F1023" s="109">
        <v>2016</v>
      </c>
      <c r="G1023" s="110">
        <v>43331.791666666664</v>
      </c>
      <c r="H1023" s="110">
        <v>43342.958333333336</v>
      </c>
      <c r="I1023" s="111">
        <v>43331</v>
      </c>
      <c r="J1023" s="111">
        <v>43342</v>
      </c>
      <c r="K1023" s="112" t="s">
        <v>526</v>
      </c>
      <c r="L1023" s="112">
        <v>0.95833333333333337</v>
      </c>
      <c r="M1023" s="112" t="s">
        <v>541</v>
      </c>
      <c r="N1023" s="112" t="s">
        <v>534</v>
      </c>
      <c r="O1023" s="112" t="s">
        <v>669</v>
      </c>
      <c r="P1023" s="109" t="s">
        <v>23</v>
      </c>
      <c r="Q1023" s="109" t="s">
        <v>22</v>
      </c>
      <c r="R1023" s="109" t="s">
        <v>109</v>
      </c>
      <c r="S1023" s="109">
        <v>3</v>
      </c>
      <c r="T1023" s="109">
        <v>10</v>
      </c>
      <c r="U1023" s="139">
        <v>48</v>
      </c>
      <c r="V1023" s="140">
        <v>480</v>
      </c>
    </row>
    <row r="1024" spans="1:22" x14ac:dyDescent="0.25">
      <c r="A1024" s="103" t="s">
        <v>834</v>
      </c>
      <c r="B1024" s="104" t="s">
        <v>29</v>
      </c>
      <c r="C1024" s="104" t="s">
        <v>177</v>
      </c>
      <c r="D1024" s="104" t="s">
        <v>89</v>
      </c>
      <c r="E1024" s="104" t="s">
        <v>169</v>
      </c>
      <c r="F1024" s="104">
        <v>2016</v>
      </c>
      <c r="G1024" s="105">
        <v>43332.791666666664</v>
      </c>
      <c r="H1024" s="105">
        <v>43345.958333333336</v>
      </c>
      <c r="I1024" s="106">
        <v>43332</v>
      </c>
      <c r="J1024" s="106">
        <v>43345</v>
      </c>
      <c r="K1024" s="107" t="s">
        <v>526</v>
      </c>
      <c r="L1024" s="107">
        <v>0.95833333333333337</v>
      </c>
      <c r="M1024" s="107" t="s">
        <v>541</v>
      </c>
      <c r="N1024" s="107" t="s">
        <v>534</v>
      </c>
      <c r="O1024" s="107" t="s">
        <v>669</v>
      </c>
      <c r="P1024" s="104" t="s">
        <v>23</v>
      </c>
      <c r="Q1024" s="104" t="s">
        <v>18</v>
      </c>
      <c r="R1024" s="104" t="s">
        <v>113</v>
      </c>
      <c r="S1024" s="104">
        <v>4</v>
      </c>
      <c r="T1024" s="104">
        <v>9</v>
      </c>
      <c r="U1024" s="137">
        <v>62</v>
      </c>
      <c r="V1024" s="138">
        <v>558</v>
      </c>
    </row>
    <row r="1025" spans="1:22" x14ac:dyDescent="0.25">
      <c r="A1025" s="108" t="s">
        <v>835</v>
      </c>
      <c r="B1025" s="109" t="s">
        <v>22</v>
      </c>
      <c r="C1025" s="109" t="s">
        <v>176</v>
      </c>
      <c r="D1025" s="109" t="s">
        <v>84</v>
      </c>
      <c r="E1025" s="109" t="s">
        <v>172</v>
      </c>
      <c r="F1025" s="109">
        <v>2016</v>
      </c>
      <c r="G1025" s="110">
        <v>43333.583333333336</v>
      </c>
      <c r="H1025" s="110">
        <v>43346.75</v>
      </c>
      <c r="I1025" s="111">
        <v>43333</v>
      </c>
      <c r="J1025" s="111">
        <v>43346</v>
      </c>
      <c r="K1025" s="112" t="s">
        <v>527</v>
      </c>
      <c r="L1025" s="112">
        <v>0.75</v>
      </c>
      <c r="M1025" s="112" t="s">
        <v>542</v>
      </c>
      <c r="N1025" s="112" t="s">
        <v>534</v>
      </c>
      <c r="O1025" s="112" t="s">
        <v>669</v>
      </c>
      <c r="P1025" s="109" t="s">
        <v>23</v>
      </c>
      <c r="Q1025" s="109" t="s">
        <v>12</v>
      </c>
      <c r="R1025" s="109" t="s">
        <v>113</v>
      </c>
      <c r="S1025" s="109">
        <v>5</v>
      </c>
      <c r="T1025" s="109">
        <v>11</v>
      </c>
      <c r="U1025" s="139">
        <v>52</v>
      </c>
      <c r="V1025" s="140">
        <v>572</v>
      </c>
    </row>
    <row r="1026" spans="1:22" x14ac:dyDescent="0.25">
      <c r="A1026" s="103" t="s">
        <v>836</v>
      </c>
      <c r="B1026" s="104" t="s">
        <v>14</v>
      </c>
      <c r="C1026" s="104" t="s">
        <v>175</v>
      </c>
      <c r="D1026" s="104" t="s">
        <v>79</v>
      </c>
      <c r="E1026" s="104" t="s">
        <v>168</v>
      </c>
      <c r="F1026" s="104">
        <v>2016</v>
      </c>
      <c r="G1026" s="105">
        <v>43334.375</v>
      </c>
      <c r="H1026" s="105">
        <v>43340.75</v>
      </c>
      <c r="I1026" s="106">
        <v>43334</v>
      </c>
      <c r="J1026" s="106">
        <v>43340</v>
      </c>
      <c r="K1026" s="107" t="s">
        <v>525</v>
      </c>
      <c r="L1026" s="107">
        <v>0.75</v>
      </c>
      <c r="M1026" s="107" t="s">
        <v>540</v>
      </c>
      <c r="N1026" s="107" t="s">
        <v>534</v>
      </c>
      <c r="O1026" s="107" t="s">
        <v>669</v>
      </c>
      <c r="P1026" s="104" t="s">
        <v>23</v>
      </c>
      <c r="Q1026" s="104" t="s">
        <v>37</v>
      </c>
      <c r="R1026" s="104" t="s">
        <v>113</v>
      </c>
      <c r="S1026" s="104">
        <v>2</v>
      </c>
      <c r="T1026" s="104">
        <v>8</v>
      </c>
      <c r="U1026" s="137">
        <v>48</v>
      </c>
      <c r="V1026" s="138">
        <v>384</v>
      </c>
    </row>
    <row r="1027" spans="1:22" x14ac:dyDescent="0.25">
      <c r="A1027" s="108" t="s">
        <v>837</v>
      </c>
      <c r="B1027" s="109" t="s">
        <v>14</v>
      </c>
      <c r="C1027" s="109" t="s">
        <v>175</v>
      </c>
      <c r="D1027" s="109" t="s">
        <v>80</v>
      </c>
      <c r="E1027" s="109" t="s">
        <v>173</v>
      </c>
      <c r="F1027" s="109">
        <v>2016</v>
      </c>
      <c r="G1027" s="110">
        <v>43335.333333333336</v>
      </c>
      <c r="H1027" s="110">
        <v>43348.5</v>
      </c>
      <c r="I1027" s="111">
        <v>43335</v>
      </c>
      <c r="J1027" s="111">
        <v>43348</v>
      </c>
      <c r="K1027" s="112" t="s">
        <v>522</v>
      </c>
      <c r="L1027" s="112">
        <v>0.5</v>
      </c>
      <c r="M1027" s="112" t="s">
        <v>539</v>
      </c>
      <c r="N1027" s="112" t="s">
        <v>534</v>
      </c>
      <c r="O1027" s="112" t="s">
        <v>669</v>
      </c>
      <c r="P1027" s="109" t="s">
        <v>9</v>
      </c>
      <c r="Q1027" s="109" t="s">
        <v>18</v>
      </c>
      <c r="R1027" s="109" t="s">
        <v>113</v>
      </c>
      <c r="S1027" s="109">
        <v>5</v>
      </c>
      <c r="T1027" s="109">
        <v>9</v>
      </c>
      <c r="U1027" s="139">
        <v>32</v>
      </c>
      <c r="V1027" s="140">
        <v>288</v>
      </c>
    </row>
    <row r="1028" spans="1:22" x14ac:dyDescent="0.25">
      <c r="A1028" s="103" t="s">
        <v>838</v>
      </c>
      <c r="B1028" s="104" t="s">
        <v>14</v>
      </c>
      <c r="C1028" s="104" t="s">
        <v>175</v>
      </c>
      <c r="D1028" s="104" t="s">
        <v>85</v>
      </c>
      <c r="E1028" s="104" t="s">
        <v>170</v>
      </c>
      <c r="F1028" s="104">
        <v>2016</v>
      </c>
      <c r="G1028" s="105">
        <v>43336.375</v>
      </c>
      <c r="H1028" s="105">
        <v>43341.75</v>
      </c>
      <c r="I1028" s="106">
        <v>43336</v>
      </c>
      <c r="J1028" s="106">
        <v>43341</v>
      </c>
      <c r="K1028" s="107" t="s">
        <v>525</v>
      </c>
      <c r="L1028" s="107">
        <v>0.75</v>
      </c>
      <c r="M1028" s="107" t="s">
        <v>540</v>
      </c>
      <c r="N1028" s="107" t="s">
        <v>534</v>
      </c>
      <c r="O1028" s="107" t="s">
        <v>669</v>
      </c>
      <c r="P1028" s="104" t="s">
        <v>23</v>
      </c>
      <c r="Q1028" s="104" t="s">
        <v>38</v>
      </c>
      <c r="R1028" s="104" t="s">
        <v>113</v>
      </c>
      <c r="S1028" s="104">
        <v>5</v>
      </c>
      <c r="T1028" s="104">
        <v>9</v>
      </c>
      <c r="U1028" s="137">
        <v>48</v>
      </c>
      <c r="V1028" s="138">
        <v>432</v>
      </c>
    </row>
    <row r="1029" spans="1:22" x14ac:dyDescent="0.25">
      <c r="A1029" s="108" t="s">
        <v>839</v>
      </c>
      <c r="B1029" s="109" t="s">
        <v>17</v>
      </c>
      <c r="C1029" s="109" t="s">
        <v>176</v>
      </c>
      <c r="D1029" s="109" t="s">
        <v>84</v>
      </c>
      <c r="E1029" s="109" t="s">
        <v>172</v>
      </c>
      <c r="F1029" s="109">
        <v>2016</v>
      </c>
      <c r="G1029" s="110">
        <v>43338.791666666664</v>
      </c>
      <c r="H1029" s="110">
        <v>43349.958333333336</v>
      </c>
      <c r="I1029" s="111">
        <v>43338</v>
      </c>
      <c r="J1029" s="111">
        <v>43349</v>
      </c>
      <c r="K1029" s="112" t="s">
        <v>526</v>
      </c>
      <c r="L1029" s="112">
        <v>0.95833333333333337</v>
      </c>
      <c r="M1029" s="112" t="s">
        <v>541</v>
      </c>
      <c r="N1029" s="112" t="s">
        <v>534</v>
      </c>
      <c r="O1029" s="112" t="s">
        <v>669</v>
      </c>
      <c r="P1029" s="109" t="s">
        <v>23</v>
      </c>
      <c r="Q1029" s="109" t="s">
        <v>18</v>
      </c>
      <c r="R1029" s="109" t="s">
        <v>113</v>
      </c>
      <c r="S1029" s="109">
        <v>5</v>
      </c>
      <c r="T1029" s="109">
        <v>11</v>
      </c>
      <c r="U1029" s="139">
        <v>52</v>
      </c>
      <c r="V1029" s="140">
        <v>572</v>
      </c>
    </row>
    <row r="1030" spans="1:22" x14ac:dyDescent="0.25">
      <c r="A1030" s="103" t="s">
        <v>840</v>
      </c>
      <c r="B1030" s="104" t="s">
        <v>17</v>
      </c>
      <c r="C1030" s="104" t="s">
        <v>176</v>
      </c>
      <c r="D1030" s="104" t="s">
        <v>88</v>
      </c>
      <c r="E1030" s="104" t="s">
        <v>170</v>
      </c>
      <c r="F1030" s="104">
        <v>2016</v>
      </c>
      <c r="G1030" s="105">
        <v>43338.791666666664</v>
      </c>
      <c r="H1030" s="105">
        <v>43349.958333333336</v>
      </c>
      <c r="I1030" s="106">
        <v>43338</v>
      </c>
      <c r="J1030" s="106">
        <v>43349</v>
      </c>
      <c r="K1030" s="107" t="s">
        <v>526</v>
      </c>
      <c r="L1030" s="107">
        <v>0.95833333333333337</v>
      </c>
      <c r="M1030" s="107" t="s">
        <v>541</v>
      </c>
      <c r="N1030" s="107" t="s">
        <v>534</v>
      </c>
      <c r="O1030" s="107" t="s">
        <v>669</v>
      </c>
      <c r="P1030" s="104" t="s">
        <v>23</v>
      </c>
      <c r="Q1030" s="104" t="s">
        <v>190</v>
      </c>
      <c r="R1030" s="104" t="s">
        <v>109</v>
      </c>
      <c r="S1030" s="104">
        <v>4</v>
      </c>
      <c r="T1030" s="104">
        <v>12</v>
      </c>
      <c r="U1030" s="137">
        <v>42</v>
      </c>
      <c r="V1030" s="138">
        <v>504</v>
      </c>
    </row>
    <row r="1031" spans="1:22" x14ac:dyDescent="0.25">
      <c r="A1031" s="108" t="s">
        <v>841</v>
      </c>
      <c r="B1031" s="109" t="s">
        <v>14</v>
      </c>
      <c r="C1031" s="109" t="s">
        <v>175</v>
      </c>
      <c r="D1031" s="109" t="s">
        <v>78</v>
      </c>
      <c r="E1031" s="109" t="s">
        <v>172</v>
      </c>
      <c r="F1031" s="109">
        <v>2016</v>
      </c>
      <c r="G1031" s="110">
        <v>43339.791666666664</v>
      </c>
      <c r="H1031" s="110">
        <v>43352.958333333336</v>
      </c>
      <c r="I1031" s="111">
        <v>43339</v>
      </c>
      <c r="J1031" s="111">
        <v>43352</v>
      </c>
      <c r="K1031" s="112" t="s">
        <v>526</v>
      </c>
      <c r="L1031" s="112">
        <v>0.95833333333333337</v>
      </c>
      <c r="M1031" s="112" t="s">
        <v>541</v>
      </c>
      <c r="N1031" s="112" t="s">
        <v>534</v>
      </c>
      <c r="O1031" s="112" t="s">
        <v>669</v>
      </c>
      <c r="P1031" s="109" t="s">
        <v>9</v>
      </c>
      <c r="Q1031" s="109" t="s">
        <v>16</v>
      </c>
      <c r="R1031" s="109" t="s">
        <v>109</v>
      </c>
      <c r="S1031" s="109">
        <v>4</v>
      </c>
      <c r="T1031" s="109">
        <v>10</v>
      </c>
      <c r="U1031" s="139">
        <v>62</v>
      </c>
      <c r="V1031" s="140">
        <v>620</v>
      </c>
    </row>
    <row r="1032" spans="1:22" x14ac:dyDescent="0.25">
      <c r="A1032" s="103" t="s">
        <v>842</v>
      </c>
      <c r="B1032" s="104" t="s">
        <v>22</v>
      </c>
      <c r="C1032" s="104" t="s">
        <v>176</v>
      </c>
      <c r="D1032" s="104" t="s">
        <v>81</v>
      </c>
      <c r="E1032" s="104" t="s">
        <v>172</v>
      </c>
      <c r="F1032" s="104">
        <v>2016</v>
      </c>
      <c r="G1032" s="105">
        <v>43340.583333333336</v>
      </c>
      <c r="H1032" s="105">
        <v>43353.75</v>
      </c>
      <c r="I1032" s="106">
        <v>43340</v>
      </c>
      <c r="J1032" s="106">
        <v>43353</v>
      </c>
      <c r="K1032" s="107" t="s">
        <v>527</v>
      </c>
      <c r="L1032" s="107">
        <v>0.75</v>
      </c>
      <c r="M1032" s="107" t="s">
        <v>542</v>
      </c>
      <c r="N1032" s="107" t="s">
        <v>534</v>
      </c>
      <c r="O1032" s="107" t="s">
        <v>669</v>
      </c>
      <c r="P1032" s="104" t="s">
        <v>9</v>
      </c>
      <c r="Q1032" s="104" t="s">
        <v>16</v>
      </c>
      <c r="R1032" s="104" t="s">
        <v>109</v>
      </c>
      <c r="S1032" s="104">
        <v>5</v>
      </c>
      <c r="T1032" s="104">
        <v>10</v>
      </c>
      <c r="U1032" s="137">
        <v>43</v>
      </c>
      <c r="V1032" s="138">
        <v>430</v>
      </c>
    </row>
    <row r="1033" spans="1:22" x14ac:dyDescent="0.25">
      <c r="A1033" s="108" t="s">
        <v>843</v>
      </c>
      <c r="B1033" s="109" t="s">
        <v>19</v>
      </c>
      <c r="C1033" s="109" t="s">
        <v>176</v>
      </c>
      <c r="D1033" s="109" t="s">
        <v>79</v>
      </c>
      <c r="E1033" s="109" t="s">
        <v>168</v>
      </c>
      <c r="F1033" s="109">
        <v>2016</v>
      </c>
      <c r="G1033" s="110">
        <v>43341.375</v>
      </c>
      <c r="H1033" s="110">
        <v>43347.75</v>
      </c>
      <c r="I1033" s="111">
        <v>43341</v>
      </c>
      <c r="J1033" s="111">
        <v>43347</v>
      </c>
      <c r="K1033" s="112" t="s">
        <v>525</v>
      </c>
      <c r="L1033" s="112">
        <v>0.75</v>
      </c>
      <c r="M1033" s="112" t="s">
        <v>540</v>
      </c>
      <c r="N1033" s="112" t="s">
        <v>534</v>
      </c>
      <c r="O1033" s="112" t="s">
        <v>669</v>
      </c>
      <c r="P1033" s="109" t="s">
        <v>9</v>
      </c>
      <c r="Q1033" s="109" t="s">
        <v>38</v>
      </c>
      <c r="R1033" s="109" t="s">
        <v>113</v>
      </c>
      <c r="S1033" s="109">
        <v>4</v>
      </c>
      <c r="T1033" s="109">
        <v>12</v>
      </c>
      <c r="U1033" s="139">
        <v>48</v>
      </c>
      <c r="V1033" s="140">
        <v>576</v>
      </c>
    </row>
    <row r="1034" spans="1:22" x14ac:dyDescent="0.25">
      <c r="A1034" s="103" t="s">
        <v>844</v>
      </c>
      <c r="B1034" s="104" t="s">
        <v>22</v>
      </c>
      <c r="C1034" s="104" t="s">
        <v>176</v>
      </c>
      <c r="D1034" s="104" t="s">
        <v>80</v>
      </c>
      <c r="E1034" s="104" t="s">
        <v>173</v>
      </c>
      <c r="F1034" s="104">
        <v>2016</v>
      </c>
      <c r="G1034" s="105">
        <v>43342.333333333336</v>
      </c>
      <c r="H1034" s="105">
        <v>43355.5</v>
      </c>
      <c r="I1034" s="106">
        <v>43342</v>
      </c>
      <c r="J1034" s="106">
        <v>43355</v>
      </c>
      <c r="K1034" s="107" t="s">
        <v>522</v>
      </c>
      <c r="L1034" s="107">
        <v>0.5</v>
      </c>
      <c r="M1034" s="107" t="s">
        <v>539</v>
      </c>
      <c r="N1034" s="107" t="s">
        <v>534</v>
      </c>
      <c r="O1034" s="107" t="s">
        <v>669</v>
      </c>
      <c r="P1034" s="104" t="s">
        <v>23</v>
      </c>
      <c r="Q1034" s="104" t="s">
        <v>31</v>
      </c>
      <c r="R1034" s="104" t="s">
        <v>113</v>
      </c>
      <c r="S1034" s="104">
        <v>4</v>
      </c>
      <c r="T1034" s="104">
        <v>10</v>
      </c>
      <c r="U1034" s="137">
        <v>32</v>
      </c>
      <c r="V1034" s="138">
        <v>320</v>
      </c>
    </row>
    <row r="1035" spans="1:22" x14ac:dyDescent="0.25">
      <c r="A1035" s="108" t="s">
        <v>845</v>
      </c>
      <c r="B1035" s="109" t="s">
        <v>39</v>
      </c>
      <c r="C1035" s="109" t="s">
        <v>177</v>
      </c>
      <c r="D1035" s="109" t="s">
        <v>77</v>
      </c>
      <c r="E1035" s="109" t="s">
        <v>172</v>
      </c>
      <c r="F1035" s="109">
        <v>2016</v>
      </c>
      <c r="G1035" s="110">
        <v>43343.375</v>
      </c>
      <c r="H1035" s="110">
        <v>43348.75</v>
      </c>
      <c r="I1035" s="111">
        <v>43343</v>
      </c>
      <c r="J1035" s="111">
        <v>43348</v>
      </c>
      <c r="K1035" s="112" t="s">
        <v>525</v>
      </c>
      <c r="L1035" s="112">
        <v>0.75</v>
      </c>
      <c r="M1035" s="112" t="s">
        <v>540</v>
      </c>
      <c r="N1035" s="112" t="s">
        <v>534</v>
      </c>
      <c r="O1035" s="112" t="s">
        <v>669</v>
      </c>
      <c r="P1035" s="109" t="s">
        <v>9</v>
      </c>
      <c r="Q1035" s="109" t="s">
        <v>38</v>
      </c>
      <c r="R1035" s="109" t="s">
        <v>113</v>
      </c>
      <c r="S1035" s="109">
        <v>2</v>
      </c>
      <c r="T1035" s="109">
        <v>11</v>
      </c>
      <c r="U1035" s="139">
        <v>35</v>
      </c>
      <c r="V1035" s="140">
        <v>385</v>
      </c>
    </row>
    <row r="1036" spans="1:22" x14ac:dyDescent="0.25">
      <c r="A1036" s="103" t="s">
        <v>846</v>
      </c>
      <c r="B1036" s="104" t="s">
        <v>7</v>
      </c>
      <c r="C1036" s="104" t="s">
        <v>175</v>
      </c>
      <c r="D1036" s="104" t="s">
        <v>78</v>
      </c>
      <c r="E1036" s="104" t="s">
        <v>172</v>
      </c>
      <c r="F1036" s="104">
        <v>2016</v>
      </c>
      <c r="G1036" s="105">
        <v>43345.791666666664</v>
      </c>
      <c r="H1036" s="105">
        <v>43356.958333333336</v>
      </c>
      <c r="I1036" s="106">
        <v>43345</v>
      </c>
      <c r="J1036" s="106">
        <v>43356</v>
      </c>
      <c r="K1036" s="107" t="s">
        <v>526</v>
      </c>
      <c r="L1036" s="107">
        <v>0.95833333333333337</v>
      </c>
      <c r="M1036" s="107" t="s">
        <v>541</v>
      </c>
      <c r="N1036" s="107" t="s">
        <v>535</v>
      </c>
      <c r="O1036" s="107" t="s">
        <v>669</v>
      </c>
      <c r="P1036" s="104" t="s">
        <v>9</v>
      </c>
      <c r="Q1036" s="104" t="s">
        <v>16</v>
      </c>
      <c r="R1036" s="104" t="s">
        <v>109</v>
      </c>
      <c r="S1036" s="104">
        <v>5</v>
      </c>
      <c r="T1036" s="104">
        <v>9</v>
      </c>
      <c r="U1036" s="137">
        <v>62</v>
      </c>
      <c r="V1036" s="138">
        <v>558</v>
      </c>
    </row>
    <row r="1037" spans="1:22" x14ac:dyDescent="0.25">
      <c r="A1037" s="108" t="s">
        <v>847</v>
      </c>
      <c r="B1037" s="109" t="s">
        <v>45</v>
      </c>
      <c r="C1037" s="109" t="s">
        <v>177</v>
      </c>
      <c r="D1037" s="109" t="s">
        <v>76</v>
      </c>
      <c r="E1037" s="109" t="s">
        <v>174</v>
      </c>
      <c r="F1037" s="109">
        <v>2016</v>
      </c>
      <c r="G1037" s="110">
        <v>43345.791666666664</v>
      </c>
      <c r="H1037" s="110">
        <v>43356.958333333336</v>
      </c>
      <c r="I1037" s="111">
        <v>43345</v>
      </c>
      <c r="J1037" s="111">
        <v>43356</v>
      </c>
      <c r="K1037" s="112" t="s">
        <v>526</v>
      </c>
      <c r="L1037" s="112">
        <v>0.95833333333333337</v>
      </c>
      <c r="M1037" s="112" t="s">
        <v>541</v>
      </c>
      <c r="N1037" s="112" t="s">
        <v>535</v>
      </c>
      <c r="O1037" s="112" t="s">
        <v>669</v>
      </c>
      <c r="P1037" s="109" t="s">
        <v>23</v>
      </c>
      <c r="Q1037" s="109" t="s">
        <v>190</v>
      </c>
      <c r="R1037" s="109" t="s">
        <v>109</v>
      </c>
      <c r="S1037" s="109">
        <v>4</v>
      </c>
      <c r="T1037" s="109">
        <v>10</v>
      </c>
      <c r="U1037" s="139">
        <v>53</v>
      </c>
      <c r="V1037" s="140">
        <v>530</v>
      </c>
    </row>
    <row r="1038" spans="1:22" x14ac:dyDescent="0.25">
      <c r="A1038" s="103" t="s">
        <v>848</v>
      </c>
      <c r="B1038" s="104" t="s">
        <v>11</v>
      </c>
      <c r="C1038" s="104" t="s">
        <v>175</v>
      </c>
      <c r="D1038" s="104" t="s">
        <v>79</v>
      </c>
      <c r="E1038" s="104" t="s">
        <v>168</v>
      </c>
      <c r="F1038" s="104">
        <v>2016</v>
      </c>
      <c r="G1038" s="105">
        <v>43346.791666666664</v>
      </c>
      <c r="H1038" s="105">
        <v>43359.958333333336</v>
      </c>
      <c r="I1038" s="106">
        <v>43346</v>
      </c>
      <c r="J1038" s="106">
        <v>43359</v>
      </c>
      <c r="K1038" s="107" t="s">
        <v>526</v>
      </c>
      <c r="L1038" s="107">
        <v>0.95833333333333337</v>
      </c>
      <c r="M1038" s="107" t="s">
        <v>541</v>
      </c>
      <c r="N1038" s="107" t="s">
        <v>535</v>
      </c>
      <c r="O1038" s="107" t="s">
        <v>669</v>
      </c>
      <c r="P1038" s="104" t="s">
        <v>23</v>
      </c>
      <c r="Q1038" s="104" t="s">
        <v>190</v>
      </c>
      <c r="R1038" s="104" t="s">
        <v>109</v>
      </c>
      <c r="S1038" s="104">
        <v>5</v>
      </c>
      <c r="T1038" s="104">
        <v>10</v>
      </c>
      <c r="U1038" s="137">
        <v>48</v>
      </c>
      <c r="V1038" s="138">
        <v>480</v>
      </c>
    </row>
    <row r="1039" spans="1:22" x14ac:dyDescent="0.25">
      <c r="A1039" s="108" t="s">
        <v>849</v>
      </c>
      <c r="B1039" s="109" t="s">
        <v>45</v>
      </c>
      <c r="C1039" s="109" t="s">
        <v>177</v>
      </c>
      <c r="D1039" s="109" t="s">
        <v>85</v>
      </c>
      <c r="E1039" s="109" t="s">
        <v>170</v>
      </c>
      <c r="F1039" s="109">
        <v>2016</v>
      </c>
      <c r="G1039" s="110">
        <v>43347.583333333336</v>
      </c>
      <c r="H1039" s="110">
        <v>43360.75</v>
      </c>
      <c r="I1039" s="111">
        <v>43347</v>
      </c>
      <c r="J1039" s="111">
        <v>43360</v>
      </c>
      <c r="K1039" s="112" t="s">
        <v>527</v>
      </c>
      <c r="L1039" s="112">
        <v>0.75</v>
      </c>
      <c r="M1039" s="112" t="s">
        <v>542</v>
      </c>
      <c r="N1039" s="112" t="s">
        <v>535</v>
      </c>
      <c r="O1039" s="112" t="s">
        <v>669</v>
      </c>
      <c r="P1039" s="109" t="s">
        <v>9</v>
      </c>
      <c r="Q1039" s="109" t="s">
        <v>24</v>
      </c>
      <c r="R1039" s="109" t="s">
        <v>113</v>
      </c>
      <c r="S1039" s="109">
        <v>2</v>
      </c>
      <c r="T1039" s="109">
        <v>9</v>
      </c>
      <c r="U1039" s="139">
        <v>48</v>
      </c>
      <c r="V1039" s="140">
        <v>432</v>
      </c>
    </row>
    <row r="1040" spans="1:22" x14ac:dyDescent="0.25">
      <c r="A1040" s="103" t="s">
        <v>850</v>
      </c>
      <c r="B1040" s="104" t="s">
        <v>22</v>
      </c>
      <c r="C1040" s="104" t="s">
        <v>176</v>
      </c>
      <c r="D1040" s="104" t="s">
        <v>85</v>
      </c>
      <c r="E1040" s="104" t="s">
        <v>170</v>
      </c>
      <c r="F1040" s="104">
        <v>2016</v>
      </c>
      <c r="G1040" s="105">
        <v>43348.375</v>
      </c>
      <c r="H1040" s="105">
        <v>43354.75</v>
      </c>
      <c r="I1040" s="106">
        <v>43348</v>
      </c>
      <c r="J1040" s="106">
        <v>43354</v>
      </c>
      <c r="K1040" s="107" t="s">
        <v>525</v>
      </c>
      <c r="L1040" s="107">
        <v>0.75</v>
      </c>
      <c r="M1040" s="107" t="s">
        <v>540</v>
      </c>
      <c r="N1040" s="107" t="s">
        <v>535</v>
      </c>
      <c r="O1040" s="107" t="s">
        <v>669</v>
      </c>
      <c r="P1040" s="104" t="s">
        <v>9</v>
      </c>
      <c r="Q1040" s="104" t="s">
        <v>18</v>
      </c>
      <c r="R1040" s="104" t="s">
        <v>113</v>
      </c>
      <c r="S1040" s="104">
        <v>2</v>
      </c>
      <c r="T1040" s="104">
        <v>11</v>
      </c>
      <c r="U1040" s="137">
        <v>48</v>
      </c>
      <c r="V1040" s="138">
        <v>528</v>
      </c>
    </row>
    <row r="1041" spans="1:22" x14ac:dyDescent="0.25">
      <c r="A1041" s="108" t="s">
        <v>851</v>
      </c>
      <c r="B1041" s="109" t="s">
        <v>45</v>
      </c>
      <c r="C1041" s="109" t="s">
        <v>177</v>
      </c>
      <c r="D1041" s="109" t="s">
        <v>80</v>
      </c>
      <c r="E1041" s="109" t="s">
        <v>173</v>
      </c>
      <c r="F1041" s="109">
        <v>2016</v>
      </c>
      <c r="G1041" s="110">
        <v>43349.333333333336</v>
      </c>
      <c r="H1041" s="110">
        <v>43362.5</v>
      </c>
      <c r="I1041" s="111">
        <v>43349</v>
      </c>
      <c r="J1041" s="111">
        <v>43362</v>
      </c>
      <c r="K1041" s="112" t="s">
        <v>522</v>
      </c>
      <c r="L1041" s="112">
        <v>0.5</v>
      </c>
      <c r="M1041" s="112" t="s">
        <v>539</v>
      </c>
      <c r="N1041" s="112" t="s">
        <v>535</v>
      </c>
      <c r="O1041" s="112" t="s">
        <v>669</v>
      </c>
      <c r="P1041" s="109" t="s">
        <v>23</v>
      </c>
      <c r="Q1041" s="109" t="s">
        <v>18</v>
      </c>
      <c r="R1041" s="109" t="s">
        <v>113</v>
      </c>
      <c r="S1041" s="109">
        <v>2</v>
      </c>
      <c r="T1041" s="109">
        <v>8</v>
      </c>
      <c r="U1041" s="139">
        <v>32</v>
      </c>
      <c r="V1041" s="140">
        <v>256</v>
      </c>
    </row>
    <row r="1042" spans="1:22" x14ac:dyDescent="0.25">
      <c r="A1042" s="103" t="s">
        <v>852</v>
      </c>
      <c r="B1042" s="104" t="s">
        <v>11</v>
      </c>
      <c r="C1042" s="104" t="s">
        <v>175</v>
      </c>
      <c r="D1042" s="104" t="s">
        <v>86</v>
      </c>
      <c r="E1042" s="104" t="s">
        <v>169</v>
      </c>
      <c r="F1042" s="104">
        <v>2016</v>
      </c>
      <c r="G1042" s="105">
        <v>43350.375</v>
      </c>
      <c r="H1042" s="105">
        <v>43355.75</v>
      </c>
      <c r="I1042" s="106">
        <v>43350</v>
      </c>
      <c r="J1042" s="106">
        <v>43355</v>
      </c>
      <c r="K1042" s="107" t="s">
        <v>525</v>
      </c>
      <c r="L1042" s="107">
        <v>0.75</v>
      </c>
      <c r="M1042" s="107" t="s">
        <v>540</v>
      </c>
      <c r="N1042" s="107" t="s">
        <v>535</v>
      </c>
      <c r="O1042" s="107" t="s">
        <v>669</v>
      </c>
      <c r="P1042" s="104" t="s">
        <v>23</v>
      </c>
      <c r="Q1042" s="104" t="s">
        <v>21</v>
      </c>
      <c r="R1042" s="104" t="s">
        <v>113</v>
      </c>
      <c r="S1042" s="104">
        <v>4</v>
      </c>
      <c r="T1042" s="104">
        <v>9</v>
      </c>
      <c r="U1042" s="137">
        <v>48</v>
      </c>
      <c r="V1042" s="138">
        <v>432</v>
      </c>
    </row>
    <row r="1043" spans="1:22" x14ac:dyDescent="0.25">
      <c r="A1043" s="108" t="s">
        <v>853</v>
      </c>
      <c r="B1043" s="109" t="s">
        <v>17</v>
      </c>
      <c r="C1043" s="109" t="s">
        <v>176</v>
      </c>
      <c r="D1043" s="109" t="s">
        <v>81</v>
      </c>
      <c r="E1043" s="109" t="s">
        <v>172</v>
      </c>
      <c r="F1043" s="109">
        <v>2016</v>
      </c>
      <c r="G1043" s="110">
        <v>43352.791666666664</v>
      </c>
      <c r="H1043" s="110">
        <v>43363.958333333336</v>
      </c>
      <c r="I1043" s="111">
        <v>43352</v>
      </c>
      <c r="J1043" s="111">
        <v>43363</v>
      </c>
      <c r="K1043" s="112" t="s">
        <v>526</v>
      </c>
      <c r="L1043" s="112">
        <v>0.95833333333333337</v>
      </c>
      <c r="M1043" s="112" t="s">
        <v>541</v>
      </c>
      <c r="N1043" s="112" t="s">
        <v>535</v>
      </c>
      <c r="O1043" s="112" t="s">
        <v>669</v>
      </c>
      <c r="P1043" s="109" t="s">
        <v>9</v>
      </c>
      <c r="Q1043" s="109" t="s">
        <v>22</v>
      </c>
      <c r="R1043" s="109" t="s">
        <v>109</v>
      </c>
      <c r="S1043" s="109">
        <v>4</v>
      </c>
      <c r="T1043" s="109">
        <v>11</v>
      </c>
      <c r="U1043" s="139">
        <v>43</v>
      </c>
      <c r="V1043" s="140">
        <v>473</v>
      </c>
    </row>
    <row r="1044" spans="1:22" x14ac:dyDescent="0.25">
      <c r="A1044" s="103" t="s">
        <v>854</v>
      </c>
      <c r="B1044" s="104" t="s">
        <v>17</v>
      </c>
      <c r="C1044" s="104" t="s">
        <v>176</v>
      </c>
      <c r="D1044" s="104" t="s">
        <v>82</v>
      </c>
      <c r="E1044" s="104" t="s">
        <v>172</v>
      </c>
      <c r="F1044" s="104">
        <v>2016</v>
      </c>
      <c r="G1044" s="105">
        <v>43352.791666666664</v>
      </c>
      <c r="H1044" s="105">
        <v>43363.958333333336</v>
      </c>
      <c r="I1044" s="106">
        <v>43352</v>
      </c>
      <c r="J1044" s="106">
        <v>43363</v>
      </c>
      <c r="K1044" s="107" t="s">
        <v>526</v>
      </c>
      <c r="L1044" s="107">
        <v>0.95833333333333337</v>
      </c>
      <c r="M1044" s="107" t="s">
        <v>541</v>
      </c>
      <c r="N1044" s="107" t="s">
        <v>535</v>
      </c>
      <c r="O1044" s="107" t="s">
        <v>669</v>
      </c>
      <c r="P1044" s="104" t="s">
        <v>23</v>
      </c>
      <c r="Q1044" s="104" t="s">
        <v>22</v>
      </c>
      <c r="R1044" s="104" t="s">
        <v>109</v>
      </c>
      <c r="S1044" s="104">
        <v>2</v>
      </c>
      <c r="T1044" s="104">
        <v>9</v>
      </c>
      <c r="U1044" s="137">
        <v>75</v>
      </c>
      <c r="V1044" s="138">
        <v>675</v>
      </c>
    </row>
    <row r="1045" spans="1:22" x14ac:dyDescent="0.25">
      <c r="A1045" s="108" t="s">
        <v>855</v>
      </c>
      <c r="B1045" s="109" t="s">
        <v>19</v>
      </c>
      <c r="C1045" s="109" t="s">
        <v>176</v>
      </c>
      <c r="D1045" s="109" t="s">
        <v>85</v>
      </c>
      <c r="E1045" s="109" t="s">
        <v>170</v>
      </c>
      <c r="F1045" s="109">
        <v>2016</v>
      </c>
      <c r="G1045" s="110">
        <v>43353.791666666664</v>
      </c>
      <c r="H1045" s="110">
        <v>43366.958333333336</v>
      </c>
      <c r="I1045" s="111">
        <v>43353</v>
      </c>
      <c r="J1045" s="111">
        <v>43366</v>
      </c>
      <c r="K1045" s="112" t="s">
        <v>526</v>
      </c>
      <c r="L1045" s="112">
        <v>0.95833333333333337</v>
      </c>
      <c r="M1045" s="112" t="s">
        <v>541</v>
      </c>
      <c r="N1045" s="112" t="s">
        <v>535</v>
      </c>
      <c r="O1045" s="112" t="s">
        <v>669</v>
      </c>
      <c r="P1045" s="109" t="s">
        <v>23</v>
      </c>
      <c r="Q1045" s="109" t="s">
        <v>16</v>
      </c>
      <c r="R1045" s="109" t="s">
        <v>109</v>
      </c>
      <c r="S1045" s="109">
        <v>5</v>
      </c>
      <c r="T1045" s="109">
        <v>10</v>
      </c>
      <c r="U1045" s="139">
        <v>48</v>
      </c>
      <c r="V1045" s="140">
        <v>480</v>
      </c>
    </row>
    <row r="1046" spans="1:22" x14ac:dyDescent="0.25">
      <c r="A1046" s="103" t="s">
        <v>856</v>
      </c>
      <c r="B1046" s="104" t="s">
        <v>14</v>
      </c>
      <c r="C1046" s="104" t="s">
        <v>175</v>
      </c>
      <c r="D1046" s="104" t="s">
        <v>78</v>
      </c>
      <c r="E1046" s="104" t="s">
        <v>172</v>
      </c>
      <c r="F1046" s="104">
        <v>2016</v>
      </c>
      <c r="G1046" s="105">
        <v>43354.583333333336</v>
      </c>
      <c r="H1046" s="105">
        <v>43367.75</v>
      </c>
      <c r="I1046" s="106">
        <v>43354</v>
      </c>
      <c r="J1046" s="106">
        <v>43367</v>
      </c>
      <c r="K1046" s="107" t="s">
        <v>527</v>
      </c>
      <c r="L1046" s="107">
        <v>0.75</v>
      </c>
      <c r="M1046" s="107" t="s">
        <v>542</v>
      </c>
      <c r="N1046" s="107" t="s">
        <v>535</v>
      </c>
      <c r="O1046" s="107" t="s">
        <v>669</v>
      </c>
      <c r="P1046" s="104" t="s">
        <v>9</v>
      </c>
      <c r="Q1046" s="104" t="s">
        <v>16</v>
      </c>
      <c r="R1046" s="104" t="s">
        <v>109</v>
      </c>
      <c r="S1046" s="104">
        <v>2</v>
      </c>
      <c r="T1046" s="104">
        <v>9</v>
      </c>
      <c r="U1046" s="137">
        <v>62</v>
      </c>
      <c r="V1046" s="138">
        <v>558</v>
      </c>
    </row>
    <row r="1047" spans="1:22" x14ac:dyDescent="0.25">
      <c r="A1047" s="108" t="s">
        <v>857</v>
      </c>
      <c r="B1047" s="109" t="s">
        <v>45</v>
      </c>
      <c r="C1047" s="109" t="s">
        <v>177</v>
      </c>
      <c r="D1047" s="109" t="s">
        <v>85</v>
      </c>
      <c r="E1047" s="109" t="s">
        <v>170</v>
      </c>
      <c r="F1047" s="109">
        <v>2016</v>
      </c>
      <c r="G1047" s="110">
        <v>43355.375</v>
      </c>
      <c r="H1047" s="110">
        <v>43361.75</v>
      </c>
      <c r="I1047" s="111">
        <v>43355</v>
      </c>
      <c r="J1047" s="111">
        <v>43361</v>
      </c>
      <c r="K1047" s="112" t="s">
        <v>525</v>
      </c>
      <c r="L1047" s="112">
        <v>0.75</v>
      </c>
      <c r="M1047" s="112" t="s">
        <v>540</v>
      </c>
      <c r="N1047" s="112" t="s">
        <v>535</v>
      </c>
      <c r="O1047" s="112" t="s">
        <v>669</v>
      </c>
      <c r="P1047" s="109" t="s">
        <v>23</v>
      </c>
      <c r="Q1047" s="109" t="s">
        <v>18</v>
      </c>
      <c r="R1047" s="109" t="s">
        <v>113</v>
      </c>
      <c r="S1047" s="109">
        <v>2</v>
      </c>
      <c r="T1047" s="109">
        <v>10</v>
      </c>
      <c r="U1047" s="139">
        <v>48</v>
      </c>
      <c r="V1047" s="140">
        <v>480</v>
      </c>
    </row>
    <row r="1048" spans="1:22" x14ac:dyDescent="0.25">
      <c r="A1048" s="103" t="s">
        <v>858</v>
      </c>
      <c r="B1048" s="104" t="s">
        <v>11</v>
      </c>
      <c r="C1048" s="104" t="s">
        <v>175</v>
      </c>
      <c r="D1048" s="104" t="s">
        <v>77</v>
      </c>
      <c r="E1048" s="104" t="s">
        <v>172</v>
      </c>
      <c r="F1048" s="104">
        <v>2016</v>
      </c>
      <c r="G1048" s="105">
        <v>43356.333333333336</v>
      </c>
      <c r="H1048" s="105">
        <v>43369.5</v>
      </c>
      <c r="I1048" s="106">
        <v>43356</v>
      </c>
      <c r="J1048" s="106">
        <v>43369</v>
      </c>
      <c r="K1048" s="107" t="s">
        <v>522</v>
      </c>
      <c r="L1048" s="107">
        <v>0.5</v>
      </c>
      <c r="M1048" s="107" t="s">
        <v>539</v>
      </c>
      <c r="N1048" s="107" t="s">
        <v>535</v>
      </c>
      <c r="O1048" s="107" t="s">
        <v>669</v>
      </c>
      <c r="P1048" s="104" t="s">
        <v>9</v>
      </c>
      <c r="Q1048" s="104" t="s">
        <v>38</v>
      </c>
      <c r="R1048" s="104" t="s">
        <v>113</v>
      </c>
      <c r="S1048" s="104">
        <v>4</v>
      </c>
      <c r="T1048" s="104">
        <v>12</v>
      </c>
      <c r="U1048" s="137">
        <v>35</v>
      </c>
      <c r="V1048" s="138">
        <v>420</v>
      </c>
    </row>
    <row r="1049" spans="1:22" x14ac:dyDescent="0.25">
      <c r="A1049" s="108" t="s">
        <v>859</v>
      </c>
      <c r="B1049" s="109" t="s">
        <v>45</v>
      </c>
      <c r="C1049" s="109" t="s">
        <v>177</v>
      </c>
      <c r="D1049" s="109" t="s">
        <v>86</v>
      </c>
      <c r="E1049" s="109" t="s">
        <v>169</v>
      </c>
      <c r="F1049" s="109">
        <v>2016</v>
      </c>
      <c r="G1049" s="110">
        <v>43357.375</v>
      </c>
      <c r="H1049" s="110">
        <v>43362.75</v>
      </c>
      <c r="I1049" s="111">
        <v>43357</v>
      </c>
      <c r="J1049" s="111">
        <v>43362</v>
      </c>
      <c r="K1049" s="112" t="s">
        <v>525</v>
      </c>
      <c r="L1049" s="112">
        <v>0.75</v>
      </c>
      <c r="M1049" s="112" t="s">
        <v>540</v>
      </c>
      <c r="N1049" s="112" t="s">
        <v>535</v>
      </c>
      <c r="O1049" s="112" t="s">
        <v>669</v>
      </c>
      <c r="P1049" s="109" t="s">
        <v>23</v>
      </c>
      <c r="Q1049" s="109" t="s">
        <v>16</v>
      </c>
      <c r="R1049" s="109" t="s">
        <v>109</v>
      </c>
      <c r="S1049" s="109">
        <v>5</v>
      </c>
      <c r="T1049" s="109">
        <v>11</v>
      </c>
      <c r="U1049" s="139">
        <v>48</v>
      </c>
      <c r="V1049" s="140">
        <v>528</v>
      </c>
    </row>
    <row r="1050" spans="1:22" x14ac:dyDescent="0.25">
      <c r="A1050" s="103" t="s">
        <v>860</v>
      </c>
      <c r="B1050" s="104" t="s">
        <v>45</v>
      </c>
      <c r="C1050" s="104" t="s">
        <v>177</v>
      </c>
      <c r="D1050" s="104" t="s">
        <v>77</v>
      </c>
      <c r="E1050" s="104" t="s">
        <v>172</v>
      </c>
      <c r="F1050" s="104">
        <v>2016</v>
      </c>
      <c r="G1050" s="105">
        <v>43359.791666666664</v>
      </c>
      <c r="H1050" s="105">
        <v>43370.958333333336</v>
      </c>
      <c r="I1050" s="106">
        <v>43359</v>
      </c>
      <c r="J1050" s="106">
        <v>43370</v>
      </c>
      <c r="K1050" s="107" t="s">
        <v>526</v>
      </c>
      <c r="L1050" s="107">
        <v>0.95833333333333337</v>
      </c>
      <c r="M1050" s="107" t="s">
        <v>541</v>
      </c>
      <c r="N1050" s="107" t="s">
        <v>535</v>
      </c>
      <c r="O1050" s="107" t="s">
        <v>669</v>
      </c>
      <c r="P1050" s="104" t="s">
        <v>9</v>
      </c>
      <c r="Q1050" s="104" t="s">
        <v>18</v>
      </c>
      <c r="R1050" s="104" t="s">
        <v>113</v>
      </c>
      <c r="S1050" s="104">
        <v>5</v>
      </c>
      <c r="T1050" s="104">
        <v>9</v>
      </c>
      <c r="U1050" s="137">
        <v>35</v>
      </c>
      <c r="V1050" s="138">
        <v>315</v>
      </c>
    </row>
    <row r="1051" spans="1:22" x14ac:dyDescent="0.25">
      <c r="A1051" s="108" t="s">
        <v>861</v>
      </c>
      <c r="B1051" s="109" t="s">
        <v>17</v>
      </c>
      <c r="C1051" s="109" t="s">
        <v>176</v>
      </c>
      <c r="D1051" s="109" t="s">
        <v>79</v>
      </c>
      <c r="E1051" s="109" t="s">
        <v>168</v>
      </c>
      <c r="F1051" s="109">
        <v>2016</v>
      </c>
      <c r="G1051" s="110">
        <v>43359.791666666664</v>
      </c>
      <c r="H1051" s="110">
        <v>43370.958333333336</v>
      </c>
      <c r="I1051" s="111">
        <v>43359</v>
      </c>
      <c r="J1051" s="111">
        <v>43370</v>
      </c>
      <c r="K1051" s="112" t="s">
        <v>526</v>
      </c>
      <c r="L1051" s="112">
        <v>0.95833333333333337</v>
      </c>
      <c r="M1051" s="112" t="s">
        <v>541</v>
      </c>
      <c r="N1051" s="112" t="s">
        <v>535</v>
      </c>
      <c r="O1051" s="112" t="s">
        <v>669</v>
      </c>
      <c r="P1051" s="109" t="s">
        <v>23</v>
      </c>
      <c r="Q1051" s="109" t="s">
        <v>16</v>
      </c>
      <c r="R1051" s="109" t="s">
        <v>109</v>
      </c>
      <c r="S1051" s="109">
        <v>4</v>
      </c>
      <c r="T1051" s="109">
        <v>9</v>
      </c>
      <c r="U1051" s="139">
        <v>48</v>
      </c>
      <c r="V1051" s="140">
        <v>432</v>
      </c>
    </row>
    <row r="1052" spans="1:22" x14ac:dyDescent="0.25">
      <c r="A1052" s="103" t="s">
        <v>862</v>
      </c>
      <c r="B1052" s="104" t="s">
        <v>39</v>
      </c>
      <c r="C1052" s="104" t="s">
        <v>177</v>
      </c>
      <c r="D1052" s="104" t="s">
        <v>82</v>
      </c>
      <c r="E1052" s="104" t="s">
        <v>172</v>
      </c>
      <c r="F1052" s="104">
        <v>2016</v>
      </c>
      <c r="G1052" s="105">
        <v>43360.791666666664</v>
      </c>
      <c r="H1052" s="105">
        <v>43373.958333333336</v>
      </c>
      <c r="I1052" s="106">
        <v>43360</v>
      </c>
      <c r="J1052" s="106">
        <v>43373</v>
      </c>
      <c r="K1052" s="107" t="s">
        <v>526</v>
      </c>
      <c r="L1052" s="107">
        <v>0.95833333333333337</v>
      </c>
      <c r="M1052" s="107" t="s">
        <v>541</v>
      </c>
      <c r="N1052" s="107" t="s">
        <v>535</v>
      </c>
      <c r="O1052" s="107" t="s">
        <v>669</v>
      </c>
      <c r="P1052" s="104" t="s">
        <v>9</v>
      </c>
      <c r="Q1052" s="104" t="s">
        <v>190</v>
      </c>
      <c r="R1052" s="104" t="s">
        <v>109</v>
      </c>
      <c r="S1052" s="104">
        <v>3</v>
      </c>
      <c r="T1052" s="104">
        <v>8</v>
      </c>
      <c r="U1052" s="137">
        <v>75</v>
      </c>
      <c r="V1052" s="138">
        <v>600</v>
      </c>
    </row>
    <row r="1053" spans="1:22" x14ac:dyDescent="0.25">
      <c r="A1053" s="108" t="s">
        <v>863</v>
      </c>
      <c r="B1053" s="109" t="s">
        <v>22</v>
      </c>
      <c r="C1053" s="109" t="s">
        <v>176</v>
      </c>
      <c r="D1053" s="109" t="s">
        <v>82</v>
      </c>
      <c r="E1053" s="109" t="s">
        <v>172</v>
      </c>
      <c r="F1053" s="109">
        <v>2016</v>
      </c>
      <c r="G1053" s="110">
        <v>43361.583333333336</v>
      </c>
      <c r="H1053" s="110">
        <v>43374.75</v>
      </c>
      <c r="I1053" s="111">
        <v>43361</v>
      </c>
      <c r="J1053" s="111">
        <v>43374</v>
      </c>
      <c r="K1053" s="112" t="s">
        <v>527</v>
      </c>
      <c r="L1053" s="112">
        <v>0.75</v>
      </c>
      <c r="M1053" s="112" t="s">
        <v>542</v>
      </c>
      <c r="N1053" s="112" t="s">
        <v>535</v>
      </c>
      <c r="O1053" s="112" t="s">
        <v>669</v>
      </c>
      <c r="P1053" s="109" t="s">
        <v>23</v>
      </c>
      <c r="Q1053" s="109" t="s">
        <v>16</v>
      </c>
      <c r="R1053" s="109" t="s">
        <v>109</v>
      </c>
      <c r="S1053" s="109">
        <v>2</v>
      </c>
      <c r="T1053" s="109">
        <v>8</v>
      </c>
      <c r="U1053" s="139">
        <v>75</v>
      </c>
      <c r="V1053" s="140">
        <v>600</v>
      </c>
    </row>
    <row r="1054" spans="1:22" x14ac:dyDescent="0.25">
      <c r="A1054" s="103" t="s">
        <v>864</v>
      </c>
      <c r="B1054" s="104" t="s">
        <v>45</v>
      </c>
      <c r="C1054" s="104" t="s">
        <v>177</v>
      </c>
      <c r="D1054" s="104" t="s">
        <v>80</v>
      </c>
      <c r="E1054" s="104" t="s">
        <v>173</v>
      </c>
      <c r="F1054" s="104">
        <v>2016</v>
      </c>
      <c r="G1054" s="105">
        <v>43362.375</v>
      </c>
      <c r="H1054" s="105">
        <v>43368.75</v>
      </c>
      <c r="I1054" s="106">
        <v>43362</v>
      </c>
      <c r="J1054" s="106">
        <v>43368</v>
      </c>
      <c r="K1054" s="107" t="s">
        <v>525</v>
      </c>
      <c r="L1054" s="107">
        <v>0.75</v>
      </c>
      <c r="M1054" s="107" t="s">
        <v>540</v>
      </c>
      <c r="N1054" s="107" t="s">
        <v>535</v>
      </c>
      <c r="O1054" s="107" t="s">
        <v>669</v>
      </c>
      <c r="P1054" s="104" t="s">
        <v>9</v>
      </c>
      <c r="Q1054" s="104" t="s">
        <v>16</v>
      </c>
      <c r="R1054" s="104" t="s">
        <v>109</v>
      </c>
      <c r="S1054" s="104">
        <v>2</v>
      </c>
      <c r="T1054" s="104">
        <v>8</v>
      </c>
      <c r="U1054" s="137">
        <v>32</v>
      </c>
      <c r="V1054" s="138">
        <v>256</v>
      </c>
    </row>
    <row r="1055" spans="1:22" x14ac:dyDescent="0.25">
      <c r="A1055" s="108" t="s">
        <v>865</v>
      </c>
      <c r="B1055" s="109" t="s">
        <v>11</v>
      </c>
      <c r="C1055" s="109" t="s">
        <v>175</v>
      </c>
      <c r="D1055" s="109" t="s">
        <v>85</v>
      </c>
      <c r="E1055" s="109" t="s">
        <v>170</v>
      </c>
      <c r="F1055" s="109">
        <v>2016</v>
      </c>
      <c r="G1055" s="110">
        <v>43363.333333333336</v>
      </c>
      <c r="H1055" s="110">
        <v>43376.5</v>
      </c>
      <c r="I1055" s="111">
        <v>43363</v>
      </c>
      <c r="J1055" s="111">
        <v>43376</v>
      </c>
      <c r="K1055" s="112" t="s">
        <v>522</v>
      </c>
      <c r="L1055" s="112">
        <v>0.5</v>
      </c>
      <c r="M1055" s="112" t="s">
        <v>539</v>
      </c>
      <c r="N1055" s="112" t="s">
        <v>535</v>
      </c>
      <c r="O1055" s="112" t="s">
        <v>669</v>
      </c>
      <c r="P1055" s="109" t="s">
        <v>23</v>
      </c>
      <c r="Q1055" s="109" t="s">
        <v>12</v>
      </c>
      <c r="R1055" s="109" t="s">
        <v>113</v>
      </c>
      <c r="S1055" s="109">
        <v>4</v>
      </c>
      <c r="T1055" s="109">
        <v>12</v>
      </c>
      <c r="U1055" s="139">
        <v>48</v>
      </c>
      <c r="V1055" s="140">
        <v>576</v>
      </c>
    </row>
    <row r="1056" spans="1:22" x14ac:dyDescent="0.25">
      <c r="A1056" s="103" t="s">
        <v>866</v>
      </c>
      <c r="B1056" s="104" t="s">
        <v>29</v>
      </c>
      <c r="C1056" s="104" t="s">
        <v>177</v>
      </c>
      <c r="D1056" s="104" t="s">
        <v>78</v>
      </c>
      <c r="E1056" s="104" t="s">
        <v>172</v>
      </c>
      <c r="F1056" s="104">
        <v>2016</v>
      </c>
      <c r="G1056" s="105">
        <v>43364.375</v>
      </c>
      <c r="H1056" s="105">
        <v>43369.75</v>
      </c>
      <c r="I1056" s="106">
        <v>43364</v>
      </c>
      <c r="J1056" s="106">
        <v>43369</v>
      </c>
      <c r="K1056" s="107" t="s">
        <v>525</v>
      </c>
      <c r="L1056" s="107">
        <v>0.75</v>
      </c>
      <c r="M1056" s="107" t="s">
        <v>540</v>
      </c>
      <c r="N1056" s="107" t="s">
        <v>535</v>
      </c>
      <c r="O1056" s="107" t="s">
        <v>669</v>
      </c>
      <c r="P1056" s="104" t="s">
        <v>9</v>
      </c>
      <c r="Q1056" s="104" t="s">
        <v>44</v>
      </c>
      <c r="R1056" s="104" t="s">
        <v>113</v>
      </c>
      <c r="S1056" s="104">
        <v>5</v>
      </c>
      <c r="T1056" s="104">
        <v>11</v>
      </c>
      <c r="U1056" s="137">
        <v>62</v>
      </c>
      <c r="V1056" s="138">
        <v>682</v>
      </c>
    </row>
    <row r="1057" spans="1:22" x14ac:dyDescent="0.25">
      <c r="A1057" s="108" t="s">
        <v>867</v>
      </c>
      <c r="B1057" s="109" t="s">
        <v>22</v>
      </c>
      <c r="C1057" s="109" t="s">
        <v>176</v>
      </c>
      <c r="D1057" s="109" t="s">
        <v>89</v>
      </c>
      <c r="E1057" s="109" t="s">
        <v>169</v>
      </c>
      <c r="F1057" s="109">
        <v>2016</v>
      </c>
      <c r="G1057" s="110">
        <v>43366.791666666664</v>
      </c>
      <c r="H1057" s="110">
        <v>43377.958333333336</v>
      </c>
      <c r="I1057" s="111">
        <v>43366</v>
      </c>
      <c r="J1057" s="111">
        <v>43377</v>
      </c>
      <c r="K1057" s="112" t="s">
        <v>526</v>
      </c>
      <c r="L1057" s="112">
        <v>0.95833333333333337</v>
      </c>
      <c r="M1057" s="112" t="s">
        <v>541</v>
      </c>
      <c r="N1057" s="112" t="s">
        <v>535</v>
      </c>
      <c r="O1057" s="112" t="s">
        <v>669</v>
      </c>
      <c r="P1057" s="109" t="s">
        <v>23</v>
      </c>
      <c r="Q1057" s="109" t="s">
        <v>190</v>
      </c>
      <c r="R1057" s="109" t="s">
        <v>109</v>
      </c>
      <c r="S1057" s="109">
        <v>2</v>
      </c>
      <c r="T1057" s="109">
        <v>10</v>
      </c>
      <c r="U1057" s="139">
        <v>62</v>
      </c>
      <c r="V1057" s="140">
        <v>620</v>
      </c>
    </row>
    <row r="1058" spans="1:22" x14ac:dyDescent="0.25">
      <c r="A1058" s="103" t="s">
        <v>868</v>
      </c>
      <c r="B1058" s="104" t="s">
        <v>11</v>
      </c>
      <c r="C1058" s="104" t="s">
        <v>175</v>
      </c>
      <c r="D1058" s="104" t="s">
        <v>79</v>
      </c>
      <c r="E1058" s="104" t="s">
        <v>168</v>
      </c>
      <c r="F1058" s="104">
        <v>2016</v>
      </c>
      <c r="G1058" s="105">
        <v>43366.791666666664</v>
      </c>
      <c r="H1058" s="105">
        <v>43377.958333333336</v>
      </c>
      <c r="I1058" s="106">
        <v>43366</v>
      </c>
      <c r="J1058" s="106">
        <v>43377</v>
      </c>
      <c r="K1058" s="107" t="s">
        <v>526</v>
      </c>
      <c r="L1058" s="107">
        <v>0.95833333333333337</v>
      </c>
      <c r="M1058" s="107" t="s">
        <v>541</v>
      </c>
      <c r="N1058" s="107" t="s">
        <v>535</v>
      </c>
      <c r="O1058" s="107" t="s">
        <v>669</v>
      </c>
      <c r="P1058" s="104" t="s">
        <v>23</v>
      </c>
      <c r="Q1058" s="104" t="s">
        <v>28</v>
      </c>
      <c r="R1058" s="104" t="s">
        <v>109</v>
      </c>
      <c r="S1058" s="104">
        <v>5</v>
      </c>
      <c r="T1058" s="104">
        <v>8</v>
      </c>
      <c r="U1058" s="137">
        <v>48</v>
      </c>
      <c r="V1058" s="138">
        <v>384</v>
      </c>
    </row>
    <row r="1059" spans="1:22" x14ac:dyDescent="0.25">
      <c r="A1059" s="108" t="s">
        <v>869</v>
      </c>
      <c r="B1059" s="109" t="s">
        <v>39</v>
      </c>
      <c r="C1059" s="109" t="s">
        <v>177</v>
      </c>
      <c r="D1059" s="109" t="s">
        <v>89</v>
      </c>
      <c r="E1059" s="109" t="s">
        <v>169</v>
      </c>
      <c r="F1059" s="109">
        <v>2016</v>
      </c>
      <c r="G1059" s="110">
        <v>43367.791666666664</v>
      </c>
      <c r="H1059" s="110">
        <v>43380.958333333336</v>
      </c>
      <c r="I1059" s="111">
        <v>43367</v>
      </c>
      <c r="J1059" s="111">
        <v>43380</v>
      </c>
      <c r="K1059" s="112" t="s">
        <v>526</v>
      </c>
      <c r="L1059" s="112">
        <v>0.95833333333333337</v>
      </c>
      <c r="M1059" s="112" t="s">
        <v>541</v>
      </c>
      <c r="N1059" s="112" t="s">
        <v>535</v>
      </c>
      <c r="O1059" s="112" t="s">
        <v>669</v>
      </c>
      <c r="P1059" s="109" t="s">
        <v>23</v>
      </c>
      <c r="Q1059" s="109" t="s">
        <v>18</v>
      </c>
      <c r="R1059" s="109" t="s">
        <v>113</v>
      </c>
      <c r="S1059" s="109">
        <v>5</v>
      </c>
      <c r="T1059" s="109">
        <v>10</v>
      </c>
      <c r="U1059" s="139">
        <v>62</v>
      </c>
      <c r="V1059" s="140">
        <v>620</v>
      </c>
    </row>
    <row r="1060" spans="1:22" x14ac:dyDescent="0.25">
      <c r="A1060" s="103" t="s">
        <v>870</v>
      </c>
      <c r="B1060" s="104" t="s">
        <v>39</v>
      </c>
      <c r="C1060" s="104" t="s">
        <v>177</v>
      </c>
      <c r="D1060" s="104" t="s">
        <v>83</v>
      </c>
      <c r="E1060" s="104" t="s">
        <v>174</v>
      </c>
      <c r="F1060" s="104">
        <v>2016</v>
      </c>
      <c r="G1060" s="105">
        <v>43368.583333333336</v>
      </c>
      <c r="H1060" s="105">
        <v>43381.75</v>
      </c>
      <c r="I1060" s="106">
        <v>43368</v>
      </c>
      <c r="J1060" s="106">
        <v>43381</v>
      </c>
      <c r="K1060" s="107" t="s">
        <v>527</v>
      </c>
      <c r="L1060" s="107">
        <v>0.75</v>
      </c>
      <c r="M1060" s="107" t="s">
        <v>542</v>
      </c>
      <c r="N1060" s="107" t="s">
        <v>535</v>
      </c>
      <c r="O1060" s="107" t="s">
        <v>669</v>
      </c>
      <c r="P1060" s="104" t="s">
        <v>9</v>
      </c>
      <c r="Q1060" s="104" t="s">
        <v>190</v>
      </c>
      <c r="R1060" s="104" t="s">
        <v>109</v>
      </c>
      <c r="S1060" s="104">
        <v>5</v>
      </c>
      <c r="T1060" s="104">
        <v>8</v>
      </c>
      <c r="U1060" s="137">
        <v>63</v>
      </c>
      <c r="V1060" s="138">
        <v>504</v>
      </c>
    </row>
    <row r="1061" spans="1:22" x14ac:dyDescent="0.25">
      <c r="A1061" s="108" t="s">
        <v>871</v>
      </c>
      <c r="B1061" s="109" t="s">
        <v>19</v>
      </c>
      <c r="C1061" s="109" t="s">
        <v>176</v>
      </c>
      <c r="D1061" s="109" t="s">
        <v>78</v>
      </c>
      <c r="E1061" s="109" t="s">
        <v>172</v>
      </c>
      <c r="F1061" s="109">
        <v>2016</v>
      </c>
      <c r="G1061" s="110">
        <v>43369.375</v>
      </c>
      <c r="H1061" s="110">
        <v>43375.75</v>
      </c>
      <c r="I1061" s="111">
        <v>43369</v>
      </c>
      <c r="J1061" s="111">
        <v>43375</v>
      </c>
      <c r="K1061" s="112" t="s">
        <v>525</v>
      </c>
      <c r="L1061" s="112">
        <v>0.75</v>
      </c>
      <c r="M1061" s="112" t="s">
        <v>540</v>
      </c>
      <c r="N1061" s="112" t="s">
        <v>535</v>
      </c>
      <c r="O1061" s="112" t="s">
        <v>669</v>
      </c>
      <c r="P1061" s="109" t="s">
        <v>9</v>
      </c>
      <c r="Q1061" s="109" t="s">
        <v>41</v>
      </c>
      <c r="R1061" s="109" t="s">
        <v>113</v>
      </c>
      <c r="S1061" s="109">
        <v>3</v>
      </c>
      <c r="T1061" s="109">
        <v>12</v>
      </c>
      <c r="U1061" s="139">
        <v>62</v>
      </c>
      <c r="V1061" s="140">
        <v>744</v>
      </c>
    </row>
    <row r="1062" spans="1:22" x14ac:dyDescent="0.25">
      <c r="A1062" s="103" t="s">
        <v>872</v>
      </c>
      <c r="B1062" s="104" t="s">
        <v>11</v>
      </c>
      <c r="C1062" s="104" t="s">
        <v>175</v>
      </c>
      <c r="D1062" s="104" t="s">
        <v>79</v>
      </c>
      <c r="E1062" s="104" t="s">
        <v>168</v>
      </c>
      <c r="F1062" s="104">
        <v>2016</v>
      </c>
      <c r="G1062" s="105">
        <v>43370.333333333336</v>
      </c>
      <c r="H1062" s="105">
        <v>43383.5</v>
      </c>
      <c r="I1062" s="106">
        <v>43370</v>
      </c>
      <c r="J1062" s="106">
        <v>43383</v>
      </c>
      <c r="K1062" s="107" t="s">
        <v>522</v>
      </c>
      <c r="L1062" s="107">
        <v>0.5</v>
      </c>
      <c r="M1062" s="107" t="s">
        <v>539</v>
      </c>
      <c r="N1062" s="107" t="s">
        <v>535</v>
      </c>
      <c r="O1062" s="107" t="s">
        <v>669</v>
      </c>
      <c r="P1062" s="104" t="s">
        <v>9</v>
      </c>
      <c r="Q1062" s="104" t="s">
        <v>26</v>
      </c>
      <c r="R1062" s="104" t="s">
        <v>113</v>
      </c>
      <c r="S1062" s="104">
        <v>5</v>
      </c>
      <c r="T1062" s="104">
        <v>10</v>
      </c>
      <c r="U1062" s="137">
        <v>48</v>
      </c>
      <c r="V1062" s="138">
        <v>480</v>
      </c>
    </row>
    <row r="1063" spans="1:22" x14ac:dyDescent="0.25">
      <c r="A1063" s="108" t="s">
        <v>873</v>
      </c>
      <c r="B1063" s="109" t="s">
        <v>19</v>
      </c>
      <c r="C1063" s="109" t="s">
        <v>176</v>
      </c>
      <c r="D1063" s="109" t="s">
        <v>76</v>
      </c>
      <c r="E1063" s="109" t="s">
        <v>174</v>
      </c>
      <c r="F1063" s="109">
        <v>2016</v>
      </c>
      <c r="G1063" s="110">
        <v>43371.375</v>
      </c>
      <c r="H1063" s="110">
        <v>43376.75</v>
      </c>
      <c r="I1063" s="111">
        <v>43371</v>
      </c>
      <c r="J1063" s="111">
        <v>43376</v>
      </c>
      <c r="K1063" s="112" t="s">
        <v>525</v>
      </c>
      <c r="L1063" s="112">
        <v>0.75</v>
      </c>
      <c r="M1063" s="112" t="s">
        <v>540</v>
      </c>
      <c r="N1063" s="112" t="s">
        <v>535</v>
      </c>
      <c r="O1063" s="112" t="s">
        <v>669</v>
      </c>
      <c r="P1063" s="109" t="s">
        <v>9</v>
      </c>
      <c r="Q1063" s="109" t="s">
        <v>33</v>
      </c>
      <c r="R1063" s="109" t="s">
        <v>113</v>
      </c>
      <c r="S1063" s="109">
        <v>4</v>
      </c>
      <c r="T1063" s="109">
        <v>11</v>
      </c>
      <c r="U1063" s="139">
        <v>53</v>
      </c>
      <c r="V1063" s="140">
        <v>583</v>
      </c>
    </row>
    <row r="1064" spans="1:22" x14ac:dyDescent="0.25">
      <c r="A1064" s="103" t="s">
        <v>874</v>
      </c>
      <c r="B1064" s="104" t="s">
        <v>11</v>
      </c>
      <c r="C1064" s="104" t="s">
        <v>175</v>
      </c>
      <c r="D1064" s="104" t="s">
        <v>76</v>
      </c>
      <c r="E1064" s="104" t="s">
        <v>174</v>
      </c>
      <c r="F1064" s="104">
        <v>2016</v>
      </c>
      <c r="G1064" s="105">
        <v>43373.791666666664</v>
      </c>
      <c r="H1064" s="105">
        <v>43384.958333333336</v>
      </c>
      <c r="I1064" s="106">
        <v>43373</v>
      </c>
      <c r="J1064" s="106">
        <v>43384</v>
      </c>
      <c r="K1064" s="107" t="s">
        <v>526</v>
      </c>
      <c r="L1064" s="107">
        <v>0.95833333333333337</v>
      </c>
      <c r="M1064" s="107" t="s">
        <v>541</v>
      </c>
      <c r="N1064" s="107" t="s">
        <v>535</v>
      </c>
      <c r="O1064" s="107" t="s">
        <v>669</v>
      </c>
      <c r="P1064" s="104" t="s">
        <v>9</v>
      </c>
      <c r="Q1064" s="104" t="s">
        <v>33</v>
      </c>
      <c r="R1064" s="104" t="s">
        <v>113</v>
      </c>
      <c r="S1064" s="104">
        <v>5</v>
      </c>
      <c r="T1064" s="104">
        <v>8</v>
      </c>
      <c r="U1064" s="137">
        <v>53</v>
      </c>
      <c r="V1064" s="138">
        <v>424</v>
      </c>
    </row>
    <row r="1065" spans="1:22" ht="16.5" thickBot="1" x14ac:dyDescent="0.3">
      <c r="A1065" s="108" t="s">
        <v>875</v>
      </c>
      <c r="B1065" s="109" t="s">
        <v>39</v>
      </c>
      <c r="C1065" s="109" t="s">
        <v>177</v>
      </c>
      <c r="D1065" s="109" t="s">
        <v>79</v>
      </c>
      <c r="E1065" s="109" t="s">
        <v>168</v>
      </c>
      <c r="F1065" s="109">
        <v>2016</v>
      </c>
      <c r="G1065" s="110">
        <v>43373.791666666664</v>
      </c>
      <c r="H1065" s="110">
        <v>43384.958333333336</v>
      </c>
      <c r="I1065" s="111">
        <v>43373</v>
      </c>
      <c r="J1065" s="111">
        <v>43384</v>
      </c>
      <c r="K1065" s="112" t="s">
        <v>526</v>
      </c>
      <c r="L1065" s="112">
        <v>0.95833333333333337</v>
      </c>
      <c r="M1065" s="112" t="s">
        <v>541</v>
      </c>
      <c r="N1065" s="112" t="s">
        <v>535</v>
      </c>
      <c r="O1065" s="112" t="s">
        <v>669</v>
      </c>
      <c r="P1065" s="109" t="s">
        <v>9</v>
      </c>
      <c r="Q1065" s="109" t="s">
        <v>21</v>
      </c>
      <c r="R1065" s="109" t="s">
        <v>113</v>
      </c>
      <c r="S1065" s="109">
        <v>3</v>
      </c>
      <c r="T1065" s="109">
        <v>8</v>
      </c>
      <c r="U1065" s="139">
        <v>48</v>
      </c>
      <c r="V1065" s="140">
        <v>384</v>
      </c>
    </row>
    <row r="1066" spans="1:22" ht="16.5" thickTop="1" x14ac:dyDescent="0.25">
      <c r="A1066" s="92" t="s">
        <v>163</v>
      </c>
      <c r="B1066" s="93">
        <f>SUBTOTAL(103,Vendas!$B$2:$B$1065)</f>
        <v>1064</v>
      </c>
      <c r="C1066" s="93"/>
      <c r="D1066" s="93"/>
      <c r="E1066" s="93"/>
      <c r="F1066" s="93"/>
      <c r="G1066" s="93"/>
      <c r="H1066" s="93"/>
      <c r="I1066" s="94">
        <f>SUBTOTAL(104,Vendas!$I$2:$I$1065)</f>
        <v>43373</v>
      </c>
      <c r="J1066" s="94">
        <f>SUBTOTAL(104,Vendas!$J$2:$J$1065)</f>
        <v>43384</v>
      </c>
      <c r="K1066" s="93"/>
      <c r="L1066" s="93"/>
      <c r="M1066" s="93"/>
      <c r="N1066" s="93"/>
      <c r="O1066" s="93"/>
      <c r="P1066" s="93"/>
      <c r="Q1066" s="93"/>
      <c r="R1066" s="93"/>
      <c r="S1066" s="93">
        <f>SUBTOTAL(101,Vendas!$S$2:$S$1065)</f>
        <v>3.5265151515151514</v>
      </c>
      <c r="T1066" s="93">
        <f>SUBTOTAL(109,Vendas!$T$2:$T$1065)</f>
        <v>10617</v>
      </c>
      <c r="U1066" s="141"/>
      <c r="V1066" s="142">
        <f>SUBTOTAL(109,Vendas!$V$2:$V$1065)</f>
        <v>522195</v>
      </c>
    </row>
    <row r="1067" spans="1:22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</row>
    <row r="1068" spans="1:22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</row>
    <row r="1069" spans="1:22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</row>
    <row r="1070" spans="1:22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</row>
    <row r="1071" spans="1:22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</row>
    <row r="1072" spans="1:22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</row>
    <row r="1073" spans="1:20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</row>
    <row r="1074" spans="1:20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</row>
    <row r="1075" spans="1:20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</row>
    <row r="1076" spans="1:20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</row>
    <row r="1077" spans="1:20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</row>
    <row r="1078" spans="1:20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</row>
    <row r="1079" spans="1:20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</row>
    <row r="1080" spans="1:20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</row>
    <row r="1081" spans="1:20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</row>
    <row r="1082" spans="1:20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</row>
    <row r="1083" spans="1:20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</row>
    <row r="1084" spans="1:20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</row>
    <row r="1085" spans="1:20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</row>
    <row r="1086" spans="1:20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</row>
    <row r="1087" spans="1:20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</row>
    <row r="1088" spans="1:20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</row>
    <row r="1089" spans="1:20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</row>
    <row r="1090" spans="1:20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</row>
    <row r="1091" spans="1:20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</row>
    <row r="1092" spans="1:20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</row>
    <row r="1093" spans="1:20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</row>
    <row r="1094" spans="1:20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</row>
    <row r="1095" spans="1:20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</row>
    <row r="1096" spans="1:20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</row>
    <row r="1097" spans="1:20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</row>
    <row r="1098" spans="1:20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</row>
    <row r="1099" spans="1:20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</row>
    <row r="1100" spans="1:20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</row>
    <row r="1101" spans="1:20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</row>
    <row r="1102" spans="1:20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</row>
    <row r="1103" spans="1:20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</row>
    <row r="1104" spans="1:20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</row>
    <row r="1105" spans="1:20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</row>
    <row r="1106" spans="1:20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</row>
    <row r="1107" spans="1:20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</row>
    <row r="1108" spans="1:20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</row>
    <row r="1109" spans="1:20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</row>
    <row r="1110" spans="1:20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</row>
    <row r="1111" spans="1:20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</row>
    <row r="1112" spans="1:20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</row>
    <row r="1113" spans="1:20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</row>
    <row r="1114" spans="1:20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</row>
    <row r="1115" spans="1:20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</row>
    <row r="1116" spans="1:20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</row>
    <row r="1117" spans="1:20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</row>
    <row r="1118" spans="1:20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</row>
    <row r="1119" spans="1:20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</row>
    <row r="1120" spans="1:20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</row>
    <row r="1121" spans="1:20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</row>
    <row r="1122" spans="1:20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</row>
    <row r="1123" spans="1:20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</row>
    <row r="1124" spans="1:20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</row>
    <row r="1125" spans="1:20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</row>
    <row r="1126" spans="1:20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</row>
    <row r="1127" spans="1:20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</row>
    <row r="1128" spans="1:20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</row>
    <row r="1129" spans="1:20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</row>
    <row r="1130" spans="1:20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</row>
    <row r="1131" spans="1:20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</row>
    <row r="1132" spans="1:20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</row>
    <row r="1133" spans="1:20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</row>
    <row r="1134" spans="1:20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</row>
    <row r="1135" spans="1:20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</row>
    <row r="1136" spans="1:20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</row>
    <row r="1137" spans="1:20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</row>
    <row r="1138" spans="1:20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</row>
    <row r="1139" spans="1:20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</row>
    <row r="1140" spans="1:20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</row>
    <row r="1141" spans="1:20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</row>
    <row r="1142" spans="1:20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</row>
    <row r="1143" spans="1:20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</row>
    <row r="1144" spans="1:20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</row>
    <row r="1145" spans="1:20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</row>
    <row r="1146" spans="1:20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</row>
    <row r="1147" spans="1:20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</row>
    <row r="1148" spans="1:20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</row>
    <row r="1149" spans="1:20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</row>
    <row r="1150" spans="1:20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</row>
    <row r="1151" spans="1:20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</row>
    <row r="1152" spans="1:20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</row>
    <row r="1153" spans="1:20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</row>
    <row r="1154" spans="1:20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</row>
    <row r="1155" spans="1:20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</row>
    <row r="1156" spans="1:20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</row>
    <row r="1157" spans="1:20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</row>
    <row r="1158" spans="1:20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</row>
    <row r="1159" spans="1:20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</row>
    <row r="1160" spans="1:20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</row>
    <row r="1161" spans="1:20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</row>
    <row r="1162" spans="1:20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</row>
    <row r="1163" spans="1:20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</row>
    <row r="1164" spans="1:20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</row>
    <row r="1165" spans="1:20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</row>
    <row r="1166" spans="1:20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</row>
    <row r="1167" spans="1:20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</row>
    <row r="1168" spans="1:20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</row>
    <row r="1169" spans="1:20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</row>
    <row r="1170" spans="1:20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</row>
    <row r="1171" spans="1:20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</row>
    <row r="1172" spans="1:20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</row>
    <row r="1173" spans="1:20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</row>
    <row r="1174" spans="1:20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</row>
    <row r="1175" spans="1:20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</row>
    <row r="1176" spans="1:20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</row>
    <row r="1177" spans="1:20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</row>
    <row r="1178" spans="1:20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</row>
    <row r="1179" spans="1:20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</row>
    <row r="1180" spans="1:20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</row>
    <row r="1181" spans="1:20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</row>
    <row r="1182" spans="1:20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</row>
    <row r="1183" spans="1:20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</row>
    <row r="1184" spans="1:20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</row>
    <row r="1185" spans="1:20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</row>
    <row r="1186" spans="1:20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</row>
    <row r="1187" spans="1:20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</row>
    <row r="1188" spans="1:20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</row>
    <row r="1189" spans="1:20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</row>
    <row r="1190" spans="1:20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</row>
    <row r="1191" spans="1:20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</row>
    <row r="1192" spans="1:20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</row>
    <row r="1193" spans="1:20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</row>
    <row r="1194" spans="1:20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</row>
    <row r="1195" spans="1:20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</row>
    <row r="1196" spans="1:20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</row>
    <row r="1197" spans="1:20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</row>
    <row r="1198" spans="1:20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</row>
    <row r="1199" spans="1:20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</row>
    <row r="1200" spans="1:20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</row>
    <row r="1201" spans="1:20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</row>
    <row r="1202" spans="1:20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</row>
    <row r="1203" spans="1:20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</row>
    <row r="1204" spans="1:20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</row>
    <row r="1205" spans="1:20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</row>
    <row r="1206" spans="1:20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</row>
    <row r="1207" spans="1:20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</row>
    <row r="1208" spans="1:20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</row>
    <row r="1209" spans="1:20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</row>
    <row r="1210" spans="1:20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</row>
    <row r="1211" spans="1:20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</row>
    <row r="1212" spans="1:20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</row>
    <row r="1213" spans="1:20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</row>
    <row r="1214" spans="1:20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</row>
    <row r="1215" spans="1:20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</row>
    <row r="1216" spans="1:20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</row>
    <row r="1217" spans="1:20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</row>
    <row r="1218" spans="1:20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</row>
    <row r="1219" spans="1:20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</row>
    <row r="1220" spans="1:20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</row>
    <row r="1221" spans="1:20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</row>
    <row r="1222" spans="1:20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</row>
    <row r="1223" spans="1:20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</row>
    <row r="1224" spans="1:20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</row>
    <row r="1225" spans="1:20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</row>
    <row r="1226" spans="1:20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</row>
    <row r="1227" spans="1:20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</row>
    <row r="1228" spans="1:20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</row>
    <row r="1229" spans="1:20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</row>
    <row r="1230" spans="1:20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</row>
    <row r="1231" spans="1:20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</row>
    <row r="1232" spans="1:20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</row>
    <row r="1233" spans="1:20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</row>
    <row r="1234" spans="1:20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</row>
    <row r="1235" spans="1:20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</row>
    <row r="1236" spans="1:20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</row>
    <row r="1237" spans="1:20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</row>
    <row r="1238" spans="1:20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</row>
    <row r="1239" spans="1:20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</row>
    <row r="1240" spans="1:20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</row>
    <row r="1241" spans="1:20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</row>
    <row r="1242" spans="1:20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</row>
    <row r="1243" spans="1:20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</row>
    <row r="1244" spans="1:20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</row>
    <row r="1245" spans="1:20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</row>
    <row r="1246" spans="1:20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</row>
    <row r="1247" spans="1:20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</row>
    <row r="1248" spans="1:20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</row>
    <row r="1249" spans="1:20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</row>
    <row r="1250" spans="1:20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</row>
    <row r="1251" spans="1:20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</row>
    <row r="1252" spans="1:20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</row>
    <row r="1253" spans="1:20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</row>
    <row r="1254" spans="1:20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</row>
    <row r="1255" spans="1:20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</row>
    <row r="1256" spans="1:20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</row>
    <row r="1257" spans="1:20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</row>
    <row r="1258" spans="1:20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</row>
    <row r="1259" spans="1:20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</row>
    <row r="1260" spans="1:20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</row>
    <row r="1261" spans="1:20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</row>
    <row r="1262" spans="1:20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</row>
    <row r="1263" spans="1:20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</row>
    <row r="1264" spans="1:20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</row>
    <row r="1265" spans="1:20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</row>
    <row r="1266" spans="1:20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</row>
    <row r="1267" spans="1:20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</row>
    <row r="1268" spans="1:20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</row>
    <row r="1269" spans="1:20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</row>
    <row r="1270" spans="1:20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</row>
    <row r="1271" spans="1:20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</row>
    <row r="1272" spans="1:20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</row>
    <row r="1273" spans="1:20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</row>
    <row r="1274" spans="1:20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</row>
    <row r="1275" spans="1:20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</row>
    <row r="1276" spans="1:20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</row>
    <row r="1277" spans="1:20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</row>
    <row r="1278" spans="1:20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</row>
    <row r="1279" spans="1:20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</row>
    <row r="1280" spans="1:20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</row>
    <row r="1281" spans="1:20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</row>
    <row r="1282" spans="1:20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</row>
    <row r="1283" spans="1:20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</row>
    <row r="1284" spans="1:20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</row>
    <row r="1285" spans="1:20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</row>
    <row r="1286" spans="1:20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</row>
    <row r="1287" spans="1:20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</row>
    <row r="1288" spans="1:20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</row>
    <row r="1289" spans="1:20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</row>
    <row r="1290" spans="1:20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</row>
    <row r="1291" spans="1:20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</row>
    <row r="1292" spans="1:20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</row>
    <row r="1293" spans="1:20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</row>
    <row r="1294" spans="1:20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</row>
    <row r="1295" spans="1:20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</row>
    <row r="1296" spans="1:20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</row>
    <row r="1297" spans="1:20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</row>
    <row r="1298" spans="1:20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</row>
    <row r="1299" spans="1:20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</row>
    <row r="1300" spans="1:20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</row>
    <row r="1301" spans="1:20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</row>
    <row r="1302" spans="1:20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</row>
    <row r="1303" spans="1:20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</row>
    <row r="1304" spans="1:20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</row>
    <row r="1305" spans="1:20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</row>
    <row r="1306" spans="1:20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</row>
    <row r="1307" spans="1:20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</row>
    <row r="1308" spans="1:20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</row>
    <row r="1309" spans="1:20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</row>
    <row r="1310" spans="1:20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</row>
    <row r="1311" spans="1:20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</row>
    <row r="1312" spans="1:20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</row>
    <row r="1313" spans="1:20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</row>
    <row r="1314" spans="1:20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</row>
    <row r="1315" spans="1:20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</row>
    <row r="1316" spans="1:20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</row>
    <row r="1317" spans="1:20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</row>
    <row r="1318" spans="1:20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</row>
    <row r="1319" spans="1:20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</row>
    <row r="1320" spans="1:20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</row>
    <row r="1321" spans="1:20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</row>
    <row r="1322" spans="1:20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</row>
    <row r="1323" spans="1:20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</row>
    <row r="1324" spans="1:20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</row>
    <row r="1325" spans="1:20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</row>
    <row r="1326" spans="1:20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</row>
    <row r="1327" spans="1:20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</row>
    <row r="1328" spans="1:20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</row>
    <row r="1329" spans="1:20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</row>
    <row r="1330" spans="1:20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</row>
    <row r="1331" spans="1:20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</row>
    <row r="1332" spans="1:20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</row>
    <row r="1333" spans="1:20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</row>
    <row r="1334" spans="1:20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</row>
    <row r="1335" spans="1:20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</row>
    <row r="1336" spans="1:20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</row>
    <row r="1337" spans="1:20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</row>
    <row r="1338" spans="1:20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</row>
    <row r="1339" spans="1:20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</row>
    <row r="1340" spans="1:20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</row>
    <row r="1341" spans="1:20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</row>
    <row r="1342" spans="1:20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</row>
    <row r="1343" spans="1:20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</row>
    <row r="1344" spans="1:20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</row>
    <row r="1345" spans="1:20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</row>
    <row r="1346" spans="1:20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</row>
    <row r="1347" spans="1:20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</row>
    <row r="1348" spans="1:20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</row>
    <row r="1349" spans="1:20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</row>
    <row r="1350" spans="1:20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</row>
    <row r="1351" spans="1:20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</row>
    <row r="1352" spans="1:20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</row>
    <row r="1353" spans="1:20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</row>
    <row r="1354" spans="1:20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</row>
    <row r="1355" spans="1:20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</row>
    <row r="1356" spans="1:20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</row>
    <row r="1357" spans="1:20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</row>
    <row r="1358" spans="1:20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</row>
    <row r="1359" spans="1:20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</row>
    <row r="1360" spans="1:20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</row>
    <row r="1361" spans="1:20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</row>
    <row r="1362" spans="1:20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</row>
    <row r="1363" spans="1:20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</row>
    <row r="1364" spans="1:20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</row>
    <row r="1365" spans="1:20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</row>
    <row r="1366" spans="1:20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</row>
    <row r="1367" spans="1:20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</row>
    <row r="1368" spans="1:20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</row>
    <row r="1369" spans="1:20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</row>
    <row r="1370" spans="1:20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</row>
    <row r="1371" spans="1:20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</row>
    <row r="1372" spans="1:20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</row>
    <row r="1373" spans="1:20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</row>
    <row r="1374" spans="1:20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</row>
    <row r="1375" spans="1:20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</row>
    <row r="1376" spans="1:20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</row>
    <row r="1377" spans="1:20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</row>
    <row r="1378" spans="1:20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</row>
    <row r="1379" spans="1:20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</row>
    <row r="1380" spans="1:20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</row>
    <row r="1381" spans="1:20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</row>
    <row r="1382" spans="1:20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</row>
    <row r="1383" spans="1:20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</row>
    <row r="1384" spans="1:20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</row>
    <row r="1385" spans="1:20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</row>
    <row r="1386" spans="1:20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</row>
    <row r="1387" spans="1:20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</row>
    <row r="1388" spans="1:20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</row>
    <row r="1389" spans="1:20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</row>
    <row r="1390" spans="1:20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</row>
    <row r="1391" spans="1:20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</row>
    <row r="1392" spans="1:20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</row>
    <row r="1393" spans="1:20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</row>
    <row r="1394" spans="1:20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</row>
    <row r="1395" spans="1:20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</row>
    <row r="1396" spans="1:20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</row>
    <row r="1397" spans="1:20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</row>
    <row r="1398" spans="1:20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</row>
    <row r="1399" spans="1:20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</row>
    <row r="1400" spans="1:20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</row>
    <row r="1401" spans="1:20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</row>
    <row r="1402" spans="1:20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</row>
    <row r="1403" spans="1:20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</row>
    <row r="1404" spans="1:20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</row>
    <row r="1405" spans="1:20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</row>
    <row r="1406" spans="1:20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</row>
    <row r="1407" spans="1:20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</row>
    <row r="1408" spans="1:20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</row>
    <row r="1409" spans="1:20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</row>
    <row r="1410" spans="1:20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</row>
    <row r="1411" spans="1:20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</row>
    <row r="1412" spans="1:20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</row>
    <row r="1413" spans="1:20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</row>
    <row r="1414" spans="1:20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</row>
    <row r="1415" spans="1:20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</row>
    <row r="1416" spans="1:20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</row>
    <row r="1417" spans="1:20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</row>
    <row r="1418" spans="1:20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</row>
    <row r="1419" spans="1:20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</row>
    <row r="1420" spans="1:20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</row>
    <row r="1421" spans="1:20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</row>
    <row r="1422" spans="1:20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</row>
    <row r="1423" spans="1:20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</row>
    <row r="1424" spans="1:20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</row>
    <row r="1425" spans="1:20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</row>
    <row r="1426" spans="1:20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</row>
    <row r="1427" spans="1:20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</row>
    <row r="1428" spans="1:20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</row>
    <row r="1429" spans="1:20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</row>
    <row r="1430" spans="1:20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</row>
    <row r="1431" spans="1:20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</row>
    <row r="1432" spans="1:20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</row>
    <row r="1433" spans="1:20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</row>
    <row r="1434" spans="1:20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</row>
    <row r="1435" spans="1:20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</row>
    <row r="1436" spans="1:20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</row>
    <row r="1437" spans="1:20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</row>
    <row r="1438" spans="1:20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</row>
    <row r="1439" spans="1:20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</row>
    <row r="1440" spans="1:20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</row>
    <row r="1441" spans="1:20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</row>
    <row r="1442" spans="1:20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</row>
    <row r="1443" spans="1:20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</row>
    <row r="1444" spans="1:20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</row>
    <row r="1445" spans="1:20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</row>
    <row r="1446" spans="1:20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</row>
    <row r="1447" spans="1:20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</row>
    <row r="1448" spans="1:20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</row>
    <row r="1449" spans="1:20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</row>
    <row r="1450" spans="1:20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</row>
    <row r="1451" spans="1:20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</row>
    <row r="1452" spans="1:20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</row>
    <row r="1453" spans="1:20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</row>
    <row r="1454" spans="1:20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</row>
    <row r="1455" spans="1:20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</row>
    <row r="1456" spans="1:20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</row>
    <row r="1457" spans="1:20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</row>
    <row r="1458" spans="1:20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</row>
    <row r="1459" spans="1:20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</row>
    <row r="1460" spans="1:20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</row>
    <row r="1461" spans="1:20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</row>
    <row r="1462" spans="1:20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</row>
    <row r="1463" spans="1:20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</row>
    <row r="1464" spans="1:20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</row>
    <row r="1465" spans="1:20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</row>
    <row r="1466" spans="1:20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</row>
    <row r="1467" spans="1:20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</row>
    <row r="1468" spans="1:20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</row>
    <row r="1469" spans="1:20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</row>
    <row r="1470" spans="1:20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</row>
    <row r="1471" spans="1:20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</row>
    <row r="1472" spans="1:20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</row>
    <row r="1473" spans="1:20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</row>
    <row r="1474" spans="1:20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</row>
    <row r="1475" spans="1:20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</row>
    <row r="1476" spans="1:20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</row>
    <row r="1477" spans="1:20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</row>
    <row r="1478" spans="1:20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</row>
    <row r="1479" spans="1:20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</row>
    <row r="1480" spans="1:20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</row>
    <row r="1481" spans="1:20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</row>
    <row r="1482" spans="1:20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</row>
    <row r="1483" spans="1:20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</row>
    <row r="1484" spans="1:20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</row>
    <row r="1485" spans="1:20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</row>
    <row r="1486" spans="1:20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</row>
    <row r="1487" spans="1:20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</row>
    <row r="1488" spans="1:20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</row>
    <row r="1489" spans="1:20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</row>
    <row r="1490" spans="1:20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</row>
    <row r="1491" spans="1:20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</row>
    <row r="1492" spans="1:20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</row>
    <row r="1493" spans="1:20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</row>
    <row r="1494" spans="1:20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</row>
    <row r="1495" spans="1:20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</row>
    <row r="1496" spans="1:20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</row>
    <row r="1497" spans="1:20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</row>
    <row r="1498" spans="1:20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</row>
    <row r="1499" spans="1:20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</row>
    <row r="1500" spans="1:20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</row>
    <row r="1501" spans="1:20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</row>
    <row r="1502" spans="1:20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</row>
    <row r="1503" spans="1:20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</row>
    <row r="1504" spans="1:20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</row>
    <row r="1505" spans="1:20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</row>
    <row r="1506" spans="1:20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</row>
    <row r="1507" spans="1:20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</row>
    <row r="1508" spans="1:20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</row>
    <row r="1509" spans="1:20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</row>
    <row r="1510" spans="1:20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</row>
    <row r="1511" spans="1:20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</row>
    <row r="1512" spans="1:20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</row>
    <row r="1513" spans="1:20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</row>
    <row r="1514" spans="1:20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</row>
    <row r="1515" spans="1:20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</row>
    <row r="1516" spans="1:20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</row>
    <row r="1517" spans="1:20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</row>
    <row r="1518" spans="1:20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</row>
    <row r="1519" spans="1:20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</row>
    <row r="1520" spans="1:20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</row>
    <row r="1521" spans="1:20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</row>
    <row r="1522" spans="1:20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</row>
    <row r="1523" spans="1:20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</row>
    <row r="1524" spans="1:20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</row>
    <row r="1525" spans="1:20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</row>
    <row r="1526" spans="1:20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</row>
    <row r="1527" spans="1:20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</row>
    <row r="1528" spans="1:20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</row>
    <row r="1529" spans="1:20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</row>
    <row r="1530" spans="1:20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</row>
    <row r="1531" spans="1:20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</row>
    <row r="1532" spans="1:20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</row>
    <row r="1533" spans="1:20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</row>
    <row r="1534" spans="1:20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</row>
    <row r="1535" spans="1:20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</row>
    <row r="1536" spans="1:20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</row>
    <row r="1537" spans="1:20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</row>
    <row r="1538" spans="1:20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</row>
    <row r="1539" spans="1:20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</row>
    <row r="1540" spans="1:20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</row>
    <row r="1541" spans="1:20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</row>
    <row r="1542" spans="1:20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</row>
    <row r="1543" spans="1:20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</row>
    <row r="1544" spans="1:20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</row>
    <row r="1545" spans="1:20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</row>
    <row r="1546" spans="1:20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</row>
    <row r="1547" spans="1:20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</row>
    <row r="1548" spans="1:20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</row>
    <row r="1549" spans="1:20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</row>
    <row r="1550" spans="1:20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</row>
    <row r="1551" spans="1:20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</row>
    <row r="1552" spans="1:20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</row>
    <row r="1553" spans="1:20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</row>
    <row r="1554" spans="1:20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</row>
    <row r="1555" spans="1:20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</row>
    <row r="1556" spans="1:20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</row>
    <row r="1557" spans="1:20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</row>
    <row r="1558" spans="1:20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</row>
    <row r="1559" spans="1:20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</row>
    <row r="1560" spans="1:20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</row>
    <row r="1561" spans="1:20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</row>
    <row r="1562" spans="1:20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</row>
    <row r="1563" spans="1:20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</row>
    <row r="1564" spans="1:20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</row>
    <row r="1565" spans="1:20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</row>
    <row r="1566" spans="1:20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</row>
    <row r="1567" spans="1:20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</row>
    <row r="1568" spans="1:20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</row>
    <row r="1569" spans="1:20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</row>
    <row r="1570" spans="1:20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</row>
    <row r="1571" spans="1:20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</row>
    <row r="1572" spans="1:20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</row>
    <row r="1573" spans="1:20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</row>
    <row r="1574" spans="1:20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</row>
    <row r="1575" spans="1:20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</row>
    <row r="1576" spans="1:20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</row>
    <row r="1577" spans="1:20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</row>
    <row r="1578" spans="1:20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</row>
    <row r="1579" spans="1:20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</row>
    <row r="1580" spans="1:20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</row>
    <row r="1581" spans="1:20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</row>
    <row r="1582" spans="1:20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</row>
    <row r="1583" spans="1:20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</row>
    <row r="1584" spans="1:20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</row>
    <row r="1585" spans="1:20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</row>
    <row r="1586" spans="1:20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</row>
    <row r="1587" spans="1:20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</row>
    <row r="1588" spans="1:20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</row>
    <row r="1589" spans="1:20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</row>
    <row r="1590" spans="1:20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</row>
    <row r="1591" spans="1:20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</row>
    <row r="1592" spans="1:20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</row>
    <row r="1593" spans="1:20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</row>
    <row r="1594" spans="1:20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</row>
    <row r="1595" spans="1:20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</row>
    <row r="1596" spans="1:20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</row>
    <row r="1597" spans="1:20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</row>
    <row r="1598" spans="1:20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</row>
    <row r="1599" spans="1:20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</row>
    <row r="1600" spans="1:20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</row>
    <row r="1601" spans="1:20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</row>
    <row r="1602" spans="1:20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</row>
    <row r="1603" spans="1:20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</row>
    <row r="1604" spans="1:20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</row>
    <row r="1605" spans="1:20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</row>
    <row r="1606" spans="1:20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</row>
    <row r="1607" spans="1:20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</row>
    <row r="1608" spans="1:20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</row>
    <row r="1609" spans="1:20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</row>
    <row r="1610" spans="1:20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</row>
    <row r="1611" spans="1:20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</row>
    <row r="1612" spans="1:20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</row>
    <row r="1613" spans="1:20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</row>
    <row r="1614" spans="1:20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</row>
    <row r="1615" spans="1:20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</row>
    <row r="1616" spans="1:20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</row>
    <row r="1617" spans="1:20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</row>
    <row r="1618" spans="1:20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</row>
    <row r="1619" spans="1:20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</row>
    <row r="1620" spans="1:20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</row>
    <row r="1621" spans="1:20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</row>
    <row r="1622" spans="1:20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</row>
    <row r="1623" spans="1:20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</row>
    <row r="1624" spans="1:20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</row>
    <row r="1625" spans="1:20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</row>
    <row r="1626" spans="1:20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</row>
    <row r="1627" spans="1:20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</row>
    <row r="1628" spans="1:20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</row>
    <row r="1629" spans="1:20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</row>
    <row r="1630" spans="1:20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</row>
    <row r="1631" spans="1:20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</row>
    <row r="1632" spans="1:20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</row>
    <row r="1633" spans="1:20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</row>
    <row r="1634" spans="1:20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</row>
    <row r="1635" spans="1:20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</row>
    <row r="1636" spans="1:20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</row>
    <row r="1637" spans="1:20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</row>
    <row r="1638" spans="1:20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</row>
    <row r="1639" spans="1:20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</row>
    <row r="1640" spans="1:20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</row>
    <row r="1641" spans="1:20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</row>
    <row r="1642" spans="1:20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</row>
    <row r="1643" spans="1:20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</row>
    <row r="1644" spans="1:20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</row>
    <row r="1645" spans="1:20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</row>
    <row r="1646" spans="1:20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</row>
    <row r="1647" spans="1:20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</row>
    <row r="1648" spans="1:20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</row>
    <row r="1649" spans="1:20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</row>
    <row r="1650" spans="1:20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</row>
    <row r="1651" spans="1:20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</row>
    <row r="1652" spans="1:20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</row>
    <row r="1653" spans="1:20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</row>
    <row r="1654" spans="1:20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</row>
    <row r="1655" spans="1:20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</row>
    <row r="1656" spans="1:20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</row>
    <row r="1657" spans="1:20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</row>
    <row r="1658" spans="1:20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</row>
    <row r="1659" spans="1:20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</row>
    <row r="1660" spans="1:20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</row>
    <row r="1661" spans="1:20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</row>
    <row r="1662" spans="1:20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</row>
    <row r="1663" spans="1:20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</row>
    <row r="1664" spans="1:20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</row>
    <row r="1665" spans="1:20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</row>
    <row r="1666" spans="1:20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</row>
    <row r="1667" spans="1:20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</row>
    <row r="1668" spans="1:20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</row>
    <row r="1669" spans="1:20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</row>
    <row r="1670" spans="1:20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</row>
    <row r="1671" spans="1:20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</row>
    <row r="1672" spans="1:20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</row>
    <row r="1673" spans="1:20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</row>
    <row r="1674" spans="1:20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</row>
    <row r="1675" spans="1:20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</row>
    <row r="1676" spans="1:20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</row>
    <row r="1677" spans="1:20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</row>
    <row r="1678" spans="1:20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</row>
    <row r="1679" spans="1:20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</row>
    <row r="1680" spans="1:20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</row>
    <row r="1681" spans="1:20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</row>
    <row r="1682" spans="1:20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</row>
    <row r="1683" spans="1:20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</row>
    <row r="1684" spans="1:20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</row>
    <row r="1685" spans="1:20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</row>
    <row r="1686" spans="1:20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</row>
    <row r="1687" spans="1:20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</row>
    <row r="1688" spans="1:20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</row>
    <row r="1689" spans="1:20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</row>
    <row r="1690" spans="1:20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</row>
    <row r="1691" spans="1:20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</row>
    <row r="1692" spans="1:20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</row>
    <row r="1693" spans="1:20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</row>
    <row r="1694" spans="1:20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</row>
    <row r="1695" spans="1:20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</row>
    <row r="1696" spans="1:20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</row>
    <row r="1697" spans="1:20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</row>
    <row r="1698" spans="1:20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</row>
    <row r="1699" spans="1:20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</row>
    <row r="1700" spans="1:20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</row>
    <row r="1701" spans="1:20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</row>
    <row r="1702" spans="1:20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</row>
    <row r="1703" spans="1:20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</row>
    <row r="1704" spans="1:20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</row>
    <row r="1705" spans="1:20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</row>
    <row r="1706" spans="1:20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</row>
    <row r="1707" spans="1:20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</row>
    <row r="1708" spans="1:20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</row>
    <row r="1709" spans="1:20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</row>
    <row r="1710" spans="1:20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</row>
    <row r="1711" spans="1:20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</row>
    <row r="1712" spans="1:20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</row>
    <row r="1713" spans="1:20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</row>
    <row r="1714" spans="1:20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</row>
    <row r="1715" spans="1:20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</row>
    <row r="1716" spans="1:20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5"/>
  <dimension ref="A1:E11"/>
  <sheetViews>
    <sheetView workbookViewId="0">
      <selection activeCell="E8" sqref="E8"/>
    </sheetView>
  </sheetViews>
  <sheetFormatPr defaultColWidth="8.75" defaultRowHeight="15.75" x14ac:dyDescent="0.25"/>
  <cols>
    <col min="2" max="2" width="18.875" customWidth="1"/>
    <col min="3" max="3" width="20.125" customWidth="1"/>
    <col min="4" max="4" width="17.625" style="48" customWidth="1"/>
    <col min="5" max="5" width="20.875" bestFit="1" customWidth="1"/>
  </cols>
  <sheetData>
    <row r="1" spans="1:5" x14ac:dyDescent="0.25">
      <c r="A1" t="s">
        <v>90</v>
      </c>
      <c r="B1" t="s">
        <v>165</v>
      </c>
      <c r="C1" t="s">
        <v>1</v>
      </c>
      <c r="D1" s="48" t="s">
        <v>91</v>
      </c>
      <c r="E1" t="s">
        <v>166</v>
      </c>
    </row>
    <row r="2" spans="1:5" x14ac:dyDescent="0.25">
      <c r="A2">
        <v>1234</v>
      </c>
      <c r="B2" t="s">
        <v>7</v>
      </c>
      <c r="C2" t="s">
        <v>92</v>
      </c>
      <c r="D2" s="48">
        <v>11987654321</v>
      </c>
      <c r="E2" t="s">
        <v>175</v>
      </c>
    </row>
    <row r="3" spans="1:5" x14ac:dyDescent="0.25">
      <c r="A3">
        <v>1235</v>
      </c>
      <c r="B3" t="s">
        <v>11</v>
      </c>
      <c r="C3" t="s">
        <v>93</v>
      </c>
      <c r="D3" s="48">
        <v>11987654322</v>
      </c>
      <c r="E3" t="s">
        <v>175</v>
      </c>
    </row>
    <row r="4" spans="1:5" x14ac:dyDescent="0.25">
      <c r="A4">
        <v>1236</v>
      </c>
      <c r="B4" t="s">
        <v>14</v>
      </c>
      <c r="C4" t="s">
        <v>94</v>
      </c>
      <c r="D4" s="48">
        <v>11987654323</v>
      </c>
      <c r="E4" t="s">
        <v>175</v>
      </c>
    </row>
    <row r="5" spans="1:5" x14ac:dyDescent="0.25">
      <c r="A5">
        <v>1237</v>
      </c>
      <c r="B5" t="s">
        <v>17</v>
      </c>
      <c r="C5" t="s">
        <v>95</v>
      </c>
      <c r="D5" s="48">
        <v>11987654324</v>
      </c>
      <c r="E5" t="s">
        <v>176</v>
      </c>
    </row>
    <row r="6" spans="1:5" x14ac:dyDescent="0.25">
      <c r="A6">
        <v>1238</v>
      </c>
      <c r="B6" t="s">
        <v>19</v>
      </c>
      <c r="C6" t="s">
        <v>96</v>
      </c>
      <c r="D6" s="48">
        <v>11987654325</v>
      </c>
      <c r="E6" t="s">
        <v>176</v>
      </c>
    </row>
    <row r="7" spans="1:5" x14ac:dyDescent="0.25">
      <c r="A7">
        <v>1239</v>
      </c>
      <c r="B7" t="s">
        <v>22</v>
      </c>
      <c r="C7" t="s">
        <v>97</v>
      </c>
      <c r="D7" s="48">
        <v>11987654326</v>
      </c>
      <c r="E7" t="s">
        <v>176</v>
      </c>
    </row>
    <row r="8" spans="1:5" x14ac:dyDescent="0.25">
      <c r="A8">
        <v>1240</v>
      </c>
      <c r="B8" t="s">
        <v>29</v>
      </c>
      <c r="C8" t="s">
        <v>98</v>
      </c>
      <c r="D8" s="48">
        <v>11987654327</v>
      </c>
      <c r="E8" t="s">
        <v>177</v>
      </c>
    </row>
    <row r="9" spans="1:5" x14ac:dyDescent="0.25">
      <c r="A9">
        <v>1241</v>
      </c>
      <c r="B9" t="s">
        <v>39</v>
      </c>
      <c r="C9" t="s">
        <v>99</v>
      </c>
      <c r="D9" s="48">
        <v>11987654328</v>
      </c>
      <c r="E9" t="s">
        <v>177</v>
      </c>
    </row>
    <row r="10" spans="1:5" x14ac:dyDescent="0.25">
      <c r="A10">
        <v>1242</v>
      </c>
      <c r="B10" t="s">
        <v>45</v>
      </c>
      <c r="C10" t="s">
        <v>100</v>
      </c>
      <c r="D10" s="48">
        <v>11987654329</v>
      </c>
      <c r="E10" t="s">
        <v>177</v>
      </c>
    </row>
    <row r="11" spans="1:5" x14ac:dyDescent="0.25">
      <c r="A11" t="s">
        <v>163</v>
      </c>
      <c r="E11">
        <f>SUBTOTAL(103,Tab_Vendedores[Gestor])</f>
        <v>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6"/>
  <dimension ref="A1:J18"/>
  <sheetViews>
    <sheetView zoomScale="85" zoomScaleNormal="85" workbookViewId="0">
      <selection activeCell="D2" sqref="D2"/>
    </sheetView>
  </sheetViews>
  <sheetFormatPr defaultRowHeight="15.75" x14ac:dyDescent="0.25"/>
  <cols>
    <col min="1" max="1" width="13.5" customWidth="1"/>
    <col min="2" max="2" width="14.25" bestFit="1" customWidth="1"/>
    <col min="3" max="3" width="15.75" bestFit="1" customWidth="1"/>
    <col min="4" max="4" width="16.875" customWidth="1"/>
    <col min="5" max="5" width="23.25" customWidth="1"/>
    <col min="6" max="6" width="32.25" bestFit="1" customWidth="1"/>
    <col min="7" max="7" width="14.375" customWidth="1"/>
    <col min="8" max="8" width="20.875" bestFit="1" customWidth="1"/>
    <col min="9" max="9" width="10.5" bestFit="1" customWidth="1"/>
  </cols>
  <sheetData>
    <row r="1" spans="1:10" x14ac:dyDescent="0.25">
      <c r="A1" t="s">
        <v>3</v>
      </c>
      <c r="B1" t="s">
        <v>91</v>
      </c>
      <c r="C1" t="s">
        <v>9</v>
      </c>
      <c r="D1" t="s">
        <v>23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</row>
    <row r="2" spans="1:10" x14ac:dyDescent="0.25">
      <c r="A2" t="s">
        <v>190</v>
      </c>
      <c r="B2" s="48">
        <v>11987654321</v>
      </c>
      <c r="C2">
        <v>23456789010</v>
      </c>
      <c r="D2" s="3">
        <v>12345678000190</v>
      </c>
      <c r="E2" s="4" t="s">
        <v>178</v>
      </c>
      <c r="F2" t="s">
        <v>107</v>
      </c>
      <c r="H2" t="s">
        <v>13</v>
      </c>
      <c r="I2" t="s">
        <v>108</v>
      </c>
      <c r="J2" t="s">
        <v>109</v>
      </c>
    </row>
    <row r="3" spans="1:10" x14ac:dyDescent="0.25">
      <c r="A3" t="s">
        <v>12</v>
      </c>
      <c r="B3" s="48">
        <v>11987654322</v>
      </c>
      <c r="C3">
        <v>23456789011</v>
      </c>
      <c r="D3" s="3">
        <v>12345678000191</v>
      </c>
      <c r="E3" s="4" t="s">
        <v>110</v>
      </c>
      <c r="F3" t="s">
        <v>111</v>
      </c>
      <c r="H3" t="s">
        <v>10</v>
      </c>
      <c r="I3" t="s">
        <v>112</v>
      </c>
      <c r="J3" t="s">
        <v>113</v>
      </c>
    </row>
    <row r="4" spans="1:10" x14ac:dyDescent="0.25">
      <c r="A4" t="s">
        <v>16</v>
      </c>
      <c r="B4" s="48">
        <v>11987654323</v>
      </c>
      <c r="C4">
        <v>23456789012</v>
      </c>
      <c r="D4" s="3">
        <v>12345678000192</v>
      </c>
      <c r="E4" s="4" t="s">
        <v>114</v>
      </c>
      <c r="F4" t="s">
        <v>115</v>
      </c>
      <c r="H4" t="s">
        <v>13</v>
      </c>
      <c r="I4" t="s">
        <v>116</v>
      </c>
      <c r="J4" t="s">
        <v>109</v>
      </c>
    </row>
    <row r="5" spans="1:10" x14ac:dyDescent="0.25">
      <c r="A5" t="s">
        <v>18</v>
      </c>
      <c r="B5" s="48">
        <v>11987654324</v>
      </c>
      <c r="C5">
        <v>23456789013</v>
      </c>
      <c r="D5" s="3">
        <v>12345678000193</v>
      </c>
      <c r="E5" s="4" t="s">
        <v>117</v>
      </c>
      <c r="F5" t="s">
        <v>118</v>
      </c>
      <c r="G5" t="s">
        <v>119</v>
      </c>
      <c r="H5" t="s">
        <v>10</v>
      </c>
      <c r="I5" t="s">
        <v>120</v>
      </c>
      <c r="J5" t="s">
        <v>113</v>
      </c>
    </row>
    <row r="6" spans="1:10" x14ac:dyDescent="0.25">
      <c r="A6" t="s">
        <v>21</v>
      </c>
      <c r="B6" s="48">
        <v>11987654325</v>
      </c>
      <c r="C6">
        <v>23456789014</v>
      </c>
      <c r="D6" s="3">
        <v>12345678000194</v>
      </c>
      <c r="E6" s="4" t="s">
        <v>121</v>
      </c>
      <c r="F6" t="s">
        <v>122</v>
      </c>
      <c r="H6" t="s">
        <v>10</v>
      </c>
      <c r="I6" t="s">
        <v>123</v>
      </c>
      <c r="J6" t="s">
        <v>113</v>
      </c>
    </row>
    <row r="7" spans="1:10" x14ac:dyDescent="0.25">
      <c r="A7" t="s">
        <v>24</v>
      </c>
      <c r="B7" s="48">
        <v>11987654326</v>
      </c>
      <c r="C7">
        <v>23456789015</v>
      </c>
      <c r="D7" s="3">
        <v>12345678000195</v>
      </c>
      <c r="E7" s="4" t="s">
        <v>124</v>
      </c>
      <c r="F7" t="s">
        <v>125</v>
      </c>
      <c r="H7" t="s">
        <v>10</v>
      </c>
      <c r="I7" t="s">
        <v>126</v>
      </c>
      <c r="J7" t="s">
        <v>113</v>
      </c>
    </row>
    <row r="8" spans="1:10" x14ac:dyDescent="0.25">
      <c r="A8" t="s">
        <v>26</v>
      </c>
      <c r="B8" s="48">
        <v>11987654327</v>
      </c>
      <c r="C8">
        <v>23456789016</v>
      </c>
      <c r="D8" s="3">
        <v>12345678000196</v>
      </c>
      <c r="E8" s="4" t="s">
        <v>127</v>
      </c>
      <c r="F8" t="s">
        <v>128</v>
      </c>
      <c r="H8" t="s">
        <v>10</v>
      </c>
      <c r="I8" t="s">
        <v>129</v>
      </c>
      <c r="J8" t="s">
        <v>113</v>
      </c>
    </row>
    <row r="9" spans="1:10" x14ac:dyDescent="0.25">
      <c r="A9" t="s">
        <v>28</v>
      </c>
      <c r="B9" s="48">
        <v>11987654328</v>
      </c>
      <c r="C9">
        <v>23456789017</v>
      </c>
      <c r="D9" s="3">
        <v>12345678000197</v>
      </c>
      <c r="E9" s="4" t="s">
        <v>130</v>
      </c>
      <c r="F9" t="s">
        <v>131</v>
      </c>
      <c r="H9" t="s">
        <v>13</v>
      </c>
      <c r="I9" t="s">
        <v>132</v>
      </c>
      <c r="J9" t="s">
        <v>109</v>
      </c>
    </row>
    <row r="10" spans="1:10" x14ac:dyDescent="0.25">
      <c r="A10" t="s">
        <v>31</v>
      </c>
      <c r="B10" s="48">
        <v>11987654329</v>
      </c>
      <c r="C10">
        <v>23456789018</v>
      </c>
      <c r="D10" s="3">
        <v>12345678000198</v>
      </c>
      <c r="E10" s="4" t="s">
        <v>133</v>
      </c>
      <c r="F10" t="s">
        <v>134</v>
      </c>
      <c r="G10" t="s">
        <v>135</v>
      </c>
      <c r="H10" t="s">
        <v>10</v>
      </c>
      <c r="I10" t="s">
        <v>136</v>
      </c>
      <c r="J10" t="s">
        <v>113</v>
      </c>
    </row>
    <row r="11" spans="1:10" x14ac:dyDescent="0.25">
      <c r="A11" t="s">
        <v>22</v>
      </c>
      <c r="B11" s="48">
        <v>11987654330</v>
      </c>
      <c r="C11">
        <v>23456789019</v>
      </c>
      <c r="D11" s="3">
        <v>12345678000199</v>
      </c>
      <c r="E11" s="4" t="s">
        <v>137</v>
      </c>
      <c r="F11" t="s">
        <v>138</v>
      </c>
      <c r="H11" t="s">
        <v>13</v>
      </c>
      <c r="I11" t="s">
        <v>139</v>
      </c>
      <c r="J11" t="s">
        <v>109</v>
      </c>
    </row>
    <row r="12" spans="1:10" x14ac:dyDescent="0.25">
      <c r="A12" t="s">
        <v>33</v>
      </c>
      <c r="B12" s="48">
        <v>11987654331</v>
      </c>
      <c r="C12">
        <v>23456789020</v>
      </c>
      <c r="D12" s="3">
        <v>12345678000200</v>
      </c>
      <c r="E12" s="4" t="s">
        <v>140</v>
      </c>
      <c r="F12" t="s">
        <v>141</v>
      </c>
      <c r="H12" t="s">
        <v>10</v>
      </c>
      <c r="I12" t="s">
        <v>142</v>
      </c>
      <c r="J12" t="s">
        <v>113</v>
      </c>
    </row>
    <row r="13" spans="1:10" x14ac:dyDescent="0.25">
      <c r="A13" t="s">
        <v>35</v>
      </c>
      <c r="B13" s="48">
        <v>11987654332</v>
      </c>
      <c r="C13">
        <v>23456789021</v>
      </c>
      <c r="D13" s="3">
        <v>12345678000201</v>
      </c>
      <c r="E13" s="4" t="s">
        <v>143</v>
      </c>
      <c r="F13" t="s">
        <v>144</v>
      </c>
      <c r="H13" t="s">
        <v>13</v>
      </c>
      <c r="I13" t="s">
        <v>145</v>
      </c>
      <c r="J13" t="s">
        <v>109</v>
      </c>
    </row>
    <row r="14" spans="1:10" x14ac:dyDescent="0.25">
      <c r="A14" t="s">
        <v>37</v>
      </c>
      <c r="B14" s="48">
        <v>11987654333</v>
      </c>
      <c r="C14">
        <v>23456789022</v>
      </c>
      <c r="D14" s="3">
        <v>12345678000202</v>
      </c>
      <c r="E14" s="4" t="s">
        <v>146</v>
      </c>
      <c r="F14" t="s">
        <v>147</v>
      </c>
      <c r="G14" t="s">
        <v>148</v>
      </c>
      <c r="H14" t="s">
        <v>149</v>
      </c>
      <c r="I14" t="s">
        <v>150</v>
      </c>
      <c r="J14" t="s">
        <v>113</v>
      </c>
    </row>
    <row r="15" spans="1:10" x14ac:dyDescent="0.25">
      <c r="A15" t="s">
        <v>38</v>
      </c>
      <c r="B15" s="48">
        <v>11987654334</v>
      </c>
      <c r="C15">
        <v>23456789023</v>
      </c>
      <c r="D15" s="3">
        <v>12345678000203</v>
      </c>
      <c r="E15" s="4" t="s">
        <v>151</v>
      </c>
      <c r="F15" t="s">
        <v>152</v>
      </c>
      <c r="H15" t="s">
        <v>153</v>
      </c>
      <c r="I15" t="s">
        <v>154</v>
      </c>
      <c r="J15" t="s">
        <v>113</v>
      </c>
    </row>
    <row r="16" spans="1:10" x14ac:dyDescent="0.25">
      <c r="A16" t="s">
        <v>41</v>
      </c>
      <c r="B16" s="48">
        <v>11987654335</v>
      </c>
      <c r="C16">
        <v>23456789024</v>
      </c>
      <c r="D16" s="3">
        <v>12345678000204</v>
      </c>
      <c r="E16" s="4" t="s">
        <v>155</v>
      </c>
      <c r="F16" t="s">
        <v>156</v>
      </c>
      <c r="H16" t="s">
        <v>149</v>
      </c>
      <c r="I16" t="s">
        <v>157</v>
      </c>
      <c r="J16" t="s">
        <v>113</v>
      </c>
    </row>
    <row r="17" spans="1:10" x14ac:dyDescent="0.25">
      <c r="A17" t="s">
        <v>44</v>
      </c>
      <c r="B17" s="48">
        <v>11987654336</v>
      </c>
      <c r="C17">
        <v>23456789025</v>
      </c>
      <c r="D17" s="3">
        <v>12345678000205</v>
      </c>
      <c r="E17" s="4" t="s">
        <v>158</v>
      </c>
      <c r="F17" t="s">
        <v>159</v>
      </c>
      <c r="H17" t="s">
        <v>153</v>
      </c>
      <c r="I17" t="s">
        <v>160</v>
      </c>
      <c r="J17" t="s">
        <v>113</v>
      </c>
    </row>
    <row r="18" spans="1:10" x14ac:dyDescent="0.25">
      <c r="A18" t="s">
        <v>163</v>
      </c>
      <c r="E18" s="4"/>
      <c r="J18">
        <f>SUBTOTAL(103,Tab_Instrutores[Estado])</f>
        <v>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7"/>
  <dimension ref="A1:E58"/>
  <sheetViews>
    <sheetView workbookViewId="0">
      <selection activeCell="E5" sqref="E5"/>
    </sheetView>
  </sheetViews>
  <sheetFormatPr defaultRowHeight="15.75" x14ac:dyDescent="0.25"/>
  <cols>
    <col min="1" max="1" width="22.125" bestFit="1" customWidth="1"/>
    <col min="2" max="2" width="14.125" customWidth="1"/>
    <col min="3" max="3" width="12.625" style="1" customWidth="1"/>
    <col min="4" max="4" width="15.875" style="1" customWidth="1"/>
  </cols>
  <sheetData>
    <row r="1" spans="1:5" x14ac:dyDescent="0.25">
      <c r="A1" s="5" t="s">
        <v>2</v>
      </c>
      <c r="B1" s="5" t="s">
        <v>167</v>
      </c>
      <c r="C1" s="6" t="s">
        <v>161</v>
      </c>
      <c r="D1" s="6" t="s">
        <v>162</v>
      </c>
      <c r="E1" t="s">
        <v>179</v>
      </c>
    </row>
    <row r="2" spans="1:5" x14ac:dyDescent="0.25">
      <c r="A2" s="5" t="s">
        <v>79</v>
      </c>
      <c r="B2" s="5" t="s">
        <v>168</v>
      </c>
      <c r="C2" s="65">
        <v>48</v>
      </c>
      <c r="D2" s="7">
        <v>0.83333333333333304</v>
      </c>
      <c r="E2" t="s">
        <v>179</v>
      </c>
    </row>
    <row r="3" spans="1:5" x14ac:dyDescent="0.25">
      <c r="A3" s="5" t="s">
        <v>74</v>
      </c>
      <c r="B3" s="5" t="s">
        <v>168</v>
      </c>
      <c r="C3" s="65">
        <v>47</v>
      </c>
      <c r="D3" s="7">
        <v>0.83333333333333304</v>
      </c>
      <c r="E3" t="s">
        <v>179</v>
      </c>
    </row>
    <row r="4" spans="1:5" x14ac:dyDescent="0.25">
      <c r="A4" s="5" t="s">
        <v>61</v>
      </c>
      <c r="B4" s="5" t="s">
        <v>168</v>
      </c>
      <c r="C4" s="65">
        <v>46</v>
      </c>
      <c r="D4" s="7">
        <v>0.83333333333333304</v>
      </c>
      <c r="E4" t="s">
        <v>179</v>
      </c>
    </row>
    <row r="5" spans="1:5" x14ac:dyDescent="0.25">
      <c r="A5" s="5" t="s">
        <v>25</v>
      </c>
      <c r="B5" s="5" t="s">
        <v>168</v>
      </c>
      <c r="C5" s="65">
        <v>45</v>
      </c>
      <c r="D5" s="7">
        <v>0.83333333333333304</v>
      </c>
      <c r="E5" t="s">
        <v>180</v>
      </c>
    </row>
    <row r="6" spans="1:5" x14ac:dyDescent="0.25">
      <c r="A6" s="5" t="s">
        <v>89</v>
      </c>
      <c r="B6" s="5" t="s">
        <v>169</v>
      </c>
      <c r="C6" s="65">
        <v>62</v>
      </c>
      <c r="D6" s="7">
        <v>0.83333333333333304</v>
      </c>
      <c r="E6" t="s">
        <v>179</v>
      </c>
    </row>
    <row r="7" spans="1:5" x14ac:dyDescent="0.25">
      <c r="A7" s="5" t="s">
        <v>73</v>
      </c>
      <c r="B7" s="5" t="s">
        <v>169</v>
      </c>
      <c r="C7" s="65">
        <v>61</v>
      </c>
      <c r="D7" s="7">
        <v>0.83333333333333304</v>
      </c>
      <c r="E7" t="s">
        <v>179</v>
      </c>
    </row>
    <row r="8" spans="1:5" x14ac:dyDescent="0.25">
      <c r="A8" s="5" t="s">
        <v>53</v>
      </c>
      <c r="B8" s="5" t="s">
        <v>169</v>
      </c>
      <c r="C8" s="65">
        <v>60</v>
      </c>
      <c r="D8" s="7">
        <v>0.83333333333333304</v>
      </c>
      <c r="E8" t="s">
        <v>179</v>
      </c>
    </row>
    <row r="9" spans="1:5" x14ac:dyDescent="0.25">
      <c r="A9" s="5" t="s">
        <v>47</v>
      </c>
      <c r="B9" s="5" t="s">
        <v>169</v>
      </c>
      <c r="C9" s="65">
        <v>59</v>
      </c>
      <c r="D9" s="7">
        <v>0.83333333333333304</v>
      </c>
      <c r="E9" t="s">
        <v>180</v>
      </c>
    </row>
    <row r="10" spans="1:5" x14ac:dyDescent="0.25">
      <c r="A10" s="5" t="s">
        <v>86</v>
      </c>
      <c r="B10" s="5" t="s">
        <v>169</v>
      </c>
      <c r="C10" s="65">
        <v>48</v>
      </c>
      <c r="D10" s="7">
        <v>0.83333333333333304</v>
      </c>
      <c r="E10" t="s">
        <v>179</v>
      </c>
    </row>
    <row r="11" spans="1:5" x14ac:dyDescent="0.25">
      <c r="A11" s="5" t="s">
        <v>66</v>
      </c>
      <c r="B11" s="5" t="s">
        <v>169</v>
      </c>
      <c r="C11" s="65">
        <v>47</v>
      </c>
      <c r="D11" s="7">
        <v>0.83333333333333304</v>
      </c>
      <c r="E11" t="s">
        <v>179</v>
      </c>
    </row>
    <row r="12" spans="1:5" x14ac:dyDescent="0.25">
      <c r="A12" s="5" t="s">
        <v>57</v>
      </c>
      <c r="B12" s="5" t="s">
        <v>169</v>
      </c>
      <c r="C12" s="65">
        <v>46</v>
      </c>
      <c r="D12" s="7">
        <v>0.83333333333333304</v>
      </c>
      <c r="E12" t="s">
        <v>179</v>
      </c>
    </row>
    <row r="13" spans="1:5" x14ac:dyDescent="0.25">
      <c r="A13" s="5" t="s">
        <v>42</v>
      </c>
      <c r="B13" s="5" t="s">
        <v>169</v>
      </c>
      <c r="C13" s="65">
        <v>45</v>
      </c>
      <c r="D13" s="7">
        <v>0.83333333333333304</v>
      </c>
      <c r="E13" t="s">
        <v>180</v>
      </c>
    </row>
    <row r="14" spans="1:5" x14ac:dyDescent="0.25">
      <c r="A14" s="5" t="s">
        <v>85</v>
      </c>
      <c r="B14" s="5" t="s">
        <v>170</v>
      </c>
      <c r="C14" s="65">
        <v>48</v>
      </c>
      <c r="D14" s="7">
        <v>0.83333333333333304</v>
      </c>
      <c r="E14" t="s">
        <v>179</v>
      </c>
    </row>
    <row r="15" spans="1:5" x14ac:dyDescent="0.25">
      <c r="A15" s="5" t="s">
        <v>67</v>
      </c>
      <c r="B15" s="5" t="s">
        <v>170</v>
      </c>
      <c r="C15" s="65">
        <v>47</v>
      </c>
      <c r="D15" s="7">
        <v>0.83333333333333304</v>
      </c>
      <c r="E15" t="s">
        <v>179</v>
      </c>
    </row>
    <row r="16" spans="1:5" x14ac:dyDescent="0.25">
      <c r="A16" s="5" t="s">
        <v>56</v>
      </c>
      <c r="B16" s="5" t="s">
        <v>170</v>
      </c>
      <c r="C16" s="65">
        <v>46</v>
      </c>
      <c r="D16" s="7">
        <v>0.83333333333333304</v>
      </c>
      <c r="E16" t="s">
        <v>179</v>
      </c>
    </row>
    <row r="17" spans="1:5" x14ac:dyDescent="0.25">
      <c r="A17" s="5" t="s">
        <v>40</v>
      </c>
      <c r="B17" s="5" t="s">
        <v>170</v>
      </c>
      <c r="C17" s="65">
        <v>45</v>
      </c>
      <c r="D17" s="7">
        <v>0.83333333333333304</v>
      </c>
      <c r="E17" t="s">
        <v>180</v>
      </c>
    </row>
    <row r="18" spans="1:5" x14ac:dyDescent="0.25">
      <c r="A18" s="5" t="s">
        <v>88</v>
      </c>
      <c r="B18" s="5" t="s">
        <v>170</v>
      </c>
      <c r="C18" s="65">
        <v>42</v>
      </c>
      <c r="D18" s="7">
        <v>0.83333333333333337</v>
      </c>
      <c r="E18" t="s">
        <v>179</v>
      </c>
    </row>
    <row r="19" spans="1:5" x14ac:dyDescent="0.25">
      <c r="A19" s="5" t="s">
        <v>71</v>
      </c>
      <c r="B19" s="5" t="s">
        <v>170</v>
      </c>
      <c r="C19" s="65">
        <v>41</v>
      </c>
      <c r="D19" s="7">
        <v>0.83333333333333337</v>
      </c>
      <c r="E19" t="s">
        <v>179</v>
      </c>
    </row>
    <row r="20" spans="1:5" x14ac:dyDescent="0.25">
      <c r="A20" s="5" t="s">
        <v>58</v>
      </c>
      <c r="B20" s="5" t="s">
        <v>170</v>
      </c>
      <c r="C20" s="65">
        <v>40</v>
      </c>
      <c r="D20" s="7">
        <v>0.83333333333333337</v>
      </c>
      <c r="E20" t="s">
        <v>179</v>
      </c>
    </row>
    <row r="21" spans="1:5" x14ac:dyDescent="0.25">
      <c r="A21" s="5" t="s">
        <v>46</v>
      </c>
      <c r="B21" s="5" t="s">
        <v>170</v>
      </c>
      <c r="C21" s="65">
        <v>39</v>
      </c>
      <c r="D21" s="7">
        <v>0.83333333333333337</v>
      </c>
      <c r="E21" t="s">
        <v>180</v>
      </c>
    </row>
    <row r="22" spans="1:5" x14ac:dyDescent="0.25">
      <c r="A22" s="5" t="s">
        <v>87</v>
      </c>
      <c r="B22" s="5" t="s">
        <v>171</v>
      </c>
      <c r="C22" s="65">
        <v>58</v>
      </c>
      <c r="D22" s="7">
        <v>1</v>
      </c>
      <c r="E22" t="s">
        <v>179</v>
      </c>
    </row>
    <row r="23" spans="1:5" x14ac:dyDescent="0.25">
      <c r="A23" s="5" t="s">
        <v>69</v>
      </c>
      <c r="B23" s="5" t="s">
        <v>171</v>
      </c>
      <c r="C23" s="65">
        <v>57</v>
      </c>
      <c r="D23" s="7">
        <v>1</v>
      </c>
      <c r="E23" t="s">
        <v>179</v>
      </c>
    </row>
    <row r="24" spans="1:5" x14ac:dyDescent="0.25">
      <c r="A24" s="5" t="s">
        <v>50</v>
      </c>
      <c r="B24" s="5" t="s">
        <v>171</v>
      </c>
      <c r="C24" s="65">
        <v>56</v>
      </c>
      <c r="D24" s="7">
        <v>1</v>
      </c>
      <c r="E24" t="s">
        <v>179</v>
      </c>
    </row>
    <row r="25" spans="1:5" x14ac:dyDescent="0.25">
      <c r="A25" s="5" t="s">
        <v>43</v>
      </c>
      <c r="B25" s="5" t="s">
        <v>171</v>
      </c>
      <c r="C25" s="65">
        <v>55</v>
      </c>
      <c r="D25" s="7">
        <v>1</v>
      </c>
      <c r="E25" t="s">
        <v>180</v>
      </c>
    </row>
    <row r="26" spans="1:5" x14ac:dyDescent="0.25">
      <c r="A26" s="5" t="s">
        <v>78</v>
      </c>
      <c r="B26" s="5" t="s">
        <v>172</v>
      </c>
      <c r="C26" s="65">
        <v>62</v>
      </c>
      <c r="D26" s="7">
        <v>1.6666666666666667</v>
      </c>
      <c r="E26" t="s">
        <v>179</v>
      </c>
    </row>
    <row r="27" spans="1:5" x14ac:dyDescent="0.25">
      <c r="A27" s="5" t="s">
        <v>62</v>
      </c>
      <c r="B27" s="5" t="s">
        <v>172</v>
      </c>
      <c r="C27" s="65">
        <v>61</v>
      </c>
      <c r="D27" s="7">
        <v>1.6666666666666667</v>
      </c>
      <c r="E27" t="s">
        <v>179</v>
      </c>
    </row>
    <row r="28" spans="1:5" x14ac:dyDescent="0.25">
      <c r="A28" s="5" t="s">
        <v>54</v>
      </c>
      <c r="B28" s="5" t="s">
        <v>172</v>
      </c>
      <c r="C28" s="65">
        <v>60</v>
      </c>
      <c r="D28" s="7">
        <v>1.6666666666666667</v>
      </c>
      <c r="E28" t="s">
        <v>179</v>
      </c>
    </row>
    <row r="29" spans="1:5" x14ac:dyDescent="0.25">
      <c r="A29" s="5" t="s">
        <v>20</v>
      </c>
      <c r="B29" s="5" t="s">
        <v>172</v>
      </c>
      <c r="C29" s="65">
        <v>59</v>
      </c>
      <c r="D29" s="7">
        <v>1.6666666666666667</v>
      </c>
      <c r="E29" t="s">
        <v>180</v>
      </c>
    </row>
    <row r="30" spans="1:5" x14ac:dyDescent="0.25">
      <c r="A30" s="5" t="s">
        <v>82</v>
      </c>
      <c r="B30" s="5" t="s">
        <v>172</v>
      </c>
      <c r="C30" s="65">
        <v>75</v>
      </c>
      <c r="D30" s="7">
        <v>1.6666666666666667</v>
      </c>
      <c r="E30" t="s">
        <v>179</v>
      </c>
    </row>
    <row r="31" spans="1:5" x14ac:dyDescent="0.25">
      <c r="A31" s="5" t="s">
        <v>64</v>
      </c>
      <c r="B31" s="5" t="s">
        <v>172</v>
      </c>
      <c r="C31" s="65">
        <v>73</v>
      </c>
      <c r="D31" s="7">
        <v>1.6666666666666667</v>
      </c>
      <c r="E31" t="s">
        <v>179</v>
      </c>
    </row>
    <row r="32" spans="1:5" x14ac:dyDescent="0.25">
      <c r="A32" s="5" t="s">
        <v>59</v>
      </c>
      <c r="B32" s="5" t="s">
        <v>172</v>
      </c>
      <c r="C32" s="65">
        <v>71</v>
      </c>
      <c r="D32" s="7">
        <v>1.6666666666666667</v>
      </c>
      <c r="E32" t="s">
        <v>179</v>
      </c>
    </row>
    <row r="33" spans="1:5" x14ac:dyDescent="0.25">
      <c r="A33" s="5" t="s">
        <v>32</v>
      </c>
      <c r="B33" s="5" t="s">
        <v>172</v>
      </c>
      <c r="C33" s="65">
        <v>69</v>
      </c>
      <c r="D33" s="7">
        <v>1.6666666666666667</v>
      </c>
      <c r="E33" t="s">
        <v>180</v>
      </c>
    </row>
    <row r="34" spans="1:5" x14ac:dyDescent="0.25">
      <c r="A34" s="5" t="s">
        <v>84</v>
      </c>
      <c r="B34" s="5" t="s">
        <v>172</v>
      </c>
      <c r="C34" s="65">
        <v>52</v>
      </c>
      <c r="D34" s="7">
        <v>1</v>
      </c>
      <c r="E34" t="s">
        <v>179</v>
      </c>
    </row>
    <row r="35" spans="1:5" x14ac:dyDescent="0.25">
      <c r="A35" s="5" t="s">
        <v>63</v>
      </c>
      <c r="B35" s="5" t="s">
        <v>172</v>
      </c>
      <c r="C35" s="65">
        <v>51</v>
      </c>
      <c r="D35" s="7">
        <v>1</v>
      </c>
      <c r="E35" t="s">
        <v>179</v>
      </c>
    </row>
    <row r="36" spans="1:5" x14ac:dyDescent="0.25">
      <c r="A36" s="5" t="s">
        <v>52</v>
      </c>
      <c r="B36" s="5" t="s">
        <v>172</v>
      </c>
      <c r="C36" s="65">
        <v>50</v>
      </c>
      <c r="D36" s="7">
        <v>1</v>
      </c>
      <c r="E36" t="s">
        <v>179</v>
      </c>
    </row>
    <row r="37" spans="1:5" x14ac:dyDescent="0.25">
      <c r="A37" s="5" t="s">
        <v>36</v>
      </c>
      <c r="B37" s="5" t="s">
        <v>172</v>
      </c>
      <c r="C37" s="65">
        <v>49</v>
      </c>
      <c r="D37" s="7">
        <v>1</v>
      </c>
      <c r="E37" t="s">
        <v>180</v>
      </c>
    </row>
    <row r="38" spans="1:5" x14ac:dyDescent="0.25">
      <c r="A38" s="5" t="s">
        <v>77</v>
      </c>
      <c r="B38" s="5" t="s">
        <v>172</v>
      </c>
      <c r="C38" s="65">
        <v>35</v>
      </c>
      <c r="D38" s="7">
        <v>0.33333333333333331</v>
      </c>
      <c r="E38" t="s">
        <v>179</v>
      </c>
    </row>
    <row r="39" spans="1:5" x14ac:dyDescent="0.25">
      <c r="A39" s="5" t="s">
        <v>72</v>
      </c>
      <c r="B39" s="5" t="s">
        <v>172</v>
      </c>
      <c r="C39" s="65">
        <v>33</v>
      </c>
      <c r="D39" s="7">
        <v>0.33333333333333331</v>
      </c>
      <c r="E39" t="s">
        <v>179</v>
      </c>
    </row>
    <row r="40" spans="1:5" x14ac:dyDescent="0.25">
      <c r="A40" s="5" t="s">
        <v>51</v>
      </c>
      <c r="B40" s="5" t="s">
        <v>172</v>
      </c>
      <c r="C40" s="65">
        <v>31</v>
      </c>
      <c r="D40" s="7">
        <v>0.33333333333333331</v>
      </c>
      <c r="E40" t="s">
        <v>179</v>
      </c>
    </row>
    <row r="41" spans="1:5" x14ac:dyDescent="0.25">
      <c r="A41" s="5" t="s">
        <v>15</v>
      </c>
      <c r="B41" s="5" t="s">
        <v>172</v>
      </c>
      <c r="C41" s="65">
        <v>29</v>
      </c>
      <c r="D41" s="7">
        <v>0.33333333333333331</v>
      </c>
      <c r="E41" t="s">
        <v>180</v>
      </c>
    </row>
    <row r="42" spans="1:5" x14ac:dyDescent="0.25">
      <c r="A42" s="5" t="s">
        <v>81</v>
      </c>
      <c r="B42" s="5" t="s">
        <v>172</v>
      </c>
      <c r="C42" s="65">
        <v>43</v>
      </c>
      <c r="D42" s="7">
        <v>1.6666666666666667</v>
      </c>
      <c r="E42" t="s">
        <v>179</v>
      </c>
    </row>
    <row r="43" spans="1:5" x14ac:dyDescent="0.25">
      <c r="A43" s="5" t="s">
        <v>68</v>
      </c>
      <c r="B43" s="5" t="s">
        <v>172</v>
      </c>
      <c r="C43" s="65">
        <v>42</v>
      </c>
      <c r="D43" s="7">
        <v>1.6666666666666667</v>
      </c>
      <c r="E43" t="s">
        <v>179</v>
      </c>
    </row>
    <row r="44" spans="1:5" x14ac:dyDescent="0.25">
      <c r="A44" s="5" t="s">
        <v>60</v>
      </c>
      <c r="B44" s="5" t="s">
        <v>172</v>
      </c>
      <c r="C44" s="65">
        <v>41</v>
      </c>
      <c r="D44" s="7">
        <v>1.6666666666666667</v>
      </c>
      <c r="E44" t="s">
        <v>179</v>
      </c>
    </row>
    <row r="45" spans="1:5" x14ac:dyDescent="0.25">
      <c r="A45" s="5" t="s">
        <v>30</v>
      </c>
      <c r="B45" s="5" t="s">
        <v>172</v>
      </c>
      <c r="C45" s="65">
        <v>40</v>
      </c>
      <c r="D45" s="7">
        <v>1.6666666666666667</v>
      </c>
      <c r="E45" t="s">
        <v>180</v>
      </c>
    </row>
    <row r="46" spans="1:5" x14ac:dyDescent="0.25">
      <c r="A46" s="5" t="s">
        <v>80</v>
      </c>
      <c r="B46" s="5" t="s">
        <v>173</v>
      </c>
      <c r="C46" s="65">
        <v>32</v>
      </c>
      <c r="D46" s="7">
        <v>0.33333333333333331</v>
      </c>
      <c r="E46" t="s">
        <v>179</v>
      </c>
    </row>
    <row r="47" spans="1:5" x14ac:dyDescent="0.25">
      <c r="A47" s="5" t="s">
        <v>65</v>
      </c>
      <c r="B47" s="5" t="s">
        <v>173</v>
      </c>
      <c r="C47" s="65">
        <v>31</v>
      </c>
      <c r="D47" s="7">
        <v>0.33333333333333331</v>
      </c>
      <c r="E47" t="s">
        <v>179</v>
      </c>
    </row>
    <row r="48" spans="1:5" x14ac:dyDescent="0.25">
      <c r="A48" s="5" t="s">
        <v>48</v>
      </c>
      <c r="B48" s="5" t="s">
        <v>173</v>
      </c>
      <c r="C48" s="65">
        <v>30</v>
      </c>
      <c r="D48" s="7">
        <v>0.33333333333333331</v>
      </c>
      <c r="E48" t="s">
        <v>179</v>
      </c>
    </row>
    <row r="49" spans="1:5" x14ac:dyDescent="0.25">
      <c r="A49" s="5" t="s">
        <v>27</v>
      </c>
      <c r="B49" s="5" t="s">
        <v>173</v>
      </c>
      <c r="C49" s="65">
        <v>29</v>
      </c>
      <c r="D49" s="7">
        <v>0.33333333333333331</v>
      </c>
      <c r="E49" t="s">
        <v>180</v>
      </c>
    </row>
    <row r="50" spans="1:5" x14ac:dyDescent="0.25">
      <c r="A50" s="5" t="s">
        <v>83</v>
      </c>
      <c r="B50" s="5" t="s">
        <v>174</v>
      </c>
      <c r="C50" s="65">
        <v>63</v>
      </c>
      <c r="D50" s="7">
        <v>1.6666666666666667</v>
      </c>
      <c r="E50" t="s">
        <v>179</v>
      </c>
    </row>
    <row r="51" spans="1:5" x14ac:dyDescent="0.25">
      <c r="A51" s="5" t="s">
        <v>70</v>
      </c>
      <c r="B51" s="5" t="s">
        <v>174</v>
      </c>
      <c r="C51" s="65">
        <v>62</v>
      </c>
      <c r="D51" s="7">
        <v>1.6666666666666667</v>
      </c>
      <c r="E51" t="s">
        <v>179</v>
      </c>
    </row>
    <row r="52" spans="1:5" x14ac:dyDescent="0.25">
      <c r="A52" s="5" t="s">
        <v>55</v>
      </c>
      <c r="B52" s="5" t="s">
        <v>174</v>
      </c>
      <c r="C52" s="65">
        <v>61</v>
      </c>
      <c r="D52" s="7">
        <v>1.6666666666666667</v>
      </c>
      <c r="E52" t="s">
        <v>179</v>
      </c>
    </row>
    <row r="53" spans="1:5" x14ac:dyDescent="0.25">
      <c r="A53" s="5" t="s">
        <v>34</v>
      </c>
      <c r="B53" s="5" t="s">
        <v>174</v>
      </c>
      <c r="C53" s="65">
        <v>60</v>
      </c>
      <c r="D53" s="7">
        <v>1.6666666666666667</v>
      </c>
      <c r="E53" t="s">
        <v>180</v>
      </c>
    </row>
    <row r="54" spans="1:5" x14ac:dyDescent="0.25">
      <c r="A54" s="5" t="s">
        <v>76</v>
      </c>
      <c r="B54" s="5" t="s">
        <v>174</v>
      </c>
      <c r="C54" s="65">
        <v>53</v>
      </c>
      <c r="D54" s="7">
        <v>1.6666666666666667</v>
      </c>
      <c r="E54" t="s">
        <v>179</v>
      </c>
    </row>
    <row r="55" spans="1:5" x14ac:dyDescent="0.25">
      <c r="A55" s="5" t="s">
        <v>75</v>
      </c>
      <c r="B55" s="5" t="s">
        <v>174</v>
      </c>
      <c r="C55" s="65">
        <v>52</v>
      </c>
      <c r="D55" s="7">
        <v>1.6666666666666667</v>
      </c>
      <c r="E55" t="s">
        <v>179</v>
      </c>
    </row>
    <row r="56" spans="1:5" x14ac:dyDescent="0.25">
      <c r="A56" s="5" t="s">
        <v>49</v>
      </c>
      <c r="B56" s="5" t="s">
        <v>174</v>
      </c>
      <c r="C56" s="65">
        <v>51</v>
      </c>
      <c r="D56" s="7">
        <v>1.6666666666666667</v>
      </c>
      <c r="E56" t="s">
        <v>179</v>
      </c>
    </row>
    <row r="57" spans="1:5" x14ac:dyDescent="0.25">
      <c r="A57" s="5" t="s">
        <v>8</v>
      </c>
      <c r="B57" s="5" t="s">
        <v>174</v>
      </c>
      <c r="C57" s="65">
        <v>50</v>
      </c>
      <c r="D57" s="7">
        <v>1.6666666666666667</v>
      </c>
      <c r="E57" t="s">
        <v>180</v>
      </c>
    </row>
    <row r="58" spans="1:5" x14ac:dyDescent="0.25">
      <c r="A58" t="s">
        <v>163</v>
      </c>
      <c r="C58"/>
      <c r="D58"/>
      <c r="E58">
        <f>SUBTOTAL(103,Tab_Cursos[Ativo])</f>
        <v>56</v>
      </c>
    </row>
  </sheetData>
  <sortState xmlns:xlrd2="http://schemas.microsoft.com/office/spreadsheetml/2017/richdata2" ref="A2:D57">
    <sortCondition descending="1" ref="A2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8">
    <pageSetUpPr fitToPage="1"/>
  </sheetPr>
  <dimension ref="A1:V29"/>
  <sheetViews>
    <sheetView showGridLines="0" zoomScale="85" zoomScaleNormal="85" workbookViewId="0">
      <selection activeCell="D27" sqref="D27"/>
    </sheetView>
  </sheetViews>
  <sheetFormatPr defaultColWidth="9" defaultRowHeight="15.75" x14ac:dyDescent="0.25"/>
  <cols>
    <col min="1" max="1" width="11.125" bestFit="1" customWidth="1"/>
    <col min="2" max="2" width="10.25" bestFit="1" customWidth="1"/>
    <col min="3" max="3" width="18.625" bestFit="1" customWidth="1"/>
    <col min="4" max="4" width="22.625" bestFit="1" customWidth="1"/>
    <col min="5" max="5" width="10.875" bestFit="1" customWidth="1"/>
    <col min="6" max="6" width="12.875" bestFit="1" customWidth="1"/>
    <col min="7" max="8" width="16" bestFit="1" customWidth="1"/>
    <col min="9" max="9" width="11.125" bestFit="1" customWidth="1"/>
    <col min="10" max="10" width="10.75" bestFit="1" customWidth="1"/>
    <col min="11" max="11" width="11.5" bestFit="1" customWidth="1"/>
    <col min="12" max="12" width="14.375" bestFit="1" customWidth="1"/>
    <col min="13" max="13" width="8.375" bestFit="1" customWidth="1"/>
    <col min="14" max="14" width="5" bestFit="1" customWidth="1"/>
    <col min="15" max="15" width="5.125" bestFit="1" customWidth="1"/>
    <col min="16" max="16" width="13.25" bestFit="1" customWidth="1"/>
    <col min="17" max="17" width="9.5" bestFit="1" customWidth="1"/>
    <col min="18" max="18" width="7.5" bestFit="1" customWidth="1"/>
    <col min="19" max="19" width="10" bestFit="1" customWidth="1"/>
    <col min="20" max="20" width="7.375" bestFit="1" customWidth="1"/>
    <col min="21" max="21" width="6.125" bestFit="1" customWidth="1"/>
    <col min="22" max="22" width="6" bestFit="1" customWidth="1"/>
  </cols>
  <sheetData>
    <row r="1" spans="1:9" ht="18.75" x14ac:dyDescent="0.3">
      <c r="A1" s="10"/>
      <c r="B1" s="10"/>
      <c r="C1" s="10"/>
      <c r="D1" s="10"/>
      <c r="E1" s="10"/>
      <c r="F1" s="10"/>
      <c r="G1" s="10"/>
    </row>
    <row r="2" spans="1:9" ht="18.75" x14ac:dyDescent="0.3">
      <c r="A2" s="9" t="s">
        <v>0</v>
      </c>
      <c r="B2" s="10"/>
      <c r="C2" s="55">
        <v>4359</v>
      </c>
      <c r="D2" s="10"/>
      <c r="E2" s="10"/>
      <c r="F2" s="10"/>
      <c r="G2" s="10"/>
    </row>
    <row r="3" spans="1:9" ht="18.75" customHeight="1" thickBot="1" x14ac:dyDescent="0.35">
      <c r="A3" s="9"/>
      <c r="B3" s="14"/>
      <c r="C3" s="14"/>
      <c r="D3" s="14"/>
      <c r="E3" s="14"/>
      <c r="F3" s="14"/>
      <c r="G3" s="14"/>
    </row>
    <row r="4" spans="1:9" ht="19.5" customHeight="1" x14ac:dyDescent="0.3">
      <c r="A4" s="9" t="s">
        <v>1</v>
      </c>
      <c r="B4" s="10"/>
      <c r="C4" s="158" t="str">
        <f>INDEX(Base[Vendedor],MATCH(C2,Base[Turma],0))</f>
        <v>Rodrigo</v>
      </c>
      <c r="D4" s="158"/>
      <c r="E4" s="158"/>
      <c r="F4" s="158"/>
      <c r="G4" s="158"/>
    </row>
    <row r="5" spans="1:9" ht="18" thickBot="1" x14ac:dyDescent="0.35">
      <c r="A5" s="9"/>
      <c r="B5" s="14"/>
      <c r="C5" s="23"/>
      <c r="D5" s="23"/>
      <c r="E5" s="23"/>
      <c r="F5" s="23"/>
      <c r="G5" s="23"/>
    </row>
    <row r="6" spans="1:9" ht="18.75" x14ac:dyDescent="0.3">
      <c r="A6" s="9" t="s">
        <v>166</v>
      </c>
      <c r="B6" s="10"/>
      <c r="C6" s="159" t="str">
        <f>INDEX(Base[Gestor],MATCH(C2,Base[Turma],0))</f>
        <v>Marcelo Leal</v>
      </c>
      <c r="D6" s="159"/>
      <c r="E6" s="159"/>
      <c r="F6" s="159"/>
      <c r="G6" s="159"/>
    </row>
    <row r="7" spans="1:9" ht="18" thickBot="1" x14ac:dyDescent="0.35">
      <c r="A7" s="9"/>
      <c r="B7" s="14"/>
      <c r="C7" s="23"/>
      <c r="D7" s="23"/>
      <c r="E7" s="23"/>
      <c r="F7" s="23"/>
      <c r="G7" s="23"/>
    </row>
    <row r="8" spans="1:9" ht="18.75" x14ac:dyDescent="0.3">
      <c r="A8" s="9" t="s">
        <v>167</v>
      </c>
      <c r="B8" s="10"/>
      <c r="C8" s="29" t="str">
        <f>INDEX(Base[Módulo],MATCH(C2,Base[Turma],0))</f>
        <v>Outlook</v>
      </c>
      <c r="D8" s="47" t="s">
        <v>181</v>
      </c>
      <c r="E8" s="59" t="str">
        <f>INDEX(Base[Mês],MATCH(C2,Base[Turma],0))</f>
        <v>jan</v>
      </c>
      <c r="F8" s="47" t="s">
        <v>182</v>
      </c>
      <c r="G8" s="58" t="str">
        <f>INDEX(Base[Ano],MATCH(C2,Base[Turma],0))</f>
        <v>2016</v>
      </c>
    </row>
    <row r="9" spans="1:9" ht="18" thickBot="1" x14ac:dyDescent="0.35">
      <c r="A9" s="9"/>
      <c r="B9" s="14"/>
      <c r="C9" s="23"/>
      <c r="D9" s="33"/>
      <c r="E9" s="23"/>
      <c r="F9" s="33"/>
      <c r="G9" s="23"/>
    </row>
    <row r="10" spans="1:9" ht="18.75" x14ac:dyDescent="0.3">
      <c r="A10" s="9" t="s">
        <v>3</v>
      </c>
      <c r="B10" s="10"/>
      <c r="C10" s="158" t="str">
        <f>INDEX(Base[Instrutor],MATCH(C2,Base[Turma],0))</f>
        <v>Sandra</v>
      </c>
      <c r="D10" s="158"/>
      <c r="E10" s="158"/>
      <c r="F10" s="158"/>
      <c r="G10" s="158"/>
    </row>
    <row r="11" spans="1:9" ht="18" thickBot="1" x14ac:dyDescent="0.35">
      <c r="A11" s="9"/>
      <c r="B11" s="14"/>
      <c r="C11" s="23"/>
      <c r="D11" s="23"/>
      <c r="E11" s="23"/>
      <c r="F11" s="23"/>
      <c r="G11" s="23"/>
    </row>
    <row r="12" spans="1:9" ht="18.75" x14ac:dyDescent="0.3">
      <c r="A12" s="9" t="s">
        <v>106</v>
      </c>
      <c r="B12" s="10"/>
      <c r="C12" s="29" t="str">
        <f>INDEX(Base[Estado],MATCH(C2,Base[Turma],0))</f>
        <v>RJ</v>
      </c>
      <c r="D12" s="47" t="s">
        <v>4</v>
      </c>
      <c r="E12" s="59" t="str">
        <f>INDEX(Base[Período],MATCH(C2,Base[Turma],0))</f>
        <v>Noite</v>
      </c>
      <c r="F12" s="47" t="s">
        <v>5</v>
      </c>
      <c r="G12" s="58">
        <f>INDEX(Base[Feedback],MATCH(C2,Base[Turma],0))</f>
        <v>2</v>
      </c>
    </row>
    <row r="13" spans="1:9" ht="18" thickBot="1" x14ac:dyDescent="0.35">
      <c r="A13" s="9"/>
      <c r="B13" s="14"/>
      <c r="C13" s="23"/>
      <c r="D13" s="23"/>
      <c r="E13" s="23"/>
      <c r="F13" s="23"/>
      <c r="G13" s="23"/>
    </row>
    <row r="14" spans="1:9" ht="18.75" x14ac:dyDescent="0.3">
      <c r="A14" s="9" t="s">
        <v>6</v>
      </c>
      <c r="B14" s="10"/>
      <c r="C14" s="58">
        <f>INDEX(Base[Alunos],MATCH(C2,Base[Turma],0))</f>
        <v>11</v>
      </c>
      <c r="D14" s="47" t="s">
        <v>161</v>
      </c>
      <c r="E14" s="57">
        <f>INDEX(Base[Valor],MATCH(C2,Base[Turma],0))</f>
        <v>47</v>
      </c>
      <c r="F14" s="47" t="s">
        <v>163</v>
      </c>
      <c r="G14" s="57">
        <f>INDEX(Base[Total],MATCH(C2,Base[Turma],0))</f>
        <v>517</v>
      </c>
    </row>
    <row r="15" spans="1:9" ht="18.75" x14ac:dyDescent="0.3">
      <c r="A15" s="9"/>
      <c r="B15" s="10"/>
      <c r="C15" s="23"/>
      <c r="D15" s="9"/>
      <c r="E15" s="23"/>
      <c r="F15" s="9"/>
      <c r="G15" s="23"/>
    </row>
    <row r="16" spans="1:9" ht="18.75" x14ac:dyDescent="0.3">
      <c r="A16" s="90" t="s">
        <v>1</v>
      </c>
      <c r="B16" s="90"/>
      <c r="C16" s="90" t="s">
        <v>167</v>
      </c>
      <c r="D16" s="90" t="s">
        <v>181</v>
      </c>
      <c r="E16" s="90" t="s">
        <v>182</v>
      </c>
      <c r="F16" s="91" t="s">
        <v>5</v>
      </c>
      <c r="G16" s="91" t="s">
        <v>6</v>
      </c>
      <c r="H16" s="91" t="s">
        <v>163</v>
      </c>
      <c r="I16" s="91" t="s">
        <v>879</v>
      </c>
    </row>
    <row r="17" spans="1:22" x14ac:dyDescent="0.25">
      <c r="A17" s="89" t="str">
        <f>C4</f>
        <v>Rodrigo</v>
      </c>
      <c r="B17" s="49"/>
      <c r="C17" s="49" t="s">
        <v>172</v>
      </c>
      <c r="D17" s="49"/>
      <c r="E17" s="95">
        <v>2017</v>
      </c>
      <c r="F17" s="96">
        <f>IFERROR(DAVERAGE(Dados,"Feedback",A16:E17),"")</f>
        <v>3.4</v>
      </c>
      <c r="G17" s="49">
        <f>DSUM(Dados,G16,A16:E17)</f>
        <v>102</v>
      </c>
      <c r="H17" s="63">
        <f>DSUM(Dados,H16,A16:E17)</f>
        <v>5750</v>
      </c>
      <c r="I17" s="49">
        <f>DCOUNTA(Dados,"mês",A16:E17)</f>
        <v>10</v>
      </c>
    </row>
    <row r="18" spans="1:22" ht="18.75" x14ac:dyDescent="0.3">
      <c r="A18" s="49"/>
      <c r="G18" s="10"/>
    </row>
    <row r="19" spans="1:22" x14ac:dyDescent="0.25">
      <c r="A19" s="113" t="s">
        <v>0</v>
      </c>
      <c r="B19" s="113" t="s">
        <v>1</v>
      </c>
      <c r="C19" s="113" t="s">
        <v>166</v>
      </c>
      <c r="D19" s="113" t="s">
        <v>2</v>
      </c>
      <c r="E19" s="113" t="s">
        <v>167</v>
      </c>
      <c r="F19" s="113" t="s">
        <v>517</v>
      </c>
      <c r="G19" s="113" t="s">
        <v>183</v>
      </c>
      <c r="H19" s="113" t="s">
        <v>184</v>
      </c>
      <c r="I19" s="113" t="s">
        <v>518</v>
      </c>
      <c r="J19" s="113" t="s">
        <v>519</v>
      </c>
      <c r="K19" s="114" t="s">
        <v>520</v>
      </c>
      <c r="L19" s="114" t="s">
        <v>521</v>
      </c>
      <c r="M19" s="114" t="s">
        <v>4</v>
      </c>
      <c r="N19" s="114" t="s">
        <v>181</v>
      </c>
      <c r="O19" s="114" t="s">
        <v>182</v>
      </c>
      <c r="P19" s="113" t="s">
        <v>185</v>
      </c>
      <c r="Q19" s="113" t="s">
        <v>3</v>
      </c>
      <c r="R19" s="113" t="s">
        <v>106</v>
      </c>
      <c r="S19" s="113" t="s">
        <v>5</v>
      </c>
      <c r="T19" s="113" t="s">
        <v>6</v>
      </c>
      <c r="U19" s="113" t="s">
        <v>161</v>
      </c>
      <c r="V19" s="113" t="s">
        <v>163</v>
      </c>
    </row>
    <row r="20" spans="1:22" x14ac:dyDescent="0.25">
      <c r="A20" s="119" t="s">
        <v>193</v>
      </c>
      <c r="B20" s="119" t="s">
        <v>11</v>
      </c>
      <c r="C20" s="119" t="s">
        <v>175</v>
      </c>
      <c r="D20" s="119" t="s">
        <v>82</v>
      </c>
      <c r="E20" s="119" t="s">
        <v>172</v>
      </c>
      <c r="F20" s="119">
        <v>2016</v>
      </c>
      <c r="G20" s="120">
        <v>42737.791666666664</v>
      </c>
      <c r="H20" s="120">
        <v>42748.958333333336</v>
      </c>
      <c r="I20" s="121">
        <v>42737</v>
      </c>
      <c r="J20" s="121">
        <v>42748</v>
      </c>
      <c r="K20" s="122" t="s">
        <v>526</v>
      </c>
      <c r="L20" s="122">
        <v>0.95833333333333337</v>
      </c>
      <c r="M20" s="122" t="s">
        <v>541</v>
      </c>
      <c r="N20" s="122" t="s">
        <v>523</v>
      </c>
      <c r="O20" s="122" t="s">
        <v>543</v>
      </c>
      <c r="P20" s="119" t="s">
        <v>23</v>
      </c>
      <c r="Q20" s="119" t="s">
        <v>28</v>
      </c>
      <c r="R20" s="119" t="s">
        <v>109</v>
      </c>
      <c r="S20" s="119">
        <v>4</v>
      </c>
      <c r="T20" s="119">
        <v>12</v>
      </c>
      <c r="U20" s="119">
        <v>75</v>
      </c>
      <c r="V20" s="119">
        <v>900</v>
      </c>
    </row>
    <row r="21" spans="1:22" x14ac:dyDescent="0.25">
      <c r="A21" s="115" t="s">
        <v>208</v>
      </c>
      <c r="B21" s="115" t="s">
        <v>11</v>
      </c>
      <c r="C21" s="115" t="s">
        <v>175</v>
      </c>
      <c r="D21" s="115" t="s">
        <v>77</v>
      </c>
      <c r="E21" s="115" t="s">
        <v>172</v>
      </c>
      <c r="F21" s="115">
        <v>2016</v>
      </c>
      <c r="G21" s="116">
        <v>42752.791666666664</v>
      </c>
      <c r="H21" s="116">
        <v>42766.958333333336</v>
      </c>
      <c r="I21" s="117">
        <v>42752</v>
      </c>
      <c r="J21" s="117">
        <v>42766</v>
      </c>
      <c r="K21" s="118" t="s">
        <v>526</v>
      </c>
      <c r="L21" s="118">
        <v>0.95833333333333337</v>
      </c>
      <c r="M21" s="118" t="s">
        <v>541</v>
      </c>
      <c r="N21" s="118" t="s">
        <v>523</v>
      </c>
      <c r="O21" s="118" t="s">
        <v>543</v>
      </c>
      <c r="P21" s="115" t="s">
        <v>23</v>
      </c>
      <c r="Q21" s="115" t="s">
        <v>24</v>
      </c>
      <c r="R21" s="115" t="s">
        <v>113</v>
      </c>
      <c r="S21" s="115">
        <v>5</v>
      </c>
      <c r="T21" s="115">
        <v>8</v>
      </c>
      <c r="U21" s="115">
        <v>35</v>
      </c>
      <c r="V21" s="115">
        <v>280</v>
      </c>
    </row>
    <row r="22" spans="1:22" x14ac:dyDescent="0.25">
      <c r="A22" s="119" t="s">
        <v>225</v>
      </c>
      <c r="B22" s="119" t="s">
        <v>11</v>
      </c>
      <c r="C22" s="119" t="s">
        <v>175</v>
      </c>
      <c r="D22" s="119" t="s">
        <v>82</v>
      </c>
      <c r="E22" s="119" t="s">
        <v>172</v>
      </c>
      <c r="F22" s="119">
        <v>2016</v>
      </c>
      <c r="G22" s="120">
        <v>42769.333333333336</v>
      </c>
      <c r="H22" s="120">
        <v>42782.5</v>
      </c>
      <c r="I22" s="121">
        <v>42769</v>
      </c>
      <c r="J22" s="121">
        <v>42782</v>
      </c>
      <c r="K22" s="122" t="s">
        <v>522</v>
      </c>
      <c r="L22" s="122">
        <v>0.5</v>
      </c>
      <c r="M22" s="122" t="s">
        <v>539</v>
      </c>
      <c r="N22" s="122" t="s">
        <v>528</v>
      </c>
      <c r="O22" s="122" t="s">
        <v>543</v>
      </c>
      <c r="P22" s="119" t="s">
        <v>23</v>
      </c>
      <c r="Q22" s="119" t="s">
        <v>190</v>
      </c>
      <c r="R22" s="119" t="s">
        <v>109</v>
      </c>
      <c r="S22" s="119">
        <v>5</v>
      </c>
      <c r="T22" s="119">
        <v>11</v>
      </c>
      <c r="U22" s="119">
        <v>75</v>
      </c>
      <c r="V22" s="119">
        <v>825</v>
      </c>
    </row>
    <row r="23" spans="1:22" x14ac:dyDescent="0.25">
      <c r="A23" s="119" t="s">
        <v>245</v>
      </c>
      <c r="B23" s="119" t="s">
        <v>11</v>
      </c>
      <c r="C23" s="119" t="s">
        <v>175</v>
      </c>
      <c r="D23" s="119" t="s">
        <v>77</v>
      </c>
      <c r="E23" s="119" t="s">
        <v>172</v>
      </c>
      <c r="F23" s="119">
        <v>2016</v>
      </c>
      <c r="G23" s="120">
        <v>42789.375</v>
      </c>
      <c r="H23" s="120">
        <v>42797.75</v>
      </c>
      <c r="I23" s="121">
        <v>42789</v>
      </c>
      <c r="J23" s="121">
        <v>42797</v>
      </c>
      <c r="K23" s="122" t="s">
        <v>525</v>
      </c>
      <c r="L23" s="122">
        <v>0.75</v>
      </c>
      <c r="M23" s="122" t="s">
        <v>540</v>
      </c>
      <c r="N23" s="122" t="s">
        <v>528</v>
      </c>
      <c r="O23" s="122" t="s">
        <v>543</v>
      </c>
      <c r="P23" s="119" t="s">
        <v>9</v>
      </c>
      <c r="Q23" s="119" t="s">
        <v>26</v>
      </c>
      <c r="R23" s="119" t="s">
        <v>113</v>
      </c>
      <c r="S23" s="119">
        <v>5</v>
      </c>
      <c r="T23" s="119">
        <v>11</v>
      </c>
      <c r="U23" s="119">
        <v>35</v>
      </c>
      <c r="V23" s="119">
        <v>385</v>
      </c>
    </row>
    <row r="24" spans="1:22" x14ac:dyDescent="0.25">
      <c r="A24" s="115" t="s">
        <v>294</v>
      </c>
      <c r="B24" s="115" t="s">
        <v>11</v>
      </c>
      <c r="C24" s="115" t="s">
        <v>175</v>
      </c>
      <c r="D24" s="115" t="s">
        <v>78</v>
      </c>
      <c r="E24" s="115" t="s">
        <v>172</v>
      </c>
      <c r="F24" s="115">
        <v>2016</v>
      </c>
      <c r="G24" s="116">
        <v>42838.375</v>
      </c>
      <c r="H24" s="116">
        <v>42845.75</v>
      </c>
      <c r="I24" s="117">
        <v>42838</v>
      </c>
      <c r="J24" s="117">
        <v>42845</v>
      </c>
      <c r="K24" s="118" t="s">
        <v>525</v>
      </c>
      <c r="L24" s="118">
        <v>0.75</v>
      </c>
      <c r="M24" s="118" t="s">
        <v>540</v>
      </c>
      <c r="N24" s="118" t="s">
        <v>530</v>
      </c>
      <c r="O24" s="118" t="s">
        <v>543</v>
      </c>
      <c r="P24" s="115" t="s">
        <v>23</v>
      </c>
      <c r="Q24" s="115" t="s">
        <v>44</v>
      </c>
      <c r="R24" s="115" t="s">
        <v>113</v>
      </c>
      <c r="S24" s="115">
        <v>2</v>
      </c>
      <c r="T24" s="115">
        <v>8</v>
      </c>
      <c r="U24" s="115">
        <v>62</v>
      </c>
      <c r="V24" s="115">
        <v>496</v>
      </c>
    </row>
    <row r="25" spans="1:22" x14ac:dyDescent="0.25">
      <c r="A25" s="119" t="s">
        <v>299</v>
      </c>
      <c r="B25" s="119" t="s">
        <v>11</v>
      </c>
      <c r="C25" s="119" t="s">
        <v>175</v>
      </c>
      <c r="D25" s="119" t="s">
        <v>84</v>
      </c>
      <c r="E25" s="119" t="s">
        <v>172</v>
      </c>
      <c r="F25" s="119">
        <v>2016</v>
      </c>
      <c r="G25" s="120">
        <v>42843.791666666664</v>
      </c>
      <c r="H25" s="120">
        <v>42858.958333333336</v>
      </c>
      <c r="I25" s="121">
        <v>42843</v>
      </c>
      <c r="J25" s="121">
        <v>42858</v>
      </c>
      <c r="K25" s="122" t="s">
        <v>526</v>
      </c>
      <c r="L25" s="122">
        <v>0.95833333333333337</v>
      </c>
      <c r="M25" s="122" t="s">
        <v>541</v>
      </c>
      <c r="N25" s="122" t="s">
        <v>530</v>
      </c>
      <c r="O25" s="122" t="s">
        <v>543</v>
      </c>
      <c r="P25" s="119" t="s">
        <v>23</v>
      </c>
      <c r="Q25" s="119" t="s">
        <v>37</v>
      </c>
      <c r="R25" s="119" t="s">
        <v>113</v>
      </c>
      <c r="S25" s="119">
        <v>3</v>
      </c>
      <c r="T25" s="119">
        <v>12</v>
      </c>
      <c r="U25" s="119">
        <v>52</v>
      </c>
      <c r="V25" s="119">
        <v>624</v>
      </c>
    </row>
    <row r="26" spans="1:22" x14ac:dyDescent="0.25">
      <c r="A26" s="115" t="s">
        <v>394</v>
      </c>
      <c r="B26" s="115" t="s">
        <v>11</v>
      </c>
      <c r="C26" s="115" t="s">
        <v>175</v>
      </c>
      <c r="D26" s="115" t="s">
        <v>78</v>
      </c>
      <c r="E26" s="115" t="s">
        <v>172</v>
      </c>
      <c r="F26" s="115">
        <v>2016</v>
      </c>
      <c r="G26" s="116">
        <v>42958.375</v>
      </c>
      <c r="H26" s="116">
        <v>42965.75</v>
      </c>
      <c r="I26" s="117">
        <v>42958</v>
      </c>
      <c r="J26" s="117">
        <v>42965</v>
      </c>
      <c r="K26" s="118" t="s">
        <v>525</v>
      </c>
      <c r="L26" s="118">
        <v>0.75</v>
      </c>
      <c r="M26" s="118" t="s">
        <v>540</v>
      </c>
      <c r="N26" s="118" t="s">
        <v>534</v>
      </c>
      <c r="O26" s="118" t="s">
        <v>543</v>
      </c>
      <c r="P26" s="115" t="s">
        <v>23</v>
      </c>
      <c r="Q26" s="115" t="s">
        <v>44</v>
      </c>
      <c r="R26" s="115" t="s">
        <v>113</v>
      </c>
      <c r="S26" s="115">
        <v>2</v>
      </c>
      <c r="T26" s="115">
        <v>8</v>
      </c>
      <c r="U26" s="115">
        <v>62</v>
      </c>
      <c r="V26" s="115">
        <v>496</v>
      </c>
    </row>
    <row r="27" spans="1:22" x14ac:dyDescent="0.25">
      <c r="A27" s="119" t="s">
        <v>399</v>
      </c>
      <c r="B27" s="119" t="s">
        <v>11</v>
      </c>
      <c r="C27" s="119" t="s">
        <v>175</v>
      </c>
      <c r="D27" s="119" t="s">
        <v>84</v>
      </c>
      <c r="E27" s="119" t="s">
        <v>172</v>
      </c>
      <c r="F27" s="119">
        <v>2016</v>
      </c>
      <c r="G27" s="120">
        <v>42963.791666666664</v>
      </c>
      <c r="H27" s="120">
        <v>42978.958333333336</v>
      </c>
      <c r="I27" s="121">
        <v>42963</v>
      </c>
      <c r="J27" s="121">
        <v>42978</v>
      </c>
      <c r="K27" s="122" t="s">
        <v>526</v>
      </c>
      <c r="L27" s="122">
        <v>0.95833333333333337</v>
      </c>
      <c r="M27" s="122" t="s">
        <v>541</v>
      </c>
      <c r="N27" s="122" t="s">
        <v>534</v>
      </c>
      <c r="O27" s="122" t="s">
        <v>543</v>
      </c>
      <c r="P27" s="119" t="s">
        <v>23</v>
      </c>
      <c r="Q27" s="119" t="s">
        <v>37</v>
      </c>
      <c r="R27" s="119" t="s">
        <v>113</v>
      </c>
      <c r="S27" s="119">
        <v>3</v>
      </c>
      <c r="T27" s="119">
        <v>12</v>
      </c>
      <c r="U27" s="119">
        <v>52</v>
      </c>
      <c r="V27" s="119">
        <v>624</v>
      </c>
    </row>
    <row r="28" spans="1:22" x14ac:dyDescent="0.25">
      <c r="A28" s="115" t="s">
        <v>466</v>
      </c>
      <c r="B28" s="115" t="s">
        <v>11</v>
      </c>
      <c r="C28" s="115" t="s">
        <v>175</v>
      </c>
      <c r="D28" s="115" t="s">
        <v>78</v>
      </c>
      <c r="E28" s="115" t="s">
        <v>172</v>
      </c>
      <c r="F28" s="115">
        <v>2016</v>
      </c>
      <c r="G28" s="116">
        <v>43048.375</v>
      </c>
      <c r="H28" s="116">
        <v>43055.75</v>
      </c>
      <c r="I28" s="117">
        <v>43048</v>
      </c>
      <c r="J28" s="117">
        <v>43055</v>
      </c>
      <c r="K28" s="118" t="s">
        <v>525</v>
      </c>
      <c r="L28" s="118">
        <v>0.75</v>
      </c>
      <c r="M28" s="118" t="s">
        <v>540</v>
      </c>
      <c r="N28" s="118" t="s">
        <v>537</v>
      </c>
      <c r="O28" s="118" t="s">
        <v>543</v>
      </c>
      <c r="P28" s="115" t="s">
        <v>23</v>
      </c>
      <c r="Q28" s="115" t="s">
        <v>44</v>
      </c>
      <c r="R28" s="115" t="s">
        <v>113</v>
      </c>
      <c r="S28" s="115">
        <v>2</v>
      </c>
      <c r="T28" s="115">
        <v>8</v>
      </c>
      <c r="U28" s="115">
        <v>62</v>
      </c>
      <c r="V28" s="115">
        <v>496</v>
      </c>
    </row>
    <row r="29" spans="1:22" x14ac:dyDescent="0.25">
      <c r="A29" s="119" t="s">
        <v>471</v>
      </c>
      <c r="B29" s="119" t="s">
        <v>11</v>
      </c>
      <c r="C29" s="119" t="s">
        <v>175</v>
      </c>
      <c r="D29" s="119" t="s">
        <v>84</v>
      </c>
      <c r="E29" s="119" t="s">
        <v>172</v>
      </c>
      <c r="F29" s="119">
        <v>2016</v>
      </c>
      <c r="G29" s="120">
        <v>43053.791666666664</v>
      </c>
      <c r="H29" s="120">
        <v>43068.958333333336</v>
      </c>
      <c r="I29" s="121">
        <v>43053</v>
      </c>
      <c r="J29" s="121">
        <v>43068</v>
      </c>
      <c r="K29" s="122" t="s">
        <v>526</v>
      </c>
      <c r="L29" s="122">
        <v>0.95833333333333337</v>
      </c>
      <c r="M29" s="122" t="s">
        <v>541</v>
      </c>
      <c r="N29" s="122" t="s">
        <v>537</v>
      </c>
      <c r="O29" s="122" t="s">
        <v>543</v>
      </c>
      <c r="P29" s="119" t="s">
        <v>23</v>
      </c>
      <c r="Q29" s="119" t="s">
        <v>37</v>
      </c>
      <c r="R29" s="119" t="s">
        <v>113</v>
      </c>
      <c r="S29" s="119">
        <v>3</v>
      </c>
      <c r="T29" s="119">
        <v>12</v>
      </c>
      <c r="U29" s="119">
        <v>52</v>
      </c>
      <c r="V29" s="119">
        <v>624</v>
      </c>
    </row>
  </sheetData>
  <mergeCells count="3">
    <mergeCell ref="C4:G4"/>
    <mergeCell ref="C6:G6"/>
    <mergeCell ref="C10:G10"/>
  </mergeCells>
  <dataValidations count="4">
    <dataValidation type="list" allowBlank="1" showInputMessage="1" showErrorMessage="1" sqref="C2" xr:uid="{00000000-0002-0000-0D00-000000000000}">
      <formula1>Turmas</formula1>
    </dataValidation>
    <dataValidation type="list" allowBlank="1" showInputMessage="1" showErrorMessage="1" sqref="C17" xr:uid="{00000000-0002-0000-0D00-000001000000}">
      <formula1>Módulos</formula1>
    </dataValidation>
    <dataValidation type="list" allowBlank="1" showInputMessage="1" showErrorMessage="1" sqref="D17" xr:uid="{00000000-0002-0000-0D00-000002000000}">
      <formula1>Meses</formula1>
    </dataValidation>
    <dataValidation type="list" allowBlank="1" showInputMessage="1" showErrorMessage="1" sqref="E17" xr:uid="{00000000-0002-0000-0D00-000003000000}">
      <formula1>Anos</formula1>
    </dataValidation>
  </dataValidations>
  <pageMargins left="0.511811024" right="0.511811024" top="0.78740157499999996" bottom="0.78740157499999996" header="0.31496062000000002" footer="0.31496062000000002"/>
  <pageSetup paperSize="9" scale="96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9">
    <pageSetUpPr fitToPage="1"/>
  </sheetPr>
  <dimension ref="B2:J15"/>
  <sheetViews>
    <sheetView showGridLines="0" zoomScale="85" zoomScaleNormal="85" workbookViewId="0">
      <selection activeCell="G12" sqref="G12"/>
    </sheetView>
  </sheetViews>
  <sheetFormatPr defaultColWidth="9" defaultRowHeight="15.75" x14ac:dyDescent="0.25"/>
  <cols>
    <col min="1" max="1" width="3.25" customWidth="1"/>
    <col min="2" max="10" width="4.125" customWidth="1"/>
    <col min="11" max="11" width="3.25" customWidth="1"/>
  </cols>
  <sheetData>
    <row r="2" spans="2:10" ht="21" x14ac:dyDescent="0.35">
      <c r="B2" s="11" t="s">
        <v>164</v>
      </c>
      <c r="C2" s="12"/>
      <c r="D2" s="12"/>
      <c r="E2" s="12"/>
      <c r="F2" s="12"/>
      <c r="G2" s="12"/>
      <c r="H2" s="12"/>
      <c r="I2" s="12"/>
      <c r="J2" s="13"/>
    </row>
    <row r="3" spans="2:10" ht="18.75" customHeight="1" x14ac:dyDescent="0.35">
      <c r="B3" s="15"/>
      <c r="C3" s="16"/>
      <c r="D3" s="16"/>
      <c r="E3" s="17"/>
      <c r="F3" s="18"/>
      <c r="G3" s="19"/>
      <c r="H3" s="19"/>
      <c r="I3" s="17"/>
      <c r="J3" s="20"/>
    </row>
    <row r="4" spans="2:10" ht="19.5" customHeight="1" x14ac:dyDescent="0.25">
      <c r="B4" s="21"/>
      <c r="C4" s="160"/>
      <c r="D4" s="160"/>
      <c r="E4" s="161"/>
      <c r="F4" s="162"/>
      <c r="G4" s="163"/>
      <c r="H4" s="164"/>
      <c r="I4" s="164"/>
      <c r="J4" s="22"/>
    </row>
    <row r="5" spans="2:10" ht="17.25" x14ac:dyDescent="0.3">
      <c r="B5" s="24"/>
      <c r="C5" s="165"/>
      <c r="D5" s="165"/>
      <c r="E5" s="165"/>
      <c r="F5" s="165"/>
      <c r="G5" s="165"/>
      <c r="H5" s="165"/>
      <c r="I5" s="165"/>
      <c r="J5" s="22"/>
    </row>
    <row r="6" spans="2:10" x14ac:dyDescent="0.25">
      <c r="B6" s="25"/>
      <c r="C6" s="5"/>
      <c r="D6" s="5"/>
      <c r="E6" s="5"/>
      <c r="F6" s="5"/>
      <c r="G6" s="5"/>
      <c r="H6" s="5"/>
      <c r="I6" s="5"/>
      <c r="J6" s="22"/>
    </row>
    <row r="7" spans="2:10" ht="17.25" x14ac:dyDescent="0.3">
      <c r="B7" s="25"/>
      <c r="C7" s="26" t="str">
        <f>UPPER(TEXT(C5,"mmmm "))</f>
        <v xml:space="preserve">JANEIRO </v>
      </c>
      <c r="D7" s="27"/>
      <c r="E7" s="27"/>
      <c r="F7" s="27"/>
      <c r="G7" s="27"/>
      <c r="H7" s="27"/>
      <c r="I7" s="28"/>
      <c r="J7" s="22"/>
    </row>
    <row r="8" spans="2:10" x14ac:dyDescent="0.25">
      <c r="B8" s="25"/>
      <c r="C8" s="30" t="str">
        <f t="shared" ref="C8:I8" si="0">PROPER(TEXT(C10,"ddd"))</f>
        <v>Dom</v>
      </c>
      <c r="D8" s="31" t="str">
        <f t="shared" si="0"/>
        <v>Seg</v>
      </c>
      <c r="E8" s="31" t="str">
        <f t="shared" si="0"/>
        <v>Ter</v>
      </c>
      <c r="F8" s="31" t="str">
        <f t="shared" si="0"/>
        <v>Qua</v>
      </c>
      <c r="G8" s="31" t="str">
        <f t="shared" si="0"/>
        <v>Qui</v>
      </c>
      <c r="H8" s="31" t="str">
        <f t="shared" si="0"/>
        <v>Sex</v>
      </c>
      <c r="I8" s="32" t="str">
        <f t="shared" si="0"/>
        <v>Sáb</v>
      </c>
      <c r="J8" s="22"/>
    </row>
    <row r="9" spans="2:10" x14ac:dyDescent="0.25">
      <c r="B9" s="25"/>
      <c r="C9" s="34">
        <f t="array" ref="C9:I14">IF(MONTH(DATE(YEAR(C5),MONTH(C5),1))&lt;&gt;MONTH(DATE(YEAR(C5),MONTH(C5),1)-(WEEKDAY(DATE(YEAR(C5),MONTH(C5),1),1)-1)+{0;1;2;3;4;5}*7+{1,2,3,4,5,6,7}-1),"",DATE(YEAR(C5),MONTH(C5),1)-(WEEKDAY(DATE(YEAR(C5),MONTH(C5),1),1)-1)+{0;1;2;3;4;5}*7+{1,2,3,4,5,6,7}-1)</f>
        <v>1</v>
      </c>
      <c r="D9" s="35">
        <v>2</v>
      </c>
      <c r="E9" s="35">
        <v>3</v>
      </c>
      <c r="F9" s="35">
        <v>4</v>
      </c>
      <c r="G9" s="35">
        <v>5</v>
      </c>
      <c r="H9" s="35">
        <v>6</v>
      </c>
      <c r="I9" s="36">
        <v>7</v>
      </c>
      <c r="J9" s="43">
        <f>MAX(C9:I9)</f>
        <v>7</v>
      </c>
    </row>
    <row r="10" spans="2:10" x14ac:dyDescent="0.25">
      <c r="B10" s="25"/>
      <c r="C10" s="37">
        <v>8</v>
      </c>
      <c r="D10" s="38">
        <v>9</v>
      </c>
      <c r="E10" s="38">
        <v>10</v>
      </c>
      <c r="F10" s="38">
        <v>11</v>
      </c>
      <c r="G10" s="38">
        <v>12</v>
      </c>
      <c r="H10" s="38">
        <v>13</v>
      </c>
      <c r="I10" s="39">
        <v>14</v>
      </c>
      <c r="J10" s="43">
        <f t="shared" ref="J10:J14" si="1">MAX(C10:I10)</f>
        <v>14</v>
      </c>
    </row>
    <row r="11" spans="2:10" x14ac:dyDescent="0.25">
      <c r="B11" s="25"/>
      <c r="C11" s="37">
        <v>15</v>
      </c>
      <c r="D11" s="38">
        <v>16</v>
      </c>
      <c r="E11" s="38">
        <v>17</v>
      </c>
      <c r="F11" s="38">
        <v>18</v>
      </c>
      <c r="G11" s="38">
        <v>19</v>
      </c>
      <c r="H11" s="38">
        <v>20</v>
      </c>
      <c r="I11" s="39">
        <v>21</v>
      </c>
      <c r="J11" s="43">
        <f t="shared" si="1"/>
        <v>21</v>
      </c>
    </row>
    <row r="12" spans="2:10" x14ac:dyDescent="0.25">
      <c r="B12" s="25"/>
      <c r="C12" s="37">
        <v>22</v>
      </c>
      <c r="D12" s="38">
        <v>23</v>
      </c>
      <c r="E12" s="38">
        <v>24</v>
      </c>
      <c r="F12" s="38">
        <v>25</v>
      </c>
      <c r="G12" s="38">
        <v>26</v>
      </c>
      <c r="H12" s="38">
        <v>27</v>
      </c>
      <c r="I12" s="39">
        <v>28</v>
      </c>
      <c r="J12" s="43">
        <f t="shared" si="1"/>
        <v>28</v>
      </c>
    </row>
    <row r="13" spans="2:10" x14ac:dyDescent="0.25">
      <c r="B13" s="25"/>
      <c r="C13" s="37">
        <v>29</v>
      </c>
      <c r="D13" s="38">
        <v>30</v>
      </c>
      <c r="E13" s="38">
        <v>31</v>
      </c>
      <c r="F13" s="38" t="str">
        <v/>
      </c>
      <c r="G13" s="38" t="str">
        <v/>
      </c>
      <c r="H13" s="38" t="str">
        <v/>
      </c>
      <c r="I13" s="39" t="str">
        <v/>
      </c>
      <c r="J13" s="43">
        <f t="shared" si="1"/>
        <v>31</v>
      </c>
    </row>
    <row r="14" spans="2:10" x14ac:dyDescent="0.25">
      <c r="B14" s="25"/>
      <c r="C14" s="40" t="str">
        <v/>
      </c>
      <c r="D14" s="41" t="str">
        <v/>
      </c>
      <c r="E14" s="41" t="str">
        <v/>
      </c>
      <c r="F14" s="41" t="str">
        <v/>
      </c>
      <c r="G14" s="41" t="str">
        <v/>
      </c>
      <c r="H14" s="41" t="str">
        <v/>
      </c>
      <c r="I14" s="42" t="str">
        <v/>
      </c>
      <c r="J14" s="43">
        <f t="shared" si="1"/>
        <v>0</v>
      </c>
    </row>
    <row r="15" spans="2:10" x14ac:dyDescent="0.25">
      <c r="B15" s="44"/>
      <c r="C15" s="45"/>
      <c r="D15" s="45"/>
      <c r="E15" s="45"/>
      <c r="F15" s="45"/>
      <c r="G15" s="45"/>
      <c r="H15" s="45"/>
      <c r="I15" s="45"/>
      <c r="J15" s="46"/>
    </row>
  </sheetData>
  <mergeCells count="4">
    <mergeCell ref="C4:D4"/>
    <mergeCell ref="E4:G4"/>
    <mergeCell ref="H4:I4"/>
    <mergeCell ref="C5:I5"/>
  </mergeCells>
  <pageMargins left="0.511811024" right="0.511811024" top="0.78740157499999996" bottom="0.78740157499999996" header="0.31496062000000002" footer="0.31496062000000002"/>
  <pageSetup paperSize="9" scale="96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I13"/>
  <sheetViews>
    <sheetView workbookViewId="0">
      <selection activeCell="I4" sqref="I4"/>
    </sheetView>
  </sheetViews>
  <sheetFormatPr defaultRowHeight="15.75" x14ac:dyDescent="0.25"/>
  <cols>
    <col min="1" max="1" width="13.875" bestFit="1" customWidth="1"/>
    <col min="3" max="3" width="10.875" bestFit="1" customWidth="1"/>
    <col min="5" max="5" width="7" bestFit="1" customWidth="1"/>
    <col min="7" max="7" width="7.375" bestFit="1" customWidth="1"/>
    <col min="9" max="9" width="18.25" bestFit="1" customWidth="1"/>
  </cols>
  <sheetData>
    <row r="1" spans="1:9" x14ac:dyDescent="0.25">
      <c r="A1" t="s">
        <v>893</v>
      </c>
      <c r="C1" t="s">
        <v>894</v>
      </c>
      <c r="E1" s="99" t="s">
        <v>895</v>
      </c>
      <c r="G1" t="s">
        <v>907</v>
      </c>
      <c r="I1" t="s">
        <v>908</v>
      </c>
    </row>
    <row r="2" spans="1:9" x14ac:dyDescent="0.25">
      <c r="A2" t="s">
        <v>14</v>
      </c>
      <c r="C2" t="s">
        <v>170</v>
      </c>
      <c r="E2" s="98" t="s">
        <v>892</v>
      </c>
      <c r="G2" s="97">
        <v>2016</v>
      </c>
      <c r="I2" t="s">
        <v>175</v>
      </c>
    </row>
    <row r="3" spans="1:9" x14ac:dyDescent="0.25">
      <c r="A3" t="s">
        <v>45</v>
      </c>
      <c r="C3" t="s">
        <v>174</v>
      </c>
      <c r="E3" s="98" t="s">
        <v>896</v>
      </c>
      <c r="G3" s="97">
        <v>2017</v>
      </c>
      <c r="I3" t="s">
        <v>176</v>
      </c>
    </row>
    <row r="4" spans="1:9" x14ac:dyDescent="0.25">
      <c r="A4" t="s">
        <v>11</v>
      </c>
      <c r="C4" t="s">
        <v>172</v>
      </c>
      <c r="E4" s="98" t="s">
        <v>897</v>
      </c>
      <c r="G4" s="97">
        <v>2018</v>
      </c>
      <c r="I4" t="s">
        <v>177</v>
      </c>
    </row>
    <row r="5" spans="1:9" x14ac:dyDescent="0.25">
      <c r="A5" t="s">
        <v>22</v>
      </c>
      <c r="C5" t="s">
        <v>168</v>
      </c>
      <c r="E5" s="98" t="s">
        <v>898</v>
      </c>
    </row>
    <row r="6" spans="1:9" x14ac:dyDescent="0.25">
      <c r="A6" t="s">
        <v>19</v>
      </c>
      <c r="C6" t="s">
        <v>169</v>
      </c>
      <c r="E6" s="98" t="s">
        <v>899</v>
      </c>
    </row>
    <row r="7" spans="1:9" x14ac:dyDescent="0.25">
      <c r="A7" t="s">
        <v>29</v>
      </c>
      <c r="C7" t="s">
        <v>173</v>
      </c>
      <c r="E7" s="98" t="s">
        <v>900</v>
      </c>
    </row>
    <row r="8" spans="1:9" x14ac:dyDescent="0.25">
      <c r="A8" t="s">
        <v>7</v>
      </c>
      <c r="E8" s="98" t="s">
        <v>901</v>
      </c>
    </row>
    <row r="9" spans="1:9" x14ac:dyDescent="0.25">
      <c r="A9" t="s">
        <v>17</v>
      </c>
      <c r="E9" s="98" t="s">
        <v>902</v>
      </c>
    </row>
    <row r="10" spans="1:9" x14ac:dyDescent="0.25">
      <c r="A10" t="s">
        <v>39</v>
      </c>
      <c r="E10" s="98" t="s">
        <v>903</v>
      </c>
    </row>
    <row r="11" spans="1:9" x14ac:dyDescent="0.25">
      <c r="E11" s="98" t="s">
        <v>904</v>
      </c>
    </row>
    <row r="12" spans="1:9" x14ac:dyDescent="0.25">
      <c r="E12" s="98" t="s">
        <v>905</v>
      </c>
    </row>
    <row r="13" spans="1:9" x14ac:dyDescent="0.25">
      <c r="E13" s="98" t="s">
        <v>906</v>
      </c>
    </row>
  </sheetData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14</vt:i4>
      </vt:variant>
    </vt:vector>
  </HeadingPairs>
  <TitlesOfParts>
    <vt:vector size="30" baseType="lpstr">
      <vt:lpstr>Treinamentos</vt:lpstr>
      <vt:lpstr>Painel</vt:lpstr>
      <vt:lpstr>Estatísticas</vt:lpstr>
      <vt:lpstr>Painel Consulta</vt:lpstr>
      <vt:lpstr>Variações</vt:lpstr>
      <vt:lpstr>Gestores</vt:lpstr>
      <vt:lpstr>Porcentagem</vt:lpstr>
      <vt:lpstr>Passo a Passo - Macro</vt:lpstr>
      <vt:lpstr>Historico</vt:lpstr>
      <vt:lpstr>Vendas</vt:lpstr>
      <vt:lpstr>Vendedores</vt:lpstr>
      <vt:lpstr>Instrutores</vt:lpstr>
      <vt:lpstr>Cursos</vt:lpstr>
      <vt:lpstr>Consulta</vt:lpstr>
      <vt:lpstr>Calendário</vt:lpstr>
      <vt:lpstr>Listas</vt:lpstr>
      <vt:lpstr>Calendário!Ano</vt:lpstr>
      <vt:lpstr>Vendas!Anos</vt:lpstr>
      <vt:lpstr>Anos</vt:lpstr>
      <vt:lpstr>Consulta!Area_de_extracao</vt:lpstr>
      <vt:lpstr>Consulta!Criterios</vt:lpstr>
      <vt:lpstr>Dados</vt:lpstr>
      <vt:lpstr>Gestores</vt:lpstr>
      <vt:lpstr>Meses</vt:lpstr>
      <vt:lpstr>Vendas!Módulos</vt:lpstr>
      <vt:lpstr>Módulos</vt:lpstr>
      <vt:lpstr>Vendas!Turmas</vt:lpstr>
      <vt:lpstr>Turmas</vt:lpstr>
      <vt:lpstr>Vendas!Vendedores</vt:lpstr>
      <vt:lpstr>Vendedores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Heliandro Santos</dc:creator>
  <cp:keywords/>
  <dc:description/>
  <cp:lastModifiedBy>VENDAS04</cp:lastModifiedBy>
  <cp:revision/>
  <dcterms:created xsi:type="dcterms:W3CDTF">2016-09-23T21:36:15Z</dcterms:created>
  <dcterms:modified xsi:type="dcterms:W3CDTF">2021-05-24T14:13:14Z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db46e132-cc5f-4946-b8a2-9b6f20f8999a</vt:lpwstr>
  </property>
</Properties>
</file>